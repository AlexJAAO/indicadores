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 3380\Desktop\indicadores\"/>
    </mc:Choice>
  </mc:AlternateContent>
  <xr:revisionPtr revIDLastSave="0" documentId="13_ncr:1_{958F4825-7B70-42F9-979A-0A07E4D71D3F}" xr6:coauthVersionLast="47" xr6:coauthVersionMax="47" xr10:uidLastSave="{00000000-0000-0000-0000-000000000000}"/>
  <bookViews>
    <workbookView xWindow="-120" yWindow="-120" windowWidth="20730" windowHeight="11160" firstSheet="3" activeTab="3" xr2:uid="{50A8A833-B99E-413F-B0DA-E6AE367C6432}"/>
  </bookViews>
  <sheets>
    <sheet name="INDICADORES" sheetId="20" state="hidden" r:id="rId1"/>
    <sheet name="IND. PUNTUAL" sheetId="17" state="hidden" r:id="rId2"/>
    <sheet name="IND. YTD" sheetId="18" state="hidden" r:id="rId3"/>
    <sheet name="Data" sheetId="2" r:id="rId4"/>
    <sheet name="Tasas Diarias" sheetId="25" state="hidden" r:id="rId5"/>
    <sheet name="Grafica de Contexto" sheetId="22" state="hidden" r:id="rId6"/>
    <sheet name="Diario" sheetId="24" state="hidden" r:id="rId7"/>
    <sheet name="DATA DE TABLAS" sheetId="15" state="hidden" r:id="rId8"/>
    <sheet name="TASA BCV-MONITOR" sheetId="26" r:id="rId9"/>
    <sheet name="Tasa_BCVUSDT Grafico1" sheetId="28" r:id="rId10"/>
    <sheet name="Inflación por categoria" sheetId="29" r:id="rId11"/>
    <sheet name="Hoja1" sheetId="27" state="hidden" r:id="rId12"/>
  </sheets>
  <definedNames>
    <definedName name="_" localSheetId="10">'Inflación por categoria'!$A$2:$A$21</definedName>
    <definedName name="__">#REF!</definedName>
    <definedName name="__F">#REF!</definedName>
    <definedName name="_F" localSheetId="10">'Inflación por categoria'!$A$2:$A$21</definedName>
    <definedName name="_xlnm._FilterDatabase" localSheetId="7" hidden="1">'DATA DE TABLAS'!$A$1:$N$61</definedName>
    <definedName name="_xlnm._FilterDatabase" localSheetId="5" hidden="1">'Grafica de Contexto'!$A$1:$D$61</definedName>
    <definedName name="_xlnm._FilterDatabase" localSheetId="8" hidden="1">'TASA BCV-MONITOR'!$A$1:$K$426</definedName>
    <definedName name="_xlnm._FilterDatabase" localSheetId="9" hidden="1">'Tasa_BCVUSDT Grafico1'!$A$2:$N$2</definedName>
    <definedName name="_xlnm.Print_Area" localSheetId="10">'Inflación por categoria'!$A$1:$AP$21</definedName>
    <definedName name="G" localSheetId="10">'Inflación por categoria'!$A$2:$A$21</definedName>
    <definedName name="G">#REF!</definedName>
    <definedName name="H" localSheetId="10">'Inflación por categoria'!$A$2:$A$21</definedName>
    <definedName name="H">#REF!</definedName>
    <definedName name="mar">#REF!</definedName>
    <definedName name="MARZO">#REF!</definedName>
    <definedName name="SegmentaciónDeDatos_AÑO">#N/A</definedName>
    <definedName name="SegmentaciónDeDatos_AÑO1">#N/A</definedName>
    <definedName name="SegmentaciónDeDatos_AÑO2">#N/A</definedName>
    <definedName name="SegmentaciónDeDatos_MES">#N/A</definedName>
    <definedName name="SegmentaciónDeDatos_MES1">#N/A</definedName>
    <definedName name="SegmentaciónDeDatos_MES2">#N/A</definedName>
  </definedNames>
  <calcPr calcId="191029"/>
  <pivotCaches>
    <pivotCache cacheId="0" r:id="rId13"/>
    <pivotCache cacheId="1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0" i="29" l="1"/>
  <c r="AQ20" i="29"/>
  <c r="AO20" i="29"/>
  <c r="AN20" i="29"/>
  <c r="AK20" i="29"/>
  <c r="AL20" i="29" s="1"/>
  <c r="AH20" i="29"/>
  <c r="AI20" i="29" s="1"/>
  <c r="AF20" i="29"/>
  <c r="AE20" i="29"/>
  <c r="AB20" i="29"/>
  <c r="AC20" i="29" s="1"/>
  <c r="Y20" i="29"/>
  <c r="Z20" i="29" s="1"/>
  <c r="V20" i="29"/>
  <c r="W20" i="29" s="1"/>
  <c r="S20" i="29"/>
  <c r="T20" i="29" s="1"/>
  <c r="Q20" i="29"/>
  <c r="P20" i="29"/>
  <c r="M20" i="29"/>
  <c r="N20" i="29" s="1"/>
  <c r="J20" i="29"/>
  <c r="K20" i="29" s="1"/>
  <c r="G20" i="29"/>
  <c r="D20" i="29"/>
  <c r="AQ19" i="29"/>
  <c r="AN19" i="29"/>
  <c r="AK19" i="29"/>
  <c r="AH19" i="29"/>
  <c r="AE19" i="29"/>
  <c r="AB19" i="29"/>
  <c r="Y19" i="29"/>
  <c r="V19" i="29"/>
  <c r="S19" i="29"/>
  <c r="P19" i="29"/>
  <c r="M19" i="29"/>
  <c r="J19" i="29"/>
  <c r="G19" i="29"/>
  <c r="D19" i="29"/>
  <c r="AQ18" i="29"/>
  <c r="AN18" i="29"/>
  <c r="AK18" i="29"/>
  <c r="AH18" i="29"/>
  <c r="AE18" i="29"/>
  <c r="AB18" i="29"/>
  <c r="Y18" i="29"/>
  <c r="V18" i="29"/>
  <c r="S18" i="29"/>
  <c r="P18" i="29"/>
  <c r="M18" i="29"/>
  <c r="J18" i="29"/>
  <c r="G18" i="29"/>
  <c r="D18" i="29"/>
  <c r="AQ17" i="29"/>
  <c r="AR17" i="29" s="1"/>
  <c r="AN17" i="29"/>
  <c r="AO17" i="29" s="1"/>
  <c r="AK17" i="29"/>
  <c r="AL17" i="29" s="1"/>
  <c r="AL18" i="29" s="1"/>
  <c r="AH17" i="29"/>
  <c r="AI17" i="29" s="1"/>
  <c r="AE17" i="29"/>
  <c r="AF17" i="29" s="1"/>
  <c r="AB17" i="29"/>
  <c r="AC17" i="29" s="1"/>
  <c r="Y17" i="29"/>
  <c r="Z17" i="29" s="1"/>
  <c r="V17" i="29"/>
  <c r="W17" i="29" s="1"/>
  <c r="S17" i="29"/>
  <c r="T17" i="29" s="1"/>
  <c r="P17" i="29"/>
  <c r="Q17" i="29" s="1"/>
  <c r="M17" i="29"/>
  <c r="N17" i="29" s="1"/>
  <c r="N18" i="29" s="1"/>
  <c r="J17" i="29"/>
  <c r="K17" i="29" s="1"/>
  <c r="G17" i="29"/>
  <c r="H17" i="29" s="1"/>
  <c r="D17" i="29"/>
  <c r="E17" i="29" s="1"/>
  <c r="AQ15" i="29"/>
  <c r="AN15" i="29"/>
  <c r="AK15" i="29"/>
  <c r="AH15" i="29"/>
  <c r="AE15" i="29"/>
  <c r="AB15" i="29"/>
  <c r="Y15" i="29"/>
  <c r="V15" i="29"/>
  <c r="S15" i="29"/>
  <c r="P15" i="29"/>
  <c r="M15" i="29"/>
  <c r="J15" i="29"/>
  <c r="G15" i="29"/>
  <c r="D15" i="29"/>
  <c r="AQ14" i="29"/>
  <c r="AN14" i="29"/>
  <c r="AK14" i="29"/>
  <c r="AH14" i="29"/>
  <c r="AE14" i="29"/>
  <c r="AB14" i="29"/>
  <c r="Y14" i="29"/>
  <c r="V14" i="29"/>
  <c r="S14" i="29"/>
  <c r="P14" i="29"/>
  <c r="M14" i="29"/>
  <c r="J14" i="29"/>
  <c r="G14" i="29"/>
  <c r="D14" i="29"/>
  <c r="AQ13" i="29"/>
  <c r="AN13" i="29"/>
  <c r="AK13" i="29"/>
  <c r="AH13" i="29"/>
  <c r="AE13" i="29"/>
  <c r="AB13" i="29"/>
  <c r="Y13" i="29"/>
  <c r="V13" i="29"/>
  <c r="S13" i="29"/>
  <c r="P13" i="29"/>
  <c r="M13" i="29"/>
  <c r="J13" i="29"/>
  <c r="G13" i="29"/>
  <c r="D13" i="29"/>
  <c r="AQ12" i="29"/>
  <c r="AN12" i="29"/>
  <c r="AK12" i="29"/>
  <c r="AH12" i="29"/>
  <c r="AE12" i="29"/>
  <c r="AB12" i="29"/>
  <c r="Y12" i="29"/>
  <c r="V12" i="29"/>
  <c r="S12" i="29"/>
  <c r="P12" i="29"/>
  <c r="M12" i="29"/>
  <c r="J12" i="29"/>
  <c r="G12" i="29"/>
  <c r="D12" i="29"/>
  <c r="AQ11" i="29"/>
  <c r="AN11" i="29"/>
  <c r="AK11" i="29"/>
  <c r="AH11" i="29"/>
  <c r="AE11" i="29"/>
  <c r="AB11" i="29"/>
  <c r="Y11" i="29"/>
  <c r="V11" i="29"/>
  <c r="S11" i="29"/>
  <c r="P11" i="29"/>
  <c r="M11" i="29"/>
  <c r="J11" i="29"/>
  <c r="G11" i="29"/>
  <c r="D11" i="29"/>
  <c r="AQ10" i="29"/>
  <c r="AN10" i="29"/>
  <c r="AK10" i="29"/>
  <c r="AH10" i="29"/>
  <c r="AE10" i="29"/>
  <c r="AB10" i="29"/>
  <c r="Y10" i="29"/>
  <c r="V10" i="29"/>
  <c r="S10" i="29"/>
  <c r="P10" i="29"/>
  <c r="M10" i="29"/>
  <c r="J10" i="29"/>
  <c r="G10" i="29"/>
  <c r="D10" i="29"/>
  <c r="AQ9" i="29"/>
  <c r="AN9" i="29"/>
  <c r="AK9" i="29"/>
  <c r="AH9" i="29"/>
  <c r="AE9" i="29"/>
  <c r="AB9" i="29"/>
  <c r="Y9" i="29"/>
  <c r="V9" i="29"/>
  <c r="S9" i="29"/>
  <c r="P9" i="29"/>
  <c r="M9" i="29"/>
  <c r="J9" i="29"/>
  <c r="G9" i="29"/>
  <c r="D9" i="29"/>
  <c r="AQ8" i="29"/>
  <c r="AN8" i="29"/>
  <c r="AK8" i="29"/>
  <c r="AH8" i="29"/>
  <c r="AE8" i="29"/>
  <c r="AB8" i="29"/>
  <c r="Y8" i="29"/>
  <c r="V8" i="29"/>
  <c r="S8" i="29"/>
  <c r="P8" i="29"/>
  <c r="M8" i="29"/>
  <c r="J8" i="29"/>
  <c r="G8" i="29"/>
  <c r="D8" i="29"/>
  <c r="AQ7" i="29"/>
  <c r="AN7" i="29"/>
  <c r="AK7" i="29"/>
  <c r="AH7" i="29"/>
  <c r="AE7" i="29"/>
  <c r="AB7" i="29"/>
  <c r="Y7" i="29"/>
  <c r="V7" i="29"/>
  <c r="S7" i="29"/>
  <c r="P7" i="29"/>
  <c r="M7" i="29"/>
  <c r="J7" i="29"/>
  <c r="G7" i="29"/>
  <c r="D7" i="29"/>
  <c r="AQ6" i="29"/>
  <c r="AN6" i="29"/>
  <c r="AK6" i="29"/>
  <c r="AH6" i="29"/>
  <c r="AE6" i="29"/>
  <c r="AB6" i="29"/>
  <c r="Y6" i="29"/>
  <c r="V6" i="29"/>
  <c r="S6" i="29"/>
  <c r="P6" i="29"/>
  <c r="M6" i="29"/>
  <c r="J6" i="29"/>
  <c r="G6" i="29"/>
  <c r="D6" i="29"/>
  <c r="AQ5" i="29"/>
  <c r="AN5" i="29"/>
  <c r="AK5" i="29"/>
  <c r="AH5" i="29"/>
  <c r="AE5" i="29"/>
  <c r="AB5" i="29"/>
  <c r="Y5" i="29"/>
  <c r="V5" i="29"/>
  <c r="S5" i="29"/>
  <c r="P5" i="29"/>
  <c r="M5" i="29"/>
  <c r="J5" i="29"/>
  <c r="G5" i="29"/>
  <c r="D5" i="29"/>
  <c r="AQ4" i="29"/>
  <c r="AR4" i="29" s="1"/>
  <c r="AN4" i="29"/>
  <c r="AO4" i="29" s="1"/>
  <c r="AK4" i="29"/>
  <c r="AL4" i="29" s="1"/>
  <c r="AH4" i="29"/>
  <c r="AI4" i="29" s="1"/>
  <c r="AE4" i="29"/>
  <c r="AF4" i="29" s="1"/>
  <c r="AB4" i="29"/>
  <c r="AC4" i="29" s="1"/>
  <c r="Y4" i="29"/>
  <c r="Z4" i="29" s="1"/>
  <c r="Z5" i="29" s="1"/>
  <c r="V4" i="29"/>
  <c r="W4" i="29" s="1"/>
  <c r="S4" i="29"/>
  <c r="T4" i="29" s="1"/>
  <c r="P4" i="29"/>
  <c r="Q4" i="29" s="1"/>
  <c r="M4" i="29"/>
  <c r="N4" i="29" s="1"/>
  <c r="J4" i="29"/>
  <c r="K4" i="29" s="1"/>
  <c r="G4" i="29"/>
  <c r="H4" i="29" s="1"/>
  <c r="D4" i="29"/>
  <c r="E4" i="29" s="1"/>
  <c r="U87" i="2"/>
  <c r="H86" i="2"/>
  <c r="AB89" i="2"/>
  <c r="U89" i="2"/>
  <c r="M89" i="2"/>
  <c r="H20" i="29" l="1"/>
  <c r="Q18" i="29"/>
  <c r="AO18" i="29"/>
  <c r="AO19" i="29" s="1"/>
  <c r="E5" i="29"/>
  <c r="Z18" i="29"/>
  <c r="Z19" i="29" s="1"/>
  <c r="AI5" i="29"/>
  <c r="AI18" i="29"/>
  <c r="AI19" i="29" s="1"/>
  <c r="N5" i="29"/>
  <c r="AL5" i="29"/>
  <c r="H18" i="29"/>
  <c r="H19" i="29" s="1"/>
  <c r="AF18" i="29"/>
  <c r="AF19" i="29" s="1"/>
  <c r="H5" i="29"/>
  <c r="H6" i="29" s="1"/>
  <c r="H7" i="29" s="1"/>
  <c r="H8" i="29" s="1"/>
  <c r="H9" i="29" s="1"/>
  <c r="H10" i="29" s="1"/>
  <c r="H11" i="29" s="1"/>
  <c r="H12" i="29" s="1"/>
  <c r="H13" i="29" s="1"/>
  <c r="H14" i="29" s="1"/>
  <c r="H15" i="29" s="1"/>
  <c r="AL6" i="29"/>
  <c r="AL7" i="29" s="1"/>
  <c r="AL8" i="29" s="1"/>
  <c r="AL9" i="29" s="1"/>
  <c r="AL10" i="29" s="1"/>
  <c r="AL11" i="29" s="1"/>
  <c r="AL12" i="29" s="1"/>
  <c r="AL13" i="29" s="1"/>
  <c r="AL14" i="29" s="1"/>
  <c r="AL15" i="29" s="1"/>
  <c r="T18" i="29"/>
  <c r="T19" i="29" s="1"/>
  <c r="N6" i="29"/>
  <c r="N7" i="29" s="1"/>
  <c r="N8" i="29" s="1"/>
  <c r="N9" i="29" s="1"/>
  <c r="N10" i="29" s="1"/>
  <c r="N11" i="29" s="1"/>
  <c r="N12" i="29" s="1"/>
  <c r="N13" i="29" s="1"/>
  <c r="N14" i="29" s="1"/>
  <c r="N15" i="29" s="1"/>
  <c r="AR18" i="29"/>
  <c r="AR19" i="29" s="1"/>
  <c r="AI6" i="29"/>
  <c r="AF5" i="29"/>
  <c r="AF6" i="29" s="1"/>
  <c r="AF7" i="29" s="1"/>
  <c r="AF8" i="29" s="1"/>
  <c r="AF9" i="29" s="1"/>
  <c r="AF10" i="29" s="1"/>
  <c r="AF11" i="29" s="1"/>
  <c r="AF12" i="29" s="1"/>
  <c r="AF13" i="29" s="1"/>
  <c r="AF14" i="29" s="1"/>
  <c r="AF15" i="29" s="1"/>
  <c r="Q5" i="29"/>
  <c r="Q6" i="29" s="1"/>
  <c r="Q7" i="29" s="1"/>
  <c r="Q8" i="29" s="1"/>
  <c r="Q9" i="29" s="1"/>
  <c r="Q10" i="29" s="1"/>
  <c r="Q11" i="29" s="1"/>
  <c r="Q12" i="29" s="1"/>
  <c r="Q13" i="29" s="1"/>
  <c r="Q14" i="29" s="1"/>
  <c r="Q15" i="29" s="1"/>
  <c r="T5" i="29"/>
  <c r="T6" i="29" s="1"/>
  <c r="T7" i="29" s="1"/>
  <c r="T8" i="29" s="1"/>
  <c r="T9" i="29" s="1"/>
  <c r="T10" i="29" s="1"/>
  <c r="T11" i="29" s="1"/>
  <c r="T12" i="29" s="1"/>
  <c r="T13" i="29" s="1"/>
  <c r="T14" i="29" s="1"/>
  <c r="T15" i="29" s="1"/>
  <c r="AR5" i="29"/>
  <c r="AR6" i="29" s="1"/>
  <c r="AR7" i="29" s="1"/>
  <c r="AR8" i="29" s="1"/>
  <c r="AR9" i="29" s="1"/>
  <c r="AR10" i="29" s="1"/>
  <c r="AR11" i="29" s="1"/>
  <c r="AR12" i="29" s="1"/>
  <c r="AR13" i="29" s="1"/>
  <c r="AR14" i="29" s="1"/>
  <c r="AR15" i="29" s="1"/>
  <c r="Z6" i="29"/>
  <c r="Z7" i="29" s="1"/>
  <c r="Z8" i="29" s="1"/>
  <c r="Z9" i="29" s="1"/>
  <c r="Z10" i="29" s="1"/>
  <c r="Z11" i="29" s="1"/>
  <c r="Z12" i="29" s="1"/>
  <c r="Z13" i="29" s="1"/>
  <c r="Z14" i="29" s="1"/>
  <c r="Z15" i="29" s="1"/>
  <c r="AO5" i="29"/>
  <c r="AO6" i="29" s="1"/>
  <c r="AO7" i="29" s="1"/>
  <c r="AO8" i="29" s="1"/>
  <c r="AO9" i="29" s="1"/>
  <c r="AO10" i="29" s="1"/>
  <c r="AO11" i="29" s="1"/>
  <c r="AO12" i="29" s="1"/>
  <c r="AO13" i="29" s="1"/>
  <c r="AO14" i="29" s="1"/>
  <c r="AO15" i="29" s="1"/>
  <c r="E18" i="29"/>
  <c r="E19" i="29" s="1"/>
  <c r="E20" i="29" s="1"/>
  <c r="AC18" i="29"/>
  <c r="AC19" i="29" s="1"/>
  <c r="AC5" i="29"/>
  <c r="AC6" i="29" s="1"/>
  <c r="AC7" i="29" s="1"/>
  <c r="AC8" i="29" s="1"/>
  <c r="AC9" i="29" s="1"/>
  <c r="AC10" i="29" s="1"/>
  <c r="AC11" i="29" s="1"/>
  <c r="AC12" i="29" s="1"/>
  <c r="AC13" i="29" s="1"/>
  <c r="AC14" i="29" s="1"/>
  <c r="AC15" i="29" s="1"/>
  <c r="W18" i="29"/>
  <c r="W19" i="29" s="1"/>
  <c r="N19" i="29"/>
  <c r="AL19" i="29"/>
  <c r="K5" i="29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W5" i="29"/>
  <c r="W6" i="29" s="1"/>
  <c r="W7" i="29" s="1"/>
  <c r="W8" i="29" s="1"/>
  <c r="W9" i="29" s="1"/>
  <c r="W10" i="29" s="1"/>
  <c r="W11" i="29" s="1"/>
  <c r="W12" i="29" s="1"/>
  <c r="W13" i="29" s="1"/>
  <c r="W14" i="29" s="1"/>
  <c r="W15" i="29" s="1"/>
  <c r="E6" i="29"/>
  <c r="E7" i="29" s="1"/>
  <c r="E8" i="29" s="1"/>
  <c r="E9" i="29" s="1"/>
  <c r="E10" i="29" s="1"/>
  <c r="E11" i="29" s="1"/>
  <c r="E12" i="29" s="1"/>
  <c r="E13" i="29" s="1"/>
  <c r="E14" i="29" s="1"/>
  <c r="E15" i="29" s="1"/>
  <c r="AI7" i="29"/>
  <c r="AI8" i="29" s="1"/>
  <c r="AI9" i="29" s="1"/>
  <c r="AI10" i="29" s="1"/>
  <c r="AI11" i="29" s="1"/>
  <c r="AI12" i="29" s="1"/>
  <c r="AI13" i="29" s="1"/>
  <c r="AI14" i="29" s="1"/>
  <c r="AI15" i="29" s="1"/>
  <c r="K18" i="29"/>
  <c r="K19" i="29" s="1"/>
  <c r="Q19" i="29"/>
  <c r="G566" i="28"/>
  <c r="G565" i="28"/>
  <c r="G564" i="28"/>
  <c r="G563" i="28"/>
  <c r="G562" i="28"/>
  <c r="G561" i="28"/>
  <c r="G560" i="28"/>
  <c r="G559" i="28"/>
  <c r="G558" i="28"/>
  <c r="G557" i="28"/>
  <c r="G556" i="28"/>
  <c r="G555" i="28"/>
  <c r="G554" i="28"/>
  <c r="G553" i="28"/>
  <c r="G552" i="28"/>
  <c r="G551" i="28"/>
  <c r="G550" i="28"/>
  <c r="G549" i="28"/>
  <c r="G548" i="28"/>
  <c r="G547" i="28"/>
  <c r="G546" i="28"/>
  <c r="G545" i="28"/>
  <c r="G544" i="28"/>
  <c r="G543" i="28"/>
  <c r="G542" i="28"/>
  <c r="G541" i="28"/>
  <c r="G540" i="28"/>
  <c r="G539" i="28"/>
  <c r="G538" i="28"/>
  <c r="G537" i="28"/>
  <c r="G536" i="28"/>
  <c r="G535" i="28"/>
  <c r="G534" i="28"/>
  <c r="G533" i="28"/>
  <c r="G532" i="28"/>
  <c r="G531" i="28"/>
  <c r="G530" i="28"/>
  <c r="G529" i="28"/>
  <c r="G528" i="28"/>
  <c r="G527" i="28"/>
  <c r="G526" i="28"/>
  <c r="G525" i="28"/>
  <c r="G524" i="28"/>
  <c r="G523" i="28"/>
  <c r="G522" i="28"/>
  <c r="G521" i="28"/>
  <c r="G520" i="28"/>
  <c r="G519" i="28"/>
  <c r="G518" i="28"/>
  <c r="G517" i="28"/>
  <c r="G516" i="28"/>
  <c r="G515" i="28"/>
  <c r="G514" i="28"/>
  <c r="G513" i="28"/>
  <c r="G512" i="28"/>
  <c r="G511" i="28"/>
  <c r="G510" i="28"/>
  <c r="G509" i="28"/>
  <c r="G508" i="28"/>
  <c r="G507" i="28"/>
  <c r="G506" i="28"/>
  <c r="G505" i="28"/>
  <c r="G504" i="28"/>
  <c r="G503" i="28"/>
  <c r="G502" i="28"/>
  <c r="G501" i="28"/>
  <c r="G500" i="28"/>
  <c r="G499" i="28"/>
  <c r="G498" i="28"/>
  <c r="G497" i="28"/>
  <c r="G496" i="28"/>
  <c r="G495" i="28"/>
  <c r="G494" i="28"/>
  <c r="G493" i="28"/>
  <c r="G492" i="28"/>
  <c r="G491" i="28"/>
  <c r="G490" i="28"/>
  <c r="G489" i="28"/>
  <c r="G488" i="28"/>
  <c r="G487" i="28"/>
  <c r="G486" i="28"/>
  <c r="G485" i="28"/>
  <c r="G484" i="28"/>
  <c r="G483" i="28"/>
  <c r="G482" i="28"/>
  <c r="G481" i="28"/>
  <c r="G480" i="28"/>
  <c r="G479" i="28"/>
  <c r="G478" i="28"/>
  <c r="G477" i="28"/>
  <c r="G476" i="28"/>
  <c r="G475" i="28"/>
  <c r="G474" i="28"/>
  <c r="G473" i="28"/>
  <c r="G472" i="28"/>
  <c r="G471" i="28"/>
  <c r="G470" i="28"/>
  <c r="G469" i="28"/>
  <c r="G468" i="28"/>
  <c r="G467" i="28"/>
  <c r="G466" i="28"/>
  <c r="G465" i="28"/>
  <c r="G464" i="28"/>
  <c r="G463" i="28"/>
  <c r="G462" i="28"/>
  <c r="G461" i="28"/>
  <c r="G460" i="28"/>
  <c r="G459" i="28"/>
  <c r="G458" i="28"/>
  <c r="G457" i="28"/>
  <c r="G456" i="28"/>
  <c r="G455" i="28"/>
  <c r="G454" i="28"/>
  <c r="G453" i="28"/>
  <c r="G452" i="28"/>
  <c r="G451" i="28"/>
  <c r="G450" i="28"/>
  <c r="G449" i="28"/>
  <c r="G448" i="28"/>
  <c r="G447" i="28"/>
  <c r="G446" i="28"/>
  <c r="G445" i="28"/>
  <c r="G444" i="28"/>
  <c r="G443" i="28"/>
  <c r="G442" i="28"/>
  <c r="J441" i="28"/>
  <c r="I441" i="28"/>
  <c r="G441" i="28"/>
  <c r="G440" i="28"/>
  <c r="G439" i="28"/>
  <c r="G438" i="28"/>
  <c r="G437" i="28"/>
  <c r="G436" i="28"/>
  <c r="G435" i="28"/>
  <c r="G434" i="28"/>
  <c r="G433" i="28"/>
  <c r="G432" i="28"/>
  <c r="G431" i="28"/>
  <c r="G430" i="28"/>
  <c r="G429" i="28"/>
  <c r="G428" i="28"/>
  <c r="G427" i="28"/>
  <c r="G426" i="28"/>
  <c r="G425" i="28"/>
  <c r="G424" i="28"/>
  <c r="G423" i="28"/>
  <c r="G422" i="28"/>
  <c r="G421" i="28"/>
  <c r="G420" i="28"/>
  <c r="G419" i="28"/>
  <c r="G418" i="28"/>
  <c r="G417" i="28"/>
  <c r="G416" i="28"/>
  <c r="G415" i="28"/>
  <c r="G414" i="28"/>
  <c r="G413" i="28"/>
  <c r="G412" i="28"/>
  <c r="G411" i="28"/>
  <c r="G410" i="28"/>
  <c r="G409" i="28"/>
  <c r="G408" i="28"/>
  <c r="G407" i="28"/>
  <c r="G406" i="28"/>
  <c r="G405" i="28"/>
  <c r="G404" i="28"/>
  <c r="G403" i="28"/>
  <c r="G402" i="28"/>
  <c r="G401" i="28"/>
  <c r="G400" i="28"/>
  <c r="G399" i="28"/>
  <c r="G398" i="28"/>
  <c r="G397" i="28"/>
  <c r="G396" i="28"/>
  <c r="G395" i="28"/>
  <c r="G394" i="28"/>
  <c r="G393" i="28"/>
  <c r="G392" i="28"/>
  <c r="G391" i="28"/>
  <c r="G390" i="28"/>
  <c r="G389" i="28"/>
  <c r="G388" i="28"/>
  <c r="G387" i="28"/>
  <c r="G386" i="28"/>
  <c r="G385" i="28"/>
  <c r="G384" i="28"/>
  <c r="G383" i="28"/>
  <c r="G382" i="28"/>
  <c r="G381" i="28"/>
  <c r="G380" i="28"/>
  <c r="G379" i="28"/>
  <c r="G378" i="28"/>
  <c r="G377" i="28"/>
  <c r="G376" i="28"/>
  <c r="G375" i="28"/>
  <c r="G374" i="28"/>
  <c r="K373" i="28"/>
  <c r="J373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1" i="28"/>
  <c r="G360" i="28"/>
  <c r="G359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3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7" i="28"/>
  <c r="G276" i="28"/>
  <c r="G275" i="28"/>
  <c r="G274" i="28"/>
  <c r="G273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30" i="28"/>
  <c r="G129" i="28"/>
  <c r="G128" i="28"/>
  <c r="G127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H87" i="2" l="1"/>
  <c r="H88" i="2" s="1"/>
  <c r="H89" i="2" s="1"/>
  <c r="H77" i="2"/>
  <c r="AC74" i="2"/>
  <c r="P89" i="2"/>
  <c r="Q89" i="2"/>
  <c r="AC2" i="2"/>
  <c r="AC3" i="2" s="1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B76" i="2"/>
  <c r="AB77" i="2"/>
  <c r="AB78" i="2"/>
  <c r="AB79" i="2"/>
  <c r="AB80" i="2"/>
  <c r="AB81" i="2"/>
  <c r="AB82" i="2"/>
  <c r="AB83" i="2"/>
  <c r="AB84" i="2"/>
  <c r="AB85" i="2"/>
  <c r="AB86" i="2"/>
  <c r="AC86" i="2" s="1"/>
  <c r="AB87" i="2"/>
  <c r="AB88" i="2"/>
  <c r="AB75" i="2"/>
  <c r="U75" i="2"/>
  <c r="U74" i="2"/>
  <c r="M80" i="2"/>
  <c r="M79" i="2"/>
  <c r="M81" i="2"/>
  <c r="M82" i="2"/>
  <c r="M83" i="2"/>
  <c r="M84" i="2"/>
  <c r="M85" i="2"/>
  <c r="M86" i="2"/>
  <c r="N86" i="2" s="1"/>
  <c r="M87" i="2"/>
  <c r="M88" i="2"/>
  <c r="Y64" i="2"/>
  <c r="Y79" i="2"/>
  <c r="Y78" i="2"/>
  <c r="AC75" i="2" l="1"/>
  <c r="AC76" i="2" s="1"/>
  <c r="G488" i="26"/>
  <c r="H488" i="26"/>
  <c r="G489" i="26"/>
  <c r="H489" i="26"/>
  <c r="G490" i="26"/>
  <c r="H490" i="26"/>
  <c r="G491" i="26"/>
  <c r="H491" i="26"/>
  <c r="G492" i="26"/>
  <c r="H492" i="26"/>
  <c r="G493" i="26"/>
  <c r="H493" i="26"/>
  <c r="G494" i="26"/>
  <c r="H494" i="26"/>
  <c r="G495" i="26"/>
  <c r="H495" i="26"/>
  <c r="G496" i="26"/>
  <c r="H496" i="26"/>
  <c r="G497" i="26"/>
  <c r="H497" i="26"/>
  <c r="G498" i="26"/>
  <c r="H498" i="26"/>
  <c r="G499" i="26"/>
  <c r="H499" i="26"/>
  <c r="G500" i="26"/>
  <c r="H500" i="26"/>
  <c r="G501" i="26"/>
  <c r="H501" i="26"/>
  <c r="G502" i="26"/>
  <c r="H502" i="26"/>
  <c r="G503" i="26"/>
  <c r="H503" i="26"/>
  <c r="G504" i="26"/>
  <c r="H504" i="26"/>
  <c r="G505" i="26"/>
  <c r="H505" i="26"/>
  <c r="G506" i="26"/>
  <c r="H506" i="26"/>
  <c r="G507" i="26"/>
  <c r="H507" i="26"/>
  <c r="G508" i="26"/>
  <c r="H508" i="26"/>
  <c r="G509" i="26"/>
  <c r="H509" i="26"/>
  <c r="G510" i="26"/>
  <c r="H510" i="26"/>
  <c r="G511" i="26"/>
  <c r="H511" i="26"/>
  <c r="G512" i="26"/>
  <c r="H512" i="26"/>
  <c r="G513" i="26"/>
  <c r="H513" i="26"/>
  <c r="G514" i="26"/>
  <c r="H514" i="26"/>
  <c r="G515" i="26"/>
  <c r="H515" i="26"/>
  <c r="G516" i="26"/>
  <c r="H516" i="26"/>
  <c r="G517" i="26"/>
  <c r="H517" i="26"/>
  <c r="G518" i="26"/>
  <c r="H518" i="26"/>
  <c r="AC77" i="2" l="1"/>
  <c r="AC78" i="2" s="1"/>
  <c r="AC79" i="2" s="1"/>
  <c r="AC80" i="2" s="1"/>
  <c r="AC81" i="2" s="1"/>
  <c r="AC82" i="2" s="1"/>
  <c r="AC83" i="2" s="1"/>
  <c r="AC84" i="2" s="1"/>
  <c r="AC85" i="2" s="1"/>
  <c r="AC87" i="2" s="1"/>
  <c r="AC88" i="2" s="1"/>
  <c r="AC89" i="2" s="1"/>
  <c r="U88" i="2"/>
  <c r="P88" i="2"/>
  <c r="Q88" i="2"/>
  <c r="H74" i="2"/>
  <c r="H75" i="2" s="1"/>
  <c r="H76" i="2" s="1"/>
  <c r="H78" i="2" s="1"/>
  <c r="H79" i="2" s="1"/>
  <c r="H80" i="2" s="1"/>
  <c r="H81" i="2" s="1"/>
  <c r="H82" i="2" s="1"/>
  <c r="H83" i="2" s="1"/>
  <c r="H84" i="2" s="1"/>
  <c r="H85" i="2" s="1"/>
  <c r="P87" i="2"/>
  <c r="Q87" i="2"/>
  <c r="U86" i="2"/>
  <c r="V86" i="2" s="1"/>
  <c r="P86" i="2"/>
  <c r="Q86" i="2"/>
  <c r="U85" i="2"/>
  <c r="P85" i="2"/>
  <c r="Q85" i="2"/>
  <c r="U84" i="2"/>
  <c r="P84" i="2"/>
  <c r="Q84" i="2"/>
  <c r="U83" i="2"/>
  <c r="P83" i="2"/>
  <c r="Q83" i="2"/>
  <c r="U82" i="2"/>
  <c r="P82" i="2"/>
  <c r="Q82" i="2"/>
  <c r="V87" i="2" l="1"/>
  <c r="U81" i="2"/>
  <c r="P81" i="2"/>
  <c r="Q81" i="2"/>
  <c r="U80" i="2"/>
  <c r="P80" i="2"/>
  <c r="Q80" i="2"/>
  <c r="U79" i="2"/>
  <c r="P79" i="2"/>
  <c r="Q79" i="2"/>
  <c r="V88" i="2" l="1"/>
  <c r="V89" i="2" s="1"/>
  <c r="D78" i="22"/>
  <c r="U78" i="2"/>
  <c r="M78" i="2"/>
  <c r="P78" i="2"/>
  <c r="Q78" i="2"/>
  <c r="F77" i="22" l="1"/>
  <c r="D77" i="22"/>
  <c r="J487" i="26"/>
  <c r="K487" i="26"/>
  <c r="I48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58" i="26"/>
  <c r="Y76" i="2"/>
  <c r="Y77" i="2"/>
  <c r="U77" i="2"/>
  <c r="M77" i="2"/>
  <c r="N77" i="2" s="1"/>
  <c r="N78" i="2" s="1"/>
  <c r="P77" i="2"/>
  <c r="Q77" i="2"/>
  <c r="F73" i="22" l="1"/>
  <c r="F74" i="22"/>
  <c r="F75" i="22"/>
  <c r="F76" i="22"/>
  <c r="F62" i="22"/>
  <c r="F63" i="22"/>
  <c r="F64" i="22"/>
  <c r="F65" i="22"/>
  <c r="F66" i="22"/>
  <c r="F67" i="22"/>
  <c r="F68" i="22"/>
  <c r="F69" i="22"/>
  <c r="F70" i="22"/>
  <c r="F71" i="22"/>
  <c r="F72" i="22"/>
  <c r="J71" i="2" l="1"/>
  <c r="D76" i="22"/>
  <c r="K457" i="26" l="1"/>
  <c r="H457" i="26" l="1"/>
  <c r="G457" i="26"/>
  <c r="J457" i="26" l="1"/>
  <c r="I457" i="26"/>
  <c r="U76" i="2"/>
  <c r="M76" i="2"/>
  <c r="P76" i="2"/>
  <c r="Q76" i="2"/>
  <c r="H456" i="26"/>
  <c r="G456" i="26"/>
  <c r="H455" i="26"/>
  <c r="G455" i="26"/>
  <c r="H454" i="26"/>
  <c r="G454" i="26"/>
  <c r="H453" i="26"/>
  <c r="G453" i="26"/>
  <c r="H452" i="26"/>
  <c r="G452" i="26"/>
  <c r="H451" i="26"/>
  <c r="G451" i="26"/>
  <c r="H450" i="26"/>
  <c r="G450" i="26"/>
  <c r="H449" i="26"/>
  <c r="G449" i="26"/>
  <c r="H448" i="26"/>
  <c r="G448" i="26"/>
  <c r="H447" i="26"/>
  <c r="G447" i="26"/>
  <c r="H446" i="26"/>
  <c r="G446" i="26"/>
  <c r="H445" i="26"/>
  <c r="G445" i="26"/>
  <c r="H427" i="26" l="1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J74" i="2"/>
  <c r="F74" i="2"/>
  <c r="F75" i="2" s="1"/>
  <c r="F76" i="2" s="1"/>
  <c r="F77" i="2" s="1"/>
  <c r="F78" i="2" s="1"/>
  <c r="D72" i="22" l="1"/>
  <c r="D73" i="22"/>
  <c r="D74" i="22"/>
  <c r="D75" i="22"/>
  <c r="D65" i="22"/>
  <c r="D66" i="22"/>
  <c r="D67" i="22"/>
  <c r="D68" i="22"/>
  <c r="D69" i="22"/>
  <c r="D70" i="22"/>
  <c r="D71" i="22"/>
  <c r="I425" i="26"/>
  <c r="J425" i="26"/>
  <c r="I414" i="26"/>
  <c r="J397" i="26"/>
  <c r="I383" i="26"/>
  <c r="I413" i="26"/>
  <c r="I397" i="26"/>
  <c r="I382" i="26"/>
  <c r="J75" i="2"/>
  <c r="J76" i="2" s="1"/>
  <c r="J77" i="2" s="1"/>
  <c r="J78" i="2" s="1"/>
  <c r="K426" i="26" l="1"/>
  <c r="J426" i="26"/>
  <c r="I426" i="26"/>
  <c r="H426" i="26"/>
  <c r="G426" i="26"/>
  <c r="H425" i="26"/>
  <c r="G425" i="26"/>
  <c r="H424" i="26"/>
  <c r="G424" i="26"/>
  <c r="H423" i="26"/>
  <c r="G423" i="26"/>
  <c r="H422" i="26"/>
  <c r="G422" i="26"/>
  <c r="H421" i="26" l="1"/>
  <c r="H420" i="26"/>
  <c r="H419" i="26"/>
  <c r="H418" i="26"/>
  <c r="H417" i="26"/>
  <c r="H416" i="26"/>
  <c r="H415" i="26"/>
  <c r="H414" i="26"/>
  <c r="H413" i="26"/>
  <c r="H412" i="26"/>
  <c r="H411" i="26"/>
  <c r="H410" i="26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H317" i="26"/>
  <c r="H316" i="26"/>
  <c r="H315" i="26"/>
  <c r="H314" i="26"/>
  <c r="H313" i="26"/>
  <c r="H312" i="26"/>
  <c r="H311" i="26"/>
  <c r="H310" i="26"/>
  <c r="H309" i="26"/>
  <c r="H308" i="26"/>
  <c r="H307" i="26"/>
  <c r="H306" i="26"/>
  <c r="H305" i="26"/>
  <c r="H304" i="26"/>
  <c r="H303" i="26"/>
  <c r="H302" i="26"/>
  <c r="H301" i="26"/>
  <c r="H300" i="26"/>
  <c r="H299" i="26"/>
  <c r="H298" i="26"/>
  <c r="H297" i="26"/>
  <c r="H296" i="26"/>
  <c r="H295" i="26"/>
  <c r="H294" i="26"/>
  <c r="H293" i="26"/>
  <c r="H292" i="26"/>
  <c r="H291" i="26"/>
  <c r="H290" i="26"/>
  <c r="H289" i="26"/>
  <c r="H288" i="26"/>
  <c r="H287" i="26"/>
  <c r="H286" i="26"/>
  <c r="H285" i="26"/>
  <c r="H284" i="26"/>
  <c r="H283" i="26"/>
  <c r="H282" i="26"/>
  <c r="H281" i="26"/>
  <c r="H280" i="26"/>
  <c r="H279" i="26"/>
  <c r="H278" i="26"/>
  <c r="H277" i="26"/>
  <c r="H276" i="26"/>
  <c r="H275" i="26"/>
  <c r="H274" i="26"/>
  <c r="H273" i="26"/>
  <c r="H272" i="26"/>
  <c r="H271" i="26"/>
  <c r="H270" i="26"/>
  <c r="H269" i="26"/>
  <c r="H268" i="26"/>
  <c r="H267" i="26"/>
  <c r="H266" i="26"/>
  <c r="H265" i="26"/>
  <c r="H264" i="26"/>
  <c r="H263" i="26"/>
  <c r="H262" i="26"/>
  <c r="H261" i="26"/>
  <c r="H260" i="26"/>
  <c r="H259" i="26"/>
  <c r="H258" i="26"/>
  <c r="H257" i="26"/>
  <c r="H256" i="26"/>
  <c r="H255" i="26"/>
  <c r="H254" i="26"/>
  <c r="H253" i="26"/>
  <c r="H252" i="26"/>
  <c r="H251" i="26"/>
  <c r="H250" i="26"/>
  <c r="H249" i="26"/>
  <c r="H248" i="26"/>
  <c r="H247" i="26"/>
  <c r="H246" i="26"/>
  <c r="H245" i="26"/>
  <c r="H244" i="26"/>
  <c r="H243" i="26"/>
  <c r="H242" i="26"/>
  <c r="H241" i="26"/>
  <c r="H240" i="26"/>
  <c r="H239" i="26"/>
  <c r="H238" i="26"/>
  <c r="H237" i="26"/>
  <c r="H236" i="26"/>
  <c r="H235" i="26"/>
  <c r="H234" i="26"/>
  <c r="H233" i="26"/>
  <c r="H232" i="26"/>
  <c r="H231" i="26"/>
  <c r="H230" i="26"/>
  <c r="H229" i="26"/>
  <c r="H228" i="26"/>
  <c r="H227" i="26"/>
  <c r="H226" i="26"/>
  <c r="H225" i="26"/>
  <c r="H224" i="26"/>
  <c r="H223" i="26"/>
  <c r="H222" i="26"/>
  <c r="H221" i="26"/>
  <c r="H220" i="26"/>
  <c r="H219" i="26"/>
  <c r="H218" i="26"/>
  <c r="H217" i="26"/>
  <c r="H216" i="26"/>
  <c r="H215" i="26"/>
  <c r="H214" i="26"/>
  <c r="H213" i="26"/>
  <c r="H212" i="26"/>
  <c r="H211" i="26"/>
  <c r="H210" i="26"/>
  <c r="H209" i="26"/>
  <c r="H208" i="26"/>
  <c r="H207" i="26"/>
  <c r="H206" i="26"/>
  <c r="H205" i="26"/>
  <c r="H204" i="26"/>
  <c r="H203" i="26"/>
  <c r="H202" i="26"/>
  <c r="H201" i="26"/>
  <c r="H200" i="26"/>
  <c r="H199" i="26"/>
  <c r="H198" i="26"/>
  <c r="H197" i="26"/>
  <c r="H196" i="26"/>
  <c r="H195" i="26"/>
  <c r="H194" i="26"/>
  <c r="H193" i="26"/>
  <c r="H192" i="26"/>
  <c r="H191" i="26"/>
  <c r="H190" i="26"/>
  <c r="H189" i="26"/>
  <c r="H188" i="26"/>
  <c r="H187" i="26"/>
  <c r="H186" i="26"/>
  <c r="H185" i="26"/>
  <c r="H184" i="26"/>
  <c r="H183" i="26"/>
  <c r="H182" i="26"/>
  <c r="H181" i="26"/>
  <c r="H180" i="26"/>
  <c r="H179" i="26"/>
  <c r="H178" i="26"/>
  <c r="H177" i="26"/>
  <c r="H176" i="26"/>
  <c r="H175" i="26"/>
  <c r="H174" i="26"/>
  <c r="H173" i="26"/>
  <c r="H172" i="26"/>
  <c r="H171" i="26"/>
  <c r="H170" i="26"/>
  <c r="H169" i="26"/>
  <c r="H168" i="26"/>
  <c r="H167" i="26"/>
  <c r="H166" i="26"/>
  <c r="H165" i="26"/>
  <c r="H164" i="26"/>
  <c r="H163" i="26"/>
  <c r="H162" i="26"/>
  <c r="H161" i="26"/>
  <c r="H160" i="26"/>
  <c r="H159" i="26"/>
  <c r="H158" i="26"/>
  <c r="H157" i="26"/>
  <c r="H156" i="26"/>
  <c r="H155" i="26"/>
  <c r="H154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H141" i="26"/>
  <c r="H140" i="26"/>
  <c r="H139" i="26"/>
  <c r="H138" i="26"/>
  <c r="H137" i="26"/>
  <c r="H136" i="26"/>
  <c r="H135" i="26"/>
  <c r="H134" i="26"/>
  <c r="H133" i="26"/>
  <c r="H132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06" i="26"/>
  <c r="H105" i="26"/>
  <c r="H104" i="26"/>
  <c r="H103" i="26"/>
  <c r="H102" i="26"/>
  <c r="H101" i="26"/>
  <c r="H100" i="26"/>
  <c r="H99" i="26"/>
  <c r="H98" i="26"/>
  <c r="H97" i="26"/>
  <c r="H96" i="26"/>
  <c r="H95" i="26"/>
  <c r="H94" i="26"/>
  <c r="H93" i="26"/>
  <c r="H92" i="26"/>
  <c r="H91" i="26"/>
  <c r="H90" i="26"/>
  <c r="H89" i="26"/>
  <c r="H88" i="26"/>
  <c r="H87" i="26"/>
  <c r="H86" i="26"/>
  <c r="H85" i="26"/>
  <c r="H84" i="26"/>
  <c r="H83" i="26"/>
  <c r="H82" i="26"/>
  <c r="H81" i="26"/>
  <c r="H80" i="26"/>
  <c r="H79" i="26"/>
  <c r="H78" i="26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G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" i="26"/>
  <c r="Y2" i="2"/>
  <c r="Z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63" i="2"/>
  <c r="Z63" i="2" s="1"/>
  <c r="Y65" i="2"/>
  <c r="Y66" i="2"/>
  <c r="Y67" i="2"/>
  <c r="Y68" i="2"/>
  <c r="Y69" i="2"/>
  <c r="Y70" i="2"/>
  <c r="Y71" i="2"/>
  <c r="Y72" i="2"/>
  <c r="Y73" i="2"/>
  <c r="Y74" i="2"/>
  <c r="Z74" i="2" s="1"/>
  <c r="Y75" i="2"/>
  <c r="V2" i="2"/>
  <c r="M75" i="2"/>
  <c r="K398" i="26"/>
  <c r="J398" i="26"/>
  <c r="I398" i="26"/>
  <c r="K367" i="26"/>
  <c r="J367" i="26"/>
  <c r="I367" i="26"/>
  <c r="K336" i="26"/>
  <c r="J336" i="26"/>
  <c r="I336" i="26"/>
  <c r="K306" i="26"/>
  <c r="J306" i="26"/>
  <c r="I306" i="26"/>
  <c r="K275" i="26"/>
  <c r="J275" i="26"/>
  <c r="I275" i="26"/>
  <c r="K245" i="26"/>
  <c r="J245" i="26"/>
  <c r="I245" i="26"/>
  <c r="K214" i="26"/>
  <c r="J214" i="26"/>
  <c r="I214" i="26"/>
  <c r="K183" i="26"/>
  <c r="J183" i="26"/>
  <c r="I183" i="26"/>
  <c r="K153" i="26"/>
  <c r="J153" i="26"/>
  <c r="I153" i="26"/>
  <c r="K122" i="26"/>
  <c r="J122" i="26"/>
  <c r="I122" i="26"/>
  <c r="I92" i="26"/>
  <c r="I61" i="26"/>
  <c r="I32" i="26"/>
  <c r="K92" i="26"/>
  <c r="J92" i="26"/>
  <c r="K61" i="26"/>
  <c r="J61" i="26"/>
  <c r="K32" i="26"/>
  <c r="J32" i="26"/>
  <c r="V74" i="2"/>
  <c r="P75" i="2"/>
  <c r="Q75" i="2"/>
  <c r="M74" i="2"/>
  <c r="N74" i="2" s="1"/>
  <c r="D74" i="2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P74" i="2"/>
  <c r="Q74" i="2"/>
  <c r="U73" i="2"/>
  <c r="M73" i="2"/>
  <c r="N75" i="2" l="1"/>
  <c r="N76" i="2" s="1"/>
  <c r="N79" i="2" s="1"/>
  <c r="N80" i="2" s="1"/>
  <c r="D88" i="2"/>
  <c r="D89" i="2" s="1"/>
  <c r="Z64" i="2"/>
  <c r="Z65" i="2" s="1"/>
  <c r="Z66" i="2" s="1"/>
  <c r="Z67" i="2" s="1"/>
  <c r="Z68" i="2" s="1"/>
  <c r="Z69" i="2" s="1"/>
  <c r="Z70" i="2" s="1"/>
  <c r="Z71" i="2" s="1"/>
  <c r="Z72" i="2" s="1"/>
  <c r="Z73" i="2" s="1"/>
  <c r="Z3" i="2"/>
  <c r="Z4" i="2" s="1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75" i="2"/>
  <c r="Z76" i="2" s="1"/>
  <c r="Z77" i="2" s="1"/>
  <c r="Z78" i="2" s="1"/>
  <c r="Z79" i="2" s="1"/>
  <c r="U72" i="2"/>
  <c r="M72" i="2"/>
  <c r="C71" i="22"/>
  <c r="H62" i="2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U71" i="2"/>
  <c r="M71" i="2"/>
  <c r="N81" i="2" l="1"/>
  <c r="N82" i="2" s="1"/>
  <c r="N83" i="2" s="1"/>
  <c r="N84" i="2" s="1"/>
  <c r="M68" i="2"/>
  <c r="C70" i="22"/>
  <c r="N85" i="2" l="1"/>
  <c r="N87" i="2" s="1"/>
  <c r="N88" i="2" s="1"/>
  <c r="N89" i="2" s="1"/>
  <c r="U70" i="2"/>
  <c r="M70" i="2"/>
  <c r="C69" i="22"/>
  <c r="U69" i="2"/>
  <c r="M69" i="2"/>
  <c r="F62" i="2"/>
  <c r="C68" i="22"/>
  <c r="M63" i="2"/>
  <c r="U68" i="2"/>
  <c r="M66" i="2"/>
  <c r="M67" i="2"/>
  <c r="M65" i="2"/>
  <c r="F63" i="2" l="1"/>
  <c r="F64" i="2" s="1"/>
  <c r="C67" i="22"/>
  <c r="F65" i="2" l="1"/>
  <c r="F66" i="2" s="1"/>
  <c r="F67" i="2" s="1"/>
  <c r="F68" i="2" s="1"/>
  <c r="F69" i="2" s="1"/>
  <c r="F70" i="2" s="1"/>
  <c r="F71" i="2" s="1"/>
  <c r="F72" i="2" s="1"/>
  <c r="F73" i="2" s="1"/>
  <c r="U67" i="2"/>
  <c r="C66" i="22"/>
  <c r="U66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V50" i="2" s="1"/>
  <c r="U51" i="2"/>
  <c r="U52" i="2"/>
  <c r="U53" i="2"/>
  <c r="U54" i="2"/>
  <c r="U55" i="2"/>
  <c r="U56" i="2"/>
  <c r="U57" i="2"/>
  <c r="U58" i="2"/>
  <c r="U59" i="2"/>
  <c r="U60" i="2"/>
  <c r="U61" i="2"/>
  <c r="U62" i="2"/>
  <c r="V62" i="2" s="1"/>
  <c r="U63" i="2"/>
  <c r="U64" i="2"/>
  <c r="U65" i="2"/>
  <c r="V51" i="2" l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C65" i="22"/>
  <c r="D62" i="2"/>
  <c r="D63" i="2" s="1"/>
  <c r="D64" i="2" s="1"/>
  <c r="D65" i="2" s="1"/>
  <c r="D66" i="2" s="1"/>
  <c r="D67" i="2" s="1"/>
  <c r="D68" i="2" s="1"/>
  <c r="D62" i="22"/>
  <c r="D63" i="22"/>
  <c r="D64" i="22"/>
  <c r="C64" i="22" l="1"/>
  <c r="M64" i="2" l="1"/>
  <c r="C63" i="22"/>
  <c r="C62" i="22"/>
  <c r="J62" i="2"/>
  <c r="J63" i="2" s="1"/>
  <c r="J64" i="2" s="1"/>
  <c r="J65" i="2" s="1"/>
  <c r="J66" i="2" s="1"/>
  <c r="J67" i="2" s="1"/>
  <c r="J68" i="2" s="1"/>
  <c r="J69" i="2" s="1"/>
  <c r="J70" i="2" s="1"/>
  <c r="J72" i="2" s="1"/>
  <c r="J73" i="2" s="1"/>
  <c r="M62" i="2"/>
  <c r="N62" i="2" s="1"/>
  <c r="M61" i="2"/>
  <c r="N63" i="2" l="1"/>
  <c r="N64" i="2" s="1"/>
  <c r="N65" i="2" s="1"/>
  <c r="N66" i="2" s="1"/>
  <c r="N67" i="2" s="1"/>
  <c r="N68" i="2" s="1"/>
  <c r="N69" i="2" s="1"/>
  <c r="N70" i="2" s="1"/>
  <c r="H50" i="2"/>
  <c r="H51" i="2" s="1"/>
  <c r="H52" i="2" s="1"/>
  <c r="H53" i="2" s="1"/>
  <c r="H54" i="2" s="1"/>
  <c r="H55" i="2" s="1"/>
  <c r="H56" i="2" s="1"/>
  <c r="H57" i="2" s="1"/>
  <c r="H58" i="2" s="1"/>
  <c r="H59" i="2" s="1"/>
  <c r="M60" i="2"/>
  <c r="M59" i="2"/>
  <c r="N71" i="2" l="1"/>
  <c r="N72" i="2" s="1"/>
  <c r="N73" i="2" s="1"/>
  <c r="H60" i="2"/>
  <c r="H61" i="2" s="1"/>
  <c r="K56" i="22"/>
  <c r="K53" i="22"/>
  <c r="K50" i="22"/>
  <c r="M58" i="2"/>
  <c r="M57" i="2"/>
  <c r="P56" i="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2" i="22"/>
  <c r="C56" i="22"/>
  <c r="A2193" i="24"/>
  <c r="A2194" i="24"/>
  <c r="A2195" i="24"/>
  <c r="A2196" i="24"/>
  <c r="A2197" i="24"/>
  <c r="A2198" i="24"/>
  <c r="A2199" i="24"/>
  <c r="A2200" i="24"/>
  <c r="A2201" i="24"/>
  <c r="A2202" i="24"/>
  <c r="A2203" i="24"/>
  <c r="A2204" i="24"/>
  <c r="A2205" i="24"/>
  <c r="A2206" i="24"/>
  <c r="A2207" i="24"/>
  <c r="A2208" i="24"/>
  <c r="A2209" i="24"/>
  <c r="A2210" i="24"/>
  <c r="A2211" i="24"/>
  <c r="A2212" i="24"/>
  <c r="A2213" i="24"/>
  <c r="A2214" i="24"/>
  <c r="A2215" i="24"/>
  <c r="A2216" i="24"/>
  <c r="A2217" i="24"/>
  <c r="A2218" i="24"/>
  <c r="A2219" i="24"/>
  <c r="A2220" i="24"/>
  <c r="A2221" i="24"/>
  <c r="A2222" i="24"/>
  <c r="A2223" i="24"/>
  <c r="A2224" i="24"/>
  <c r="A2225" i="24"/>
  <c r="A2226" i="24"/>
  <c r="A2227" i="24"/>
  <c r="A2228" i="24"/>
  <c r="A2229" i="24"/>
  <c r="A2230" i="24"/>
  <c r="A2231" i="24"/>
  <c r="A2232" i="24"/>
  <c r="A2233" i="24"/>
  <c r="A2234" i="24"/>
  <c r="A2235" i="24"/>
  <c r="A2236" i="24"/>
  <c r="A2237" i="24"/>
  <c r="A2238" i="24"/>
  <c r="A2239" i="24"/>
  <c r="A2240" i="24"/>
  <c r="A2241" i="24"/>
  <c r="A2242" i="24"/>
  <c r="A2243" i="24"/>
  <c r="A2244" i="24"/>
  <c r="A2245" i="24"/>
  <c r="A2246" i="24"/>
  <c r="A2247" i="24"/>
  <c r="A2248" i="24"/>
  <c r="A2249" i="24"/>
  <c r="A2250" i="24"/>
  <c r="A2251" i="24"/>
  <c r="A2252" i="24"/>
  <c r="A2253" i="24"/>
  <c r="A2254" i="24"/>
  <c r="A2255" i="24"/>
  <c r="A2256" i="24"/>
  <c r="A2257" i="24"/>
  <c r="A2258" i="24"/>
  <c r="A2259" i="24"/>
  <c r="A2260" i="24"/>
  <c r="A2261" i="24"/>
  <c r="A2262" i="24"/>
  <c r="A2263" i="24"/>
  <c r="A2264" i="24"/>
  <c r="A2265" i="24"/>
  <c r="A2266" i="24"/>
  <c r="A2267" i="24"/>
  <c r="A2268" i="24"/>
  <c r="A2269" i="24"/>
  <c r="A2270" i="24"/>
  <c r="A2271" i="24"/>
  <c r="A2272" i="24"/>
  <c r="A2273" i="24"/>
  <c r="A2274" i="24"/>
  <c r="A2275" i="24"/>
  <c r="A2276" i="24"/>
  <c r="A2277" i="24"/>
  <c r="A2278" i="24"/>
  <c r="A2279" i="24"/>
  <c r="A2280" i="24"/>
  <c r="A2281" i="24"/>
  <c r="A2282" i="24"/>
  <c r="A2283" i="24"/>
  <c r="A2284" i="24"/>
  <c r="A2285" i="24"/>
  <c r="A2286" i="24"/>
  <c r="A2287" i="24"/>
  <c r="A2288" i="24"/>
  <c r="A2289" i="24"/>
  <c r="A2290" i="24"/>
  <c r="A2291" i="24"/>
  <c r="A2292" i="24"/>
  <c r="A2293" i="24"/>
  <c r="A2294" i="24"/>
  <c r="A2295" i="24"/>
  <c r="A2296" i="24"/>
  <c r="A2297" i="24"/>
  <c r="A2298" i="24"/>
  <c r="A2299" i="24"/>
  <c r="A2300" i="24"/>
  <c r="A2301" i="24"/>
  <c r="A2302" i="24"/>
  <c r="A2303" i="24"/>
  <c r="A2304" i="24"/>
  <c r="A2305" i="24"/>
  <c r="A2306" i="24"/>
  <c r="A2307" i="24"/>
  <c r="A2308" i="24"/>
  <c r="A2309" i="24"/>
  <c r="A2310" i="24"/>
  <c r="A2311" i="24"/>
  <c r="A2312" i="24"/>
  <c r="A2313" i="24"/>
  <c r="A2314" i="24"/>
  <c r="A2315" i="24"/>
  <c r="A2316" i="24"/>
  <c r="A2317" i="24"/>
  <c r="A2318" i="24"/>
  <c r="A2319" i="24"/>
  <c r="A2320" i="24"/>
  <c r="A2321" i="24"/>
  <c r="A2322" i="24"/>
  <c r="A2323" i="24"/>
  <c r="A2324" i="24"/>
  <c r="A2325" i="24"/>
  <c r="A2326" i="24"/>
  <c r="A2327" i="24"/>
  <c r="A2328" i="24"/>
  <c r="A2329" i="24"/>
  <c r="A2330" i="24"/>
  <c r="A2331" i="24"/>
  <c r="A2332" i="24"/>
  <c r="A2333" i="24"/>
  <c r="A2334" i="24"/>
  <c r="A2335" i="24"/>
  <c r="A2336" i="24"/>
  <c r="A2337" i="24"/>
  <c r="A2338" i="24"/>
  <c r="A2339" i="24"/>
  <c r="A2340" i="24"/>
  <c r="A2341" i="24"/>
  <c r="A2342" i="24"/>
  <c r="A2343" i="24"/>
  <c r="A2344" i="24"/>
  <c r="A2345" i="24"/>
  <c r="A2346" i="24"/>
  <c r="A2347" i="24"/>
  <c r="A2348" i="24"/>
  <c r="A2349" i="24"/>
  <c r="A2350" i="24"/>
  <c r="A2351" i="24"/>
  <c r="A2352" i="24"/>
  <c r="A2353" i="24"/>
  <c r="A2354" i="24"/>
  <c r="A2355" i="24"/>
  <c r="A2356" i="24"/>
  <c r="A2357" i="24"/>
  <c r="A2358" i="24"/>
  <c r="A2359" i="24"/>
  <c r="A2360" i="24"/>
  <c r="A2361" i="24"/>
  <c r="A2362" i="24"/>
  <c r="A2363" i="24"/>
  <c r="A2364" i="24"/>
  <c r="A2365" i="24"/>
  <c r="A2366" i="24"/>
  <c r="A2367" i="24"/>
  <c r="A2368" i="24"/>
  <c r="A2369" i="24"/>
  <c r="A2370" i="24"/>
  <c r="A2371" i="24"/>
  <c r="A2372" i="24"/>
  <c r="A2373" i="24"/>
  <c r="A2374" i="24"/>
  <c r="A2375" i="24"/>
  <c r="A2376" i="24"/>
  <c r="A2377" i="24"/>
  <c r="A2378" i="24"/>
  <c r="A2379" i="24"/>
  <c r="A2380" i="24"/>
  <c r="A2381" i="24"/>
  <c r="A2382" i="24"/>
  <c r="A2383" i="24"/>
  <c r="A2384" i="24"/>
  <c r="A2385" i="24"/>
  <c r="A2386" i="24"/>
  <c r="A2387" i="24"/>
  <c r="A2388" i="24"/>
  <c r="A2389" i="24"/>
  <c r="A2390" i="24"/>
  <c r="A2391" i="24"/>
  <c r="A2392" i="24"/>
  <c r="A2393" i="24"/>
  <c r="A2394" i="24"/>
  <c r="A2395" i="24"/>
  <c r="A2396" i="24"/>
  <c r="A2397" i="24"/>
  <c r="A2398" i="24"/>
  <c r="A2399" i="24"/>
  <c r="A2400" i="24"/>
  <c r="A2401" i="24"/>
  <c r="A2402" i="24"/>
  <c r="A2403" i="24"/>
  <c r="A2404" i="24"/>
  <c r="D2193" i="24"/>
  <c r="D2194" i="24"/>
  <c r="D2195" i="24"/>
  <c r="D2196" i="24"/>
  <c r="D2197" i="24"/>
  <c r="D2198" i="24"/>
  <c r="D2199" i="24"/>
  <c r="D2200" i="24"/>
  <c r="D2201" i="24"/>
  <c r="D2202" i="24"/>
  <c r="D2203" i="24"/>
  <c r="D2204" i="24"/>
  <c r="D2205" i="24"/>
  <c r="D2206" i="24"/>
  <c r="D2207" i="24"/>
  <c r="D2208" i="24"/>
  <c r="D2209" i="24"/>
  <c r="D2210" i="24"/>
  <c r="D2211" i="24"/>
  <c r="D2212" i="24"/>
  <c r="D2213" i="24"/>
  <c r="D2214" i="24"/>
  <c r="D2215" i="24"/>
  <c r="D2216" i="24"/>
  <c r="D2217" i="24"/>
  <c r="D2218" i="24"/>
  <c r="D2219" i="24"/>
  <c r="D2220" i="24"/>
  <c r="D2221" i="24"/>
  <c r="D2222" i="24"/>
  <c r="D2223" i="24"/>
  <c r="D2224" i="24"/>
  <c r="D2225" i="24"/>
  <c r="D2226" i="24"/>
  <c r="D2227" i="24"/>
  <c r="D2228" i="24"/>
  <c r="D2229" i="24"/>
  <c r="D2230" i="24"/>
  <c r="D2231" i="24"/>
  <c r="D2232" i="24"/>
  <c r="D2233" i="24"/>
  <c r="D2234" i="24"/>
  <c r="D2235" i="24"/>
  <c r="D2236" i="24"/>
  <c r="D2237" i="24"/>
  <c r="D2238" i="24"/>
  <c r="D2239" i="24"/>
  <c r="D2240" i="24"/>
  <c r="D2241" i="24"/>
  <c r="D2242" i="24"/>
  <c r="D2243" i="24"/>
  <c r="D2244" i="24"/>
  <c r="D2245" i="24"/>
  <c r="D2246" i="24"/>
  <c r="D2247" i="24"/>
  <c r="D2248" i="24"/>
  <c r="D2249" i="24"/>
  <c r="D2250" i="24"/>
  <c r="D2251" i="24"/>
  <c r="D2252" i="24"/>
  <c r="D2253" i="24"/>
  <c r="D2254" i="24"/>
  <c r="D2255" i="24"/>
  <c r="D2256" i="24"/>
  <c r="D2257" i="24"/>
  <c r="D2258" i="24"/>
  <c r="D2259" i="24"/>
  <c r="D2260" i="24"/>
  <c r="D2261" i="24"/>
  <c r="D2262" i="24"/>
  <c r="D2263" i="24"/>
  <c r="D2264" i="24"/>
  <c r="D2265" i="24"/>
  <c r="D2266" i="24"/>
  <c r="D2267" i="24"/>
  <c r="D2268" i="24"/>
  <c r="D2269" i="24"/>
  <c r="D2270" i="24"/>
  <c r="D2271" i="24"/>
  <c r="D2272" i="24"/>
  <c r="D2273" i="24"/>
  <c r="D2274" i="24"/>
  <c r="D2275" i="24"/>
  <c r="D2276" i="24"/>
  <c r="D2277" i="24"/>
  <c r="D2278" i="24"/>
  <c r="D2279" i="24"/>
  <c r="D2280" i="24"/>
  <c r="D2281" i="24"/>
  <c r="D2282" i="24"/>
  <c r="D2283" i="24"/>
  <c r="D2284" i="24"/>
  <c r="D2285" i="24"/>
  <c r="D2286" i="24"/>
  <c r="D2287" i="24"/>
  <c r="D2288" i="24"/>
  <c r="D2289" i="24"/>
  <c r="D2290" i="24"/>
  <c r="D2291" i="24"/>
  <c r="D2292" i="24"/>
  <c r="D2293" i="24"/>
  <c r="D2294" i="24"/>
  <c r="D2295" i="24"/>
  <c r="D2296" i="24"/>
  <c r="D2297" i="24"/>
  <c r="D2298" i="24"/>
  <c r="D2299" i="24"/>
  <c r="D2300" i="24"/>
  <c r="D2301" i="24"/>
  <c r="D2302" i="24"/>
  <c r="D2303" i="24"/>
  <c r="D2304" i="24"/>
  <c r="D2305" i="24"/>
  <c r="D2306" i="24"/>
  <c r="D2307" i="24"/>
  <c r="D2308" i="24"/>
  <c r="D2309" i="24"/>
  <c r="D2310" i="24"/>
  <c r="D2311" i="24"/>
  <c r="D2312" i="24"/>
  <c r="D2313" i="24"/>
  <c r="D2314" i="24"/>
  <c r="D2315" i="24"/>
  <c r="D2316" i="24"/>
  <c r="D2317" i="24"/>
  <c r="D2318" i="24"/>
  <c r="D2319" i="24"/>
  <c r="D2320" i="24"/>
  <c r="D2321" i="24"/>
  <c r="D2322" i="24"/>
  <c r="D2323" i="24"/>
  <c r="D2324" i="24"/>
  <c r="D2325" i="24"/>
  <c r="D2326" i="24"/>
  <c r="D2327" i="24"/>
  <c r="D2328" i="24"/>
  <c r="D2329" i="24"/>
  <c r="D2330" i="24"/>
  <c r="D2331" i="24"/>
  <c r="D2332" i="24"/>
  <c r="D2333" i="24"/>
  <c r="D2334" i="24"/>
  <c r="D2335" i="24"/>
  <c r="D2336" i="24"/>
  <c r="D2337" i="24"/>
  <c r="D2338" i="24"/>
  <c r="D2339" i="24"/>
  <c r="D2340" i="24"/>
  <c r="D2341" i="24"/>
  <c r="D2342" i="24"/>
  <c r="D2343" i="24"/>
  <c r="D2344" i="24"/>
  <c r="D2345" i="24"/>
  <c r="D2346" i="24"/>
  <c r="D2347" i="24"/>
  <c r="D2348" i="24"/>
  <c r="D2349" i="24"/>
  <c r="D2350" i="24"/>
  <c r="D2351" i="24"/>
  <c r="D2352" i="24"/>
  <c r="D2353" i="24"/>
  <c r="D2354" i="24"/>
  <c r="D2355" i="24"/>
  <c r="D2356" i="24"/>
  <c r="D2357" i="24"/>
  <c r="D2358" i="24"/>
  <c r="D2359" i="24"/>
  <c r="D2360" i="24"/>
  <c r="D2361" i="24"/>
  <c r="D2362" i="24"/>
  <c r="D2363" i="24"/>
  <c r="D2364" i="24"/>
  <c r="D2365" i="24"/>
  <c r="D2366" i="24"/>
  <c r="D2367" i="24"/>
  <c r="D2368" i="24"/>
  <c r="D2369" i="24"/>
  <c r="D2370" i="24"/>
  <c r="D2371" i="24"/>
  <c r="D2372" i="24"/>
  <c r="D2373" i="24"/>
  <c r="D2374" i="24"/>
  <c r="D2375" i="24"/>
  <c r="D2376" i="24"/>
  <c r="D2377" i="24"/>
  <c r="D2378" i="24"/>
  <c r="D2379" i="24"/>
  <c r="D2380" i="24"/>
  <c r="D2381" i="24"/>
  <c r="D2382" i="24"/>
  <c r="D2383" i="24"/>
  <c r="D2384" i="24"/>
  <c r="D2385" i="24"/>
  <c r="D2386" i="24"/>
  <c r="D2387" i="24"/>
  <c r="D2388" i="24"/>
  <c r="D2389" i="24"/>
  <c r="D2390" i="24"/>
  <c r="D2391" i="24"/>
  <c r="D2392" i="24"/>
  <c r="D2393" i="24"/>
  <c r="D2394" i="24"/>
  <c r="D2395" i="24"/>
  <c r="D2396" i="24"/>
  <c r="D2397" i="24"/>
  <c r="D2398" i="24"/>
  <c r="D2399" i="24"/>
  <c r="D2400" i="24"/>
  <c r="D2401" i="24"/>
  <c r="D2402" i="24"/>
  <c r="D2403" i="24"/>
  <c r="D2404" i="24"/>
  <c r="A1828" i="24"/>
  <c r="A1829" i="24"/>
  <c r="A1830" i="24"/>
  <c r="A1831" i="24"/>
  <c r="A1832" i="24"/>
  <c r="A1833" i="24"/>
  <c r="A1834" i="24"/>
  <c r="A1835" i="24"/>
  <c r="A1836" i="24"/>
  <c r="A1837" i="24"/>
  <c r="A1838" i="24"/>
  <c r="A1839" i="24"/>
  <c r="A1840" i="24"/>
  <c r="A1841" i="24"/>
  <c r="A1842" i="24"/>
  <c r="A1843" i="24"/>
  <c r="A1844" i="24"/>
  <c r="A1845" i="24"/>
  <c r="A1846" i="24"/>
  <c r="A1847" i="24"/>
  <c r="A1848" i="24"/>
  <c r="A1849" i="24"/>
  <c r="A1850" i="24"/>
  <c r="A1851" i="24"/>
  <c r="A1852" i="24"/>
  <c r="A1853" i="24"/>
  <c r="A1854" i="24"/>
  <c r="A1855" i="24"/>
  <c r="A1856" i="24"/>
  <c r="A1857" i="24"/>
  <c r="A1858" i="24"/>
  <c r="A1859" i="24"/>
  <c r="A1860" i="24"/>
  <c r="A1861" i="24"/>
  <c r="A1862" i="24"/>
  <c r="A1863" i="24"/>
  <c r="A1864" i="24"/>
  <c r="A1865" i="24"/>
  <c r="A1866" i="24"/>
  <c r="A1867" i="24"/>
  <c r="A1868" i="24"/>
  <c r="A1869" i="24"/>
  <c r="A1870" i="24"/>
  <c r="A1871" i="24"/>
  <c r="A1872" i="24"/>
  <c r="A1873" i="24"/>
  <c r="A1874" i="24"/>
  <c r="A1875" i="24"/>
  <c r="A1876" i="24"/>
  <c r="A1877" i="24"/>
  <c r="A1878" i="24"/>
  <c r="A1879" i="24"/>
  <c r="A1880" i="24"/>
  <c r="A1881" i="24"/>
  <c r="A1882" i="24"/>
  <c r="A1883" i="24"/>
  <c r="A1884" i="24"/>
  <c r="A1885" i="24"/>
  <c r="A1886" i="24"/>
  <c r="A1887" i="24"/>
  <c r="A1888" i="24"/>
  <c r="A1889" i="24"/>
  <c r="A1890" i="24"/>
  <c r="A1891" i="24"/>
  <c r="A1892" i="24"/>
  <c r="A1893" i="24"/>
  <c r="A1894" i="24"/>
  <c r="A1895" i="24"/>
  <c r="A1896" i="24"/>
  <c r="A1897" i="24"/>
  <c r="A1898" i="24"/>
  <c r="A1899" i="24"/>
  <c r="A1900" i="24"/>
  <c r="A1901" i="24"/>
  <c r="A1902" i="24"/>
  <c r="A1903" i="24"/>
  <c r="A1904" i="24"/>
  <c r="A1905" i="24"/>
  <c r="A1906" i="24"/>
  <c r="A1907" i="24"/>
  <c r="A1908" i="24"/>
  <c r="A1909" i="24"/>
  <c r="A1910" i="24"/>
  <c r="A1911" i="24"/>
  <c r="A1912" i="24"/>
  <c r="A1913" i="24"/>
  <c r="A1914" i="24"/>
  <c r="A1915" i="24"/>
  <c r="A1916" i="24"/>
  <c r="A1917" i="24"/>
  <c r="A1918" i="24"/>
  <c r="A1919" i="24"/>
  <c r="A1920" i="24"/>
  <c r="A1921" i="24"/>
  <c r="A1922" i="24"/>
  <c r="A1923" i="24"/>
  <c r="A1924" i="24"/>
  <c r="A1925" i="24"/>
  <c r="A1926" i="24"/>
  <c r="A1927" i="24"/>
  <c r="A1928" i="24"/>
  <c r="A1929" i="24"/>
  <c r="A1930" i="24"/>
  <c r="A1931" i="24"/>
  <c r="A1932" i="24"/>
  <c r="A1933" i="24"/>
  <c r="A1934" i="24"/>
  <c r="A1935" i="24"/>
  <c r="A1936" i="24"/>
  <c r="A1937" i="24"/>
  <c r="A1938" i="24"/>
  <c r="A1939" i="24"/>
  <c r="A1940" i="24"/>
  <c r="A1941" i="24"/>
  <c r="A1942" i="24"/>
  <c r="A1943" i="24"/>
  <c r="A1944" i="24"/>
  <c r="A1945" i="24"/>
  <c r="A1946" i="24"/>
  <c r="A1947" i="24"/>
  <c r="A1948" i="24"/>
  <c r="A1949" i="24"/>
  <c r="A1950" i="24"/>
  <c r="A1951" i="24"/>
  <c r="A1952" i="24"/>
  <c r="A1953" i="24"/>
  <c r="A1954" i="24"/>
  <c r="A1955" i="24"/>
  <c r="A1956" i="24"/>
  <c r="A1957" i="24"/>
  <c r="A1958" i="24"/>
  <c r="A1959" i="24"/>
  <c r="A1960" i="24"/>
  <c r="A1961" i="24"/>
  <c r="A1962" i="24"/>
  <c r="A1963" i="24"/>
  <c r="A1964" i="24"/>
  <c r="A1965" i="24"/>
  <c r="A1966" i="24"/>
  <c r="A1967" i="24"/>
  <c r="A1968" i="24"/>
  <c r="A1969" i="24"/>
  <c r="A1970" i="24"/>
  <c r="A1971" i="24"/>
  <c r="A1972" i="24"/>
  <c r="A1973" i="24"/>
  <c r="A1974" i="24"/>
  <c r="A1975" i="24"/>
  <c r="A1976" i="24"/>
  <c r="A1977" i="24"/>
  <c r="A1978" i="24"/>
  <c r="A1979" i="24"/>
  <c r="A1980" i="24"/>
  <c r="A1981" i="24"/>
  <c r="A1982" i="24"/>
  <c r="A1983" i="24"/>
  <c r="A1984" i="24"/>
  <c r="A1985" i="24"/>
  <c r="A1986" i="24"/>
  <c r="A1987" i="24"/>
  <c r="A1988" i="24"/>
  <c r="A1989" i="24"/>
  <c r="A1990" i="24"/>
  <c r="A1991" i="24"/>
  <c r="A1992" i="24"/>
  <c r="A1993" i="24"/>
  <c r="A1994" i="24"/>
  <c r="A1995" i="24"/>
  <c r="A1996" i="24"/>
  <c r="A1997" i="24"/>
  <c r="A1998" i="24"/>
  <c r="A1999" i="24"/>
  <c r="A2000" i="24"/>
  <c r="A2001" i="24"/>
  <c r="A2002" i="24"/>
  <c r="A2003" i="24"/>
  <c r="A2004" i="24"/>
  <c r="A2005" i="24"/>
  <c r="A2006" i="24"/>
  <c r="A2007" i="24"/>
  <c r="A2008" i="24"/>
  <c r="A2009" i="24"/>
  <c r="A2010" i="24"/>
  <c r="A2011" i="24"/>
  <c r="A2012" i="24"/>
  <c r="A2013" i="24"/>
  <c r="A2014" i="24"/>
  <c r="A2015" i="24"/>
  <c r="A2016" i="24"/>
  <c r="A2017" i="24"/>
  <c r="A2018" i="24"/>
  <c r="A2019" i="24"/>
  <c r="A2020" i="24"/>
  <c r="A2021" i="24"/>
  <c r="A2022" i="24"/>
  <c r="A2023" i="24"/>
  <c r="A2024" i="24"/>
  <c r="A2025" i="24"/>
  <c r="A2026" i="24"/>
  <c r="A2027" i="24"/>
  <c r="A2028" i="24"/>
  <c r="A2029" i="24"/>
  <c r="A2030" i="24"/>
  <c r="A2031" i="24"/>
  <c r="A2032" i="24"/>
  <c r="A2033" i="24"/>
  <c r="A2034" i="24"/>
  <c r="A2035" i="24"/>
  <c r="A2036" i="24"/>
  <c r="A2037" i="24"/>
  <c r="A2038" i="24"/>
  <c r="A2039" i="24"/>
  <c r="A2040" i="24"/>
  <c r="A2041" i="24"/>
  <c r="A2042" i="24"/>
  <c r="A2043" i="24"/>
  <c r="A2044" i="24"/>
  <c r="A2045" i="24"/>
  <c r="A2046" i="24"/>
  <c r="A2047" i="24"/>
  <c r="A2048" i="24"/>
  <c r="A2049" i="24"/>
  <c r="A2050" i="24"/>
  <c r="A2051" i="24"/>
  <c r="A2052" i="24"/>
  <c r="A2053" i="24"/>
  <c r="A2054" i="24"/>
  <c r="A2055" i="24"/>
  <c r="A2056" i="24"/>
  <c r="A2057" i="24"/>
  <c r="A2058" i="24"/>
  <c r="A2059" i="24"/>
  <c r="A2060" i="24"/>
  <c r="A2061" i="24"/>
  <c r="A2062" i="24"/>
  <c r="A2063" i="24"/>
  <c r="A2064" i="24"/>
  <c r="A2065" i="24"/>
  <c r="A2066" i="24"/>
  <c r="A2067" i="24"/>
  <c r="A2068" i="24"/>
  <c r="A2069" i="24"/>
  <c r="A2070" i="24"/>
  <c r="A2071" i="24"/>
  <c r="A2072" i="24"/>
  <c r="A2073" i="24"/>
  <c r="A2074" i="24"/>
  <c r="A2075" i="24"/>
  <c r="A2076" i="24"/>
  <c r="A2077" i="24"/>
  <c r="A2078" i="24"/>
  <c r="A2079" i="24"/>
  <c r="A2080" i="24"/>
  <c r="A2081" i="24"/>
  <c r="A2082" i="24"/>
  <c r="A2083" i="24"/>
  <c r="A2084" i="24"/>
  <c r="A2085" i="24"/>
  <c r="A2086" i="24"/>
  <c r="A2087" i="24"/>
  <c r="A2088" i="24"/>
  <c r="A2089" i="24"/>
  <c r="A2090" i="24"/>
  <c r="A2091" i="24"/>
  <c r="A2092" i="24"/>
  <c r="A2093" i="24"/>
  <c r="A2094" i="24"/>
  <c r="A2095" i="24"/>
  <c r="A2096" i="24"/>
  <c r="A2097" i="24"/>
  <c r="A2098" i="24"/>
  <c r="A2099" i="24"/>
  <c r="A2100" i="24"/>
  <c r="A2101" i="24"/>
  <c r="A2102" i="24"/>
  <c r="A2103" i="24"/>
  <c r="A2104" i="24"/>
  <c r="A2105" i="24"/>
  <c r="A2106" i="24"/>
  <c r="A2107" i="24"/>
  <c r="A2108" i="24"/>
  <c r="A2109" i="24"/>
  <c r="A2110" i="24"/>
  <c r="A2111" i="24"/>
  <c r="A2112" i="24"/>
  <c r="A2113" i="24"/>
  <c r="A2114" i="24"/>
  <c r="A2115" i="24"/>
  <c r="A2116" i="24"/>
  <c r="A2117" i="24"/>
  <c r="A2118" i="24"/>
  <c r="A2119" i="24"/>
  <c r="A2120" i="24"/>
  <c r="A2121" i="24"/>
  <c r="A2122" i="24"/>
  <c r="A2123" i="24"/>
  <c r="A2124" i="24"/>
  <c r="A2125" i="24"/>
  <c r="A2126" i="24"/>
  <c r="A2127" i="24"/>
  <c r="A2128" i="24"/>
  <c r="A2129" i="24"/>
  <c r="A2130" i="24"/>
  <c r="A2131" i="24"/>
  <c r="A2132" i="24"/>
  <c r="A2133" i="24"/>
  <c r="A2134" i="24"/>
  <c r="A2135" i="24"/>
  <c r="A2136" i="24"/>
  <c r="A2137" i="24"/>
  <c r="A2138" i="24"/>
  <c r="A2139" i="24"/>
  <c r="A2140" i="24"/>
  <c r="A2141" i="24"/>
  <c r="A2142" i="24"/>
  <c r="A2143" i="24"/>
  <c r="A2144" i="24"/>
  <c r="A2145" i="24"/>
  <c r="A2146" i="24"/>
  <c r="A2147" i="24"/>
  <c r="A2148" i="24"/>
  <c r="A2149" i="24"/>
  <c r="A2150" i="24"/>
  <c r="A2151" i="24"/>
  <c r="A2152" i="24"/>
  <c r="A2153" i="24"/>
  <c r="A2154" i="24"/>
  <c r="A2155" i="24"/>
  <c r="A2156" i="24"/>
  <c r="A2157" i="24"/>
  <c r="A2158" i="24"/>
  <c r="A2159" i="24"/>
  <c r="A2160" i="24"/>
  <c r="A2161" i="24"/>
  <c r="A2162" i="24"/>
  <c r="A2163" i="24"/>
  <c r="A2164" i="24"/>
  <c r="A2165" i="24"/>
  <c r="A2166" i="24"/>
  <c r="A2167" i="24"/>
  <c r="A2168" i="24"/>
  <c r="A2169" i="24"/>
  <c r="A2170" i="24"/>
  <c r="A2171" i="24"/>
  <c r="A2172" i="24"/>
  <c r="A2173" i="24"/>
  <c r="A2174" i="24"/>
  <c r="A2175" i="24"/>
  <c r="A2176" i="24"/>
  <c r="A2177" i="24"/>
  <c r="A2178" i="24"/>
  <c r="A2179" i="24"/>
  <c r="A2180" i="24"/>
  <c r="A2181" i="24"/>
  <c r="A2182" i="24"/>
  <c r="A2183" i="24"/>
  <c r="A2184" i="24"/>
  <c r="A2185" i="24"/>
  <c r="A2186" i="24"/>
  <c r="A2187" i="24"/>
  <c r="A2188" i="24"/>
  <c r="A2189" i="24"/>
  <c r="A2190" i="24"/>
  <c r="A2191" i="24"/>
  <c r="A2192" i="24"/>
  <c r="D1828" i="24"/>
  <c r="D1829" i="24"/>
  <c r="D1830" i="24"/>
  <c r="D1831" i="24"/>
  <c r="D1832" i="24"/>
  <c r="D1833" i="24"/>
  <c r="D1834" i="24"/>
  <c r="D1835" i="24"/>
  <c r="D1836" i="24"/>
  <c r="D1837" i="24"/>
  <c r="D1838" i="24"/>
  <c r="D1839" i="24"/>
  <c r="D1840" i="24"/>
  <c r="D1841" i="24"/>
  <c r="D1842" i="24"/>
  <c r="D1843" i="24"/>
  <c r="D1844" i="24"/>
  <c r="D1845" i="24"/>
  <c r="D1846" i="24"/>
  <c r="D1847" i="24"/>
  <c r="D1848" i="24"/>
  <c r="D1849" i="24"/>
  <c r="D1850" i="24"/>
  <c r="D1851" i="24"/>
  <c r="D1852" i="24"/>
  <c r="D1853" i="24"/>
  <c r="D1854" i="24"/>
  <c r="D1855" i="24"/>
  <c r="D1856" i="24"/>
  <c r="D1857" i="24"/>
  <c r="D1858" i="24"/>
  <c r="D1859" i="24"/>
  <c r="D1860" i="24"/>
  <c r="D1861" i="24"/>
  <c r="D1862" i="24"/>
  <c r="D1863" i="24"/>
  <c r="D1864" i="24"/>
  <c r="D1865" i="24"/>
  <c r="D1866" i="24"/>
  <c r="D1867" i="24"/>
  <c r="D1868" i="24"/>
  <c r="D1869" i="24"/>
  <c r="D1870" i="24"/>
  <c r="D1871" i="24"/>
  <c r="D1872" i="24"/>
  <c r="D1873" i="24"/>
  <c r="D1874" i="24"/>
  <c r="D1875" i="24"/>
  <c r="D1876" i="24"/>
  <c r="D1877" i="24"/>
  <c r="D1878" i="24"/>
  <c r="D1879" i="24"/>
  <c r="D1880" i="24"/>
  <c r="D1881" i="24"/>
  <c r="D1882" i="24"/>
  <c r="D1883" i="24"/>
  <c r="D1884" i="24"/>
  <c r="D1885" i="24"/>
  <c r="D1886" i="24"/>
  <c r="D1887" i="24"/>
  <c r="D1888" i="24"/>
  <c r="D1889" i="24"/>
  <c r="D1890" i="24"/>
  <c r="D1891" i="24"/>
  <c r="D1892" i="24"/>
  <c r="D1893" i="24"/>
  <c r="D1894" i="24"/>
  <c r="D1895" i="24"/>
  <c r="D1896" i="24"/>
  <c r="D1897" i="24"/>
  <c r="D1898" i="24"/>
  <c r="D1899" i="24"/>
  <c r="D1900" i="24"/>
  <c r="D1901" i="24"/>
  <c r="D1902" i="24"/>
  <c r="D1903" i="24"/>
  <c r="D1904" i="24"/>
  <c r="D1905" i="24"/>
  <c r="D1906" i="24"/>
  <c r="D1907" i="24"/>
  <c r="D1908" i="24"/>
  <c r="D1909" i="24"/>
  <c r="D1910" i="24"/>
  <c r="D1911" i="24"/>
  <c r="D1912" i="24"/>
  <c r="D1913" i="24"/>
  <c r="D1914" i="24"/>
  <c r="D1915" i="24"/>
  <c r="D1916" i="24"/>
  <c r="D1917" i="24"/>
  <c r="D1918" i="24"/>
  <c r="D1919" i="24"/>
  <c r="D1920" i="24"/>
  <c r="D1921" i="24"/>
  <c r="D1922" i="24"/>
  <c r="D1923" i="24"/>
  <c r="D1924" i="24"/>
  <c r="D1925" i="24"/>
  <c r="D1926" i="24"/>
  <c r="D1927" i="24"/>
  <c r="D1928" i="24"/>
  <c r="D1929" i="24"/>
  <c r="D1930" i="24"/>
  <c r="D1931" i="24"/>
  <c r="D1932" i="24"/>
  <c r="D1933" i="24"/>
  <c r="D1934" i="24"/>
  <c r="D1935" i="24"/>
  <c r="D1936" i="24"/>
  <c r="D1937" i="24"/>
  <c r="D1938" i="24"/>
  <c r="D1939" i="24"/>
  <c r="D1940" i="24"/>
  <c r="D1941" i="24"/>
  <c r="D1942" i="24"/>
  <c r="D1943" i="24"/>
  <c r="D1944" i="24"/>
  <c r="D1945" i="24"/>
  <c r="D1946" i="24"/>
  <c r="D1947" i="24"/>
  <c r="D1948" i="24"/>
  <c r="D1949" i="24"/>
  <c r="D1950" i="24"/>
  <c r="D1951" i="24"/>
  <c r="D1952" i="24"/>
  <c r="D1953" i="24"/>
  <c r="D1954" i="24"/>
  <c r="D1955" i="24"/>
  <c r="D1956" i="24"/>
  <c r="D1957" i="24"/>
  <c r="D1958" i="24"/>
  <c r="D1959" i="24"/>
  <c r="D1960" i="24"/>
  <c r="D1961" i="24"/>
  <c r="D1962" i="24"/>
  <c r="D1963" i="24"/>
  <c r="D1964" i="24"/>
  <c r="D1965" i="24"/>
  <c r="D1966" i="24"/>
  <c r="D1967" i="24"/>
  <c r="D1968" i="24"/>
  <c r="D1969" i="24"/>
  <c r="D1970" i="24"/>
  <c r="D1971" i="24"/>
  <c r="D1972" i="24"/>
  <c r="D1973" i="24"/>
  <c r="D1974" i="24"/>
  <c r="D1975" i="24"/>
  <c r="D1976" i="24"/>
  <c r="D1977" i="24"/>
  <c r="D1978" i="24"/>
  <c r="D1979" i="24"/>
  <c r="D1980" i="24"/>
  <c r="D1981" i="24"/>
  <c r="D1982" i="24"/>
  <c r="D1983" i="24"/>
  <c r="D1984" i="24"/>
  <c r="D1985" i="24"/>
  <c r="D1986" i="24"/>
  <c r="D1987" i="24"/>
  <c r="D1988" i="24"/>
  <c r="D1989" i="24"/>
  <c r="D1990" i="24"/>
  <c r="D1991" i="24"/>
  <c r="D1992" i="24"/>
  <c r="D1993" i="24"/>
  <c r="D1994" i="24"/>
  <c r="D1995" i="24"/>
  <c r="D1996" i="24"/>
  <c r="D1997" i="24"/>
  <c r="D1998" i="24"/>
  <c r="D1999" i="24"/>
  <c r="D2000" i="24"/>
  <c r="D2001" i="24"/>
  <c r="D2002" i="24"/>
  <c r="D2003" i="24"/>
  <c r="D2004" i="24"/>
  <c r="D2005" i="24"/>
  <c r="D2006" i="24"/>
  <c r="D2007" i="24"/>
  <c r="D2008" i="24"/>
  <c r="D2009" i="24"/>
  <c r="D2010" i="24"/>
  <c r="D2011" i="24"/>
  <c r="D2012" i="24"/>
  <c r="D2013" i="24"/>
  <c r="D2014" i="24"/>
  <c r="D2015" i="24"/>
  <c r="D2016" i="24"/>
  <c r="D2017" i="24"/>
  <c r="D2018" i="24"/>
  <c r="D2019" i="24"/>
  <c r="D2020" i="24"/>
  <c r="D2021" i="24"/>
  <c r="D2022" i="24"/>
  <c r="D2023" i="24"/>
  <c r="D2024" i="24"/>
  <c r="D2025" i="24"/>
  <c r="D2026" i="24"/>
  <c r="D2027" i="24"/>
  <c r="D2028" i="24"/>
  <c r="D2029" i="24"/>
  <c r="D2030" i="24"/>
  <c r="D2031" i="24"/>
  <c r="D2032" i="24"/>
  <c r="D2033" i="24"/>
  <c r="D2034" i="24"/>
  <c r="D2035" i="24"/>
  <c r="D2036" i="24"/>
  <c r="D2037" i="24"/>
  <c r="D2038" i="24"/>
  <c r="D2039" i="24"/>
  <c r="D2040" i="24"/>
  <c r="D2041" i="24"/>
  <c r="D2042" i="24"/>
  <c r="D2043" i="24"/>
  <c r="D2044" i="24"/>
  <c r="D2045" i="24"/>
  <c r="D2046" i="24"/>
  <c r="D2047" i="24"/>
  <c r="D2048" i="24"/>
  <c r="D2049" i="24"/>
  <c r="D2050" i="24"/>
  <c r="D2051" i="24"/>
  <c r="D2052" i="24"/>
  <c r="D2053" i="24"/>
  <c r="D2054" i="24"/>
  <c r="D2055" i="24"/>
  <c r="D2056" i="24"/>
  <c r="D2057" i="24"/>
  <c r="D2058" i="24"/>
  <c r="D2059" i="24"/>
  <c r="D2060" i="24"/>
  <c r="D2061" i="24"/>
  <c r="D2062" i="24"/>
  <c r="D2063" i="24"/>
  <c r="D2064" i="24"/>
  <c r="D2065" i="24"/>
  <c r="D2066" i="24"/>
  <c r="D2067" i="24"/>
  <c r="D2068" i="24"/>
  <c r="D2069" i="24"/>
  <c r="D2070" i="24"/>
  <c r="D2071" i="24"/>
  <c r="D2072" i="24"/>
  <c r="D2073" i="24"/>
  <c r="D2074" i="24"/>
  <c r="D2075" i="24"/>
  <c r="D2076" i="24"/>
  <c r="D2077" i="24"/>
  <c r="D2078" i="24"/>
  <c r="D2079" i="24"/>
  <c r="D2080" i="24"/>
  <c r="D2081" i="24"/>
  <c r="D2082" i="24"/>
  <c r="D2083" i="24"/>
  <c r="D2084" i="24"/>
  <c r="D2085" i="24"/>
  <c r="D2086" i="24"/>
  <c r="D2087" i="24"/>
  <c r="D2088" i="24"/>
  <c r="D2089" i="24"/>
  <c r="D2090" i="24"/>
  <c r="D2091" i="24"/>
  <c r="D2092" i="24"/>
  <c r="D2093" i="24"/>
  <c r="D2094" i="24"/>
  <c r="D2095" i="24"/>
  <c r="D2096" i="24"/>
  <c r="D2097" i="24"/>
  <c r="D2098" i="24"/>
  <c r="D2099" i="24"/>
  <c r="D2100" i="24"/>
  <c r="D2101" i="24"/>
  <c r="D2102" i="24"/>
  <c r="D2103" i="24"/>
  <c r="D2104" i="24"/>
  <c r="D2105" i="24"/>
  <c r="D2106" i="24"/>
  <c r="D2107" i="24"/>
  <c r="D2108" i="24"/>
  <c r="D2109" i="24"/>
  <c r="D2110" i="24"/>
  <c r="D2111" i="24"/>
  <c r="D2112" i="24"/>
  <c r="D2113" i="24"/>
  <c r="D2114" i="24"/>
  <c r="D2115" i="24"/>
  <c r="D2116" i="24"/>
  <c r="D2117" i="24"/>
  <c r="D2118" i="24"/>
  <c r="D2119" i="24"/>
  <c r="D2120" i="24"/>
  <c r="D2121" i="24"/>
  <c r="D2122" i="24"/>
  <c r="D2123" i="24"/>
  <c r="D2124" i="24"/>
  <c r="D2125" i="24"/>
  <c r="D2126" i="24"/>
  <c r="D2127" i="24"/>
  <c r="D2128" i="24"/>
  <c r="D2129" i="24"/>
  <c r="D2130" i="24"/>
  <c r="D2131" i="24"/>
  <c r="D2132" i="24"/>
  <c r="D2133" i="24"/>
  <c r="D2134" i="24"/>
  <c r="D2135" i="24"/>
  <c r="D2136" i="24"/>
  <c r="D2137" i="24"/>
  <c r="D2138" i="24"/>
  <c r="D2139" i="24"/>
  <c r="D2140" i="24"/>
  <c r="D2141" i="24"/>
  <c r="D2142" i="24"/>
  <c r="D2143" i="24"/>
  <c r="D2144" i="24"/>
  <c r="D2145" i="24"/>
  <c r="D2146" i="24"/>
  <c r="D2147" i="24"/>
  <c r="D2148" i="24"/>
  <c r="D2149" i="24"/>
  <c r="D2150" i="24"/>
  <c r="D2151" i="24"/>
  <c r="D2152" i="24"/>
  <c r="D2153" i="24"/>
  <c r="D2154" i="24"/>
  <c r="D2155" i="24"/>
  <c r="D2156" i="24"/>
  <c r="D2157" i="24"/>
  <c r="D2158" i="24"/>
  <c r="D2159" i="24"/>
  <c r="D2160" i="24"/>
  <c r="D2161" i="24"/>
  <c r="D2162" i="24"/>
  <c r="D2163" i="24"/>
  <c r="D2164" i="24"/>
  <c r="D2165" i="24"/>
  <c r="D2166" i="24"/>
  <c r="D2167" i="24"/>
  <c r="D2168" i="24"/>
  <c r="D2169" i="24"/>
  <c r="D2170" i="24"/>
  <c r="D2171" i="24"/>
  <c r="D2172" i="24"/>
  <c r="D2173" i="24"/>
  <c r="D2174" i="24"/>
  <c r="D2175" i="24"/>
  <c r="D2176" i="24"/>
  <c r="D2177" i="24"/>
  <c r="D2178" i="24"/>
  <c r="D2179" i="24"/>
  <c r="D2180" i="24"/>
  <c r="D2181" i="24"/>
  <c r="D2182" i="24"/>
  <c r="D2183" i="24"/>
  <c r="D2184" i="24"/>
  <c r="D2185" i="24"/>
  <c r="D2186" i="24"/>
  <c r="D2187" i="24"/>
  <c r="D2188" i="24"/>
  <c r="D2189" i="24"/>
  <c r="D2190" i="24"/>
  <c r="D2191" i="24"/>
  <c r="D2192" i="24"/>
  <c r="A1464" i="24"/>
  <c r="A1465" i="24"/>
  <c r="A1466" i="24"/>
  <c r="A1467" i="24"/>
  <c r="A1468" i="24"/>
  <c r="A1469" i="24"/>
  <c r="A1470" i="24"/>
  <c r="A1471" i="24"/>
  <c r="A1472" i="24"/>
  <c r="A1473" i="24"/>
  <c r="A1474" i="24"/>
  <c r="A1475" i="24"/>
  <c r="A1476" i="24"/>
  <c r="A1477" i="24"/>
  <c r="A1478" i="24"/>
  <c r="A1479" i="24"/>
  <c r="A1480" i="24"/>
  <c r="A1481" i="24"/>
  <c r="A1482" i="24"/>
  <c r="A1483" i="24"/>
  <c r="A1484" i="24"/>
  <c r="A1485" i="24"/>
  <c r="A1486" i="24"/>
  <c r="A1487" i="24"/>
  <c r="A1488" i="24"/>
  <c r="A1489" i="24"/>
  <c r="A1490" i="24"/>
  <c r="A1491" i="24"/>
  <c r="A1492" i="24"/>
  <c r="A1493" i="24"/>
  <c r="A1494" i="24"/>
  <c r="A1495" i="24"/>
  <c r="A1496" i="24"/>
  <c r="A1497" i="24"/>
  <c r="A1498" i="24"/>
  <c r="A1499" i="24"/>
  <c r="A1500" i="24"/>
  <c r="A1501" i="24"/>
  <c r="A1502" i="24"/>
  <c r="A1503" i="24"/>
  <c r="A1504" i="24"/>
  <c r="A1505" i="24"/>
  <c r="A1506" i="24"/>
  <c r="A1507" i="24"/>
  <c r="A1508" i="24"/>
  <c r="A1509" i="24"/>
  <c r="A1510" i="24"/>
  <c r="A1511" i="24"/>
  <c r="A1512" i="24"/>
  <c r="A1513" i="24"/>
  <c r="A1514" i="24"/>
  <c r="A1515" i="24"/>
  <c r="A1516" i="24"/>
  <c r="A1517" i="24"/>
  <c r="A1518" i="24"/>
  <c r="A1519" i="24"/>
  <c r="A1520" i="24"/>
  <c r="A1521" i="24"/>
  <c r="A1522" i="24"/>
  <c r="A1523" i="24"/>
  <c r="A1524" i="24"/>
  <c r="A1525" i="24"/>
  <c r="A1526" i="24"/>
  <c r="A1527" i="24"/>
  <c r="A1528" i="24"/>
  <c r="A1529" i="24"/>
  <c r="A1530" i="24"/>
  <c r="A1531" i="24"/>
  <c r="A1532" i="24"/>
  <c r="A1533" i="24"/>
  <c r="A1534" i="24"/>
  <c r="A1535" i="24"/>
  <c r="A1536" i="24"/>
  <c r="A1537" i="24"/>
  <c r="A1538" i="24"/>
  <c r="A1539" i="24"/>
  <c r="A1540" i="24"/>
  <c r="A1541" i="24"/>
  <c r="A1542" i="24"/>
  <c r="A1543" i="24"/>
  <c r="A1544" i="24"/>
  <c r="A1545" i="24"/>
  <c r="A1546" i="24"/>
  <c r="A1547" i="24"/>
  <c r="A1548" i="24"/>
  <c r="A1549" i="24"/>
  <c r="A1550" i="24"/>
  <c r="A1551" i="24"/>
  <c r="A1552" i="24"/>
  <c r="A1553" i="24"/>
  <c r="A1554" i="24"/>
  <c r="A1555" i="24"/>
  <c r="A1556" i="24"/>
  <c r="A1557" i="24"/>
  <c r="A1558" i="24"/>
  <c r="A1559" i="24"/>
  <c r="A1560" i="24"/>
  <c r="A1561" i="24"/>
  <c r="A1562" i="24"/>
  <c r="A1563" i="24"/>
  <c r="A1564" i="24"/>
  <c r="A1565" i="24"/>
  <c r="A1566" i="24"/>
  <c r="A1567" i="24"/>
  <c r="A1568" i="24"/>
  <c r="A1569" i="24"/>
  <c r="A1570" i="24"/>
  <c r="A1571" i="24"/>
  <c r="A1572" i="24"/>
  <c r="A1573" i="24"/>
  <c r="A1574" i="24"/>
  <c r="A1575" i="24"/>
  <c r="A1576" i="24"/>
  <c r="A1577" i="24"/>
  <c r="A1578" i="24"/>
  <c r="A1579" i="24"/>
  <c r="A1580" i="24"/>
  <c r="A1581" i="24"/>
  <c r="A1582" i="24"/>
  <c r="A1583" i="24"/>
  <c r="A1584" i="24"/>
  <c r="A1585" i="24"/>
  <c r="A1586" i="24"/>
  <c r="A1587" i="24"/>
  <c r="A1588" i="24"/>
  <c r="A1589" i="24"/>
  <c r="A1590" i="24"/>
  <c r="A1591" i="24"/>
  <c r="A1592" i="24"/>
  <c r="A1593" i="24"/>
  <c r="A1594" i="24"/>
  <c r="A1595" i="24"/>
  <c r="A1596" i="24"/>
  <c r="A1597" i="24"/>
  <c r="A1598" i="24"/>
  <c r="A1599" i="24"/>
  <c r="A1600" i="24"/>
  <c r="A1601" i="24"/>
  <c r="A1602" i="24"/>
  <c r="A1603" i="24"/>
  <c r="A1604" i="24"/>
  <c r="A1605" i="24"/>
  <c r="A1606" i="24"/>
  <c r="A1607" i="24"/>
  <c r="A1608" i="24"/>
  <c r="A1609" i="24"/>
  <c r="A1610" i="24"/>
  <c r="A1611" i="24"/>
  <c r="A1612" i="24"/>
  <c r="A1613" i="24"/>
  <c r="A1614" i="24"/>
  <c r="A1615" i="24"/>
  <c r="A1616" i="24"/>
  <c r="A1617" i="24"/>
  <c r="A1618" i="24"/>
  <c r="A1619" i="24"/>
  <c r="A1620" i="24"/>
  <c r="A1621" i="24"/>
  <c r="A1622" i="24"/>
  <c r="A1623" i="24"/>
  <c r="A1624" i="24"/>
  <c r="A1625" i="24"/>
  <c r="A1626" i="24"/>
  <c r="A1627" i="24"/>
  <c r="A1628" i="24"/>
  <c r="A1629" i="24"/>
  <c r="A1630" i="24"/>
  <c r="A1631" i="24"/>
  <c r="A1632" i="24"/>
  <c r="A1633" i="24"/>
  <c r="A1634" i="24"/>
  <c r="A1635" i="24"/>
  <c r="A1636" i="24"/>
  <c r="A1637" i="24"/>
  <c r="A1638" i="24"/>
  <c r="A1639" i="24"/>
  <c r="A1640" i="24"/>
  <c r="A1641" i="24"/>
  <c r="A1642" i="24"/>
  <c r="A1643" i="24"/>
  <c r="A1644" i="24"/>
  <c r="A1645" i="24"/>
  <c r="A1646" i="24"/>
  <c r="A1647" i="24"/>
  <c r="A1648" i="24"/>
  <c r="A1649" i="24"/>
  <c r="A1650" i="24"/>
  <c r="A1651" i="24"/>
  <c r="A1652" i="24"/>
  <c r="A1653" i="24"/>
  <c r="A1654" i="24"/>
  <c r="A1655" i="24"/>
  <c r="A1656" i="24"/>
  <c r="A1657" i="24"/>
  <c r="A1658" i="24"/>
  <c r="A1659" i="24"/>
  <c r="A1660" i="24"/>
  <c r="A1661" i="24"/>
  <c r="A1662" i="24"/>
  <c r="A1663" i="24"/>
  <c r="A1664" i="24"/>
  <c r="A1665" i="24"/>
  <c r="A1666" i="24"/>
  <c r="A1667" i="24"/>
  <c r="A1668" i="24"/>
  <c r="A1669" i="24"/>
  <c r="A1670" i="24"/>
  <c r="A1671" i="24"/>
  <c r="A1672" i="24"/>
  <c r="A1673" i="24"/>
  <c r="A1674" i="24"/>
  <c r="A1675" i="24"/>
  <c r="A1676" i="24"/>
  <c r="A1677" i="24"/>
  <c r="A1678" i="24"/>
  <c r="A1679" i="24"/>
  <c r="A1680" i="24"/>
  <c r="A1681" i="24"/>
  <c r="A1682" i="24"/>
  <c r="A1683" i="24"/>
  <c r="A1684" i="24"/>
  <c r="A1685" i="24"/>
  <c r="A1686" i="24"/>
  <c r="A1687" i="24"/>
  <c r="A1688" i="24"/>
  <c r="A1689" i="24"/>
  <c r="A1690" i="24"/>
  <c r="A1691" i="24"/>
  <c r="A1692" i="24"/>
  <c r="A1693" i="24"/>
  <c r="A1694" i="24"/>
  <c r="A1695" i="24"/>
  <c r="A1696" i="24"/>
  <c r="A1697" i="24"/>
  <c r="A1698" i="24"/>
  <c r="A1699" i="24"/>
  <c r="A1700" i="24"/>
  <c r="A1701" i="24"/>
  <c r="A1702" i="24"/>
  <c r="A1703" i="24"/>
  <c r="A1704" i="24"/>
  <c r="A1705" i="24"/>
  <c r="A1706" i="24"/>
  <c r="A1707" i="24"/>
  <c r="A1708" i="24"/>
  <c r="A1709" i="24"/>
  <c r="A1710" i="24"/>
  <c r="A1711" i="24"/>
  <c r="A1712" i="24"/>
  <c r="A1713" i="24"/>
  <c r="A1714" i="24"/>
  <c r="A1715" i="24"/>
  <c r="A1716" i="24"/>
  <c r="A1717" i="24"/>
  <c r="A1718" i="24"/>
  <c r="A1719" i="24"/>
  <c r="A1720" i="24"/>
  <c r="A1721" i="24"/>
  <c r="A1722" i="24"/>
  <c r="A1723" i="24"/>
  <c r="A1724" i="24"/>
  <c r="A1725" i="24"/>
  <c r="A1726" i="24"/>
  <c r="A1727" i="24"/>
  <c r="A1728" i="24"/>
  <c r="A1729" i="24"/>
  <c r="A1730" i="24"/>
  <c r="A1731" i="24"/>
  <c r="A1732" i="24"/>
  <c r="A1733" i="24"/>
  <c r="A1734" i="24"/>
  <c r="A1735" i="24"/>
  <c r="A1736" i="24"/>
  <c r="A1737" i="24"/>
  <c r="A1738" i="24"/>
  <c r="A1739" i="24"/>
  <c r="A1740" i="24"/>
  <c r="A1741" i="24"/>
  <c r="A1742" i="24"/>
  <c r="A1743" i="24"/>
  <c r="A1744" i="24"/>
  <c r="A1745" i="24"/>
  <c r="A1746" i="24"/>
  <c r="A1747" i="24"/>
  <c r="A1748" i="24"/>
  <c r="A1749" i="24"/>
  <c r="A1750" i="24"/>
  <c r="A1751" i="24"/>
  <c r="A1752" i="24"/>
  <c r="A1753" i="24"/>
  <c r="A1754" i="24"/>
  <c r="A1755" i="24"/>
  <c r="A1756" i="24"/>
  <c r="A1757" i="24"/>
  <c r="A1758" i="24"/>
  <c r="A1759" i="24"/>
  <c r="A1760" i="24"/>
  <c r="A1761" i="24"/>
  <c r="A1762" i="24"/>
  <c r="A1763" i="24"/>
  <c r="A1764" i="24"/>
  <c r="A1765" i="24"/>
  <c r="A1766" i="24"/>
  <c r="A1767" i="24"/>
  <c r="A1768" i="24"/>
  <c r="A1769" i="24"/>
  <c r="A1770" i="24"/>
  <c r="A1771" i="24"/>
  <c r="A1772" i="24"/>
  <c r="A1773" i="24"/>
  <c r="A1774" i="24"/>
  <c r="A1775" i="24"/>
  <c r="A1776" i="24"/>
  <c r="A1777" i="24"/>
  <c r="A1778" i="24"/>
  <c r="A1779" i="24"/>
  <c r="A1780" i="24"/>
  <c r="A1781" i="24"/>
  <c r="A1782" i="24"/>
  <c r="A1783" i="24"/>
  <c r="A1784" i="24"/>
  <c r="A1785" i="24"/>
  <c r="A1786" i="24"/>
  <c r="A1787" i="24"/>
  <c r="A1788" i="24"/>
  <c r="A1789" i="24"/>
  <c r="A1790" i="24"/>
  <c r="A1791" i="24"/>
  <c r="A1792" i="24"/>
  <c r="A1793" i="24"/>
  <c r="A1794" i="24"/>
  <c r="A1795" i="24"/>
  <c r="A1796" i="24"/>
  <c r="A1797" i="24"/>
  <c r="A1798" i="24"/>
  <c r="A1799" i="24"/>
  <c r="A1800" i="24"/>
  <c r="A1801" i="24"/>
  <c r="A1802" i="24"/>
  <c r="A1803" i="24"/>
  <c r="A1804" i="24"/>
  <c r="A1805" i="24"/>
  <c r="A1806" i="24"/>
  <c r="A1807" i="24"/>
  <c r="A1808" i="24"/>
  <c r="A1809" i="24"/>
  <c r="A1810" i="24"/>
  <c r="A1811" i="24"/>
  <c r="A1812" i="24"/>
  <c r="A1813" i="24"/>
  <c r="A1814" i="24"/>
  <c r="A1815" i="24"/>
  <c r="A1816" i="24"/>
  <c r="A1817" i="24"/>
  <c r="A1818" i="24"/>
  <c r="A1819" i="24"/>
  <c r="A1820" i="24"/>
  <c r="A1821" i="24"/>
  <c r="A1822" i="24"/>
  <c r="A1823" i="24"/>
  <c r="A1824" i="24"/>
  <c r="A1825" i="24"/>
  <c r="A1826" i="24"/>
  <c r="A1827" i="24"/>
  <c r="D1464" i="24"/>
  <c r="D1465" i="24"/>
  <c r="D1466" i="24"/>
  <c r="D1467" i="24"/>
  <c r="D1468" i="24"/>
  <c r="D1469" i="24"/>
  <c r="D1470" i="24"/>
  <c r="D1471" i="24"/>
  <c r="D1472" i="24"/>
  <c r="D1473" i="24"/>
  <c r="D1474" i="24"/>
  <c r="D1475" i="24"/>
  <c r="D1476" i="24"/>
  <c r="D1477" i="24"/>
  <c r="D1478" i="24"/>
  <c r="D1479" i="24"/>
  <c r="D1480" i="24"/>
  <c r="D1481" i="24"/>
  <c r="D1482" i="24"/>
  <c r="D1483" i="24"/>
  <c r="D1484" i="24"/>
  <c r="D1485" i="24"/>
  <c r="D1486" i="24"/>
  <c r="D1487" i="24"/>
  <c r="D1488" i="24"/>
  <c r="D1489" i="24"/>
  <c r="D1490" i="24"/>
  <c r="D1491" i="24"/>
  <c r="D1492" i="24"/>
  <c r="D1493" i="24"/>
  <c r="D1494" i="24"/>
  <c r="D1495" i="24"/>
  <c r="D1496" i="24"/>
  <c r="D1497" i="24"/>
  <c r="D1498" i="24"/>
  <c r="D1499" i="24"/>
  <c r="D1500" i="24"/>
  <c r="D1501" i="24"/>
  <c r="D1502" i="24"/>
  <c r="D1503" i="24"/>
  <c r="D1504" i="24"/>
  <c r="D1505" i="24"/>
  <c r="D1506" i="24"/>
  <c r="D1507" i="24"/>
  <c r="D1508" i="24"/>
  <c r="D1509" i="24"/>
  <c r="D1510" i="24"/>
  <c r="D1511" i="24"/>
  <c r="D1512" i="24"/>
  <c r="D1513" i="24"/>
  <c r="D1514" i="24"/>
  <c r="D1515" i="24"/>
  <c r="D1516" i="24"/>
  <c r="D1517" i="24"/>
  <c r="D1518" i="24"/>
  <c r="D1519" i="24"/>
  <c r="D1520" i="24"/>
  <c r="D1521" i="24"/>
  <c r="D1522" i="24"/>
  <c r="D1523" i="24"/>
  <c r="D1524" i="24"/>
  <c r="D1525" i="24"/>
  <c r="D1526" i="24"/>
  <c r="D1527" i="24"/>
  <c r="D1528" i="24"/>
  <c r="D1529" i="24"/>
  <c r="D1530" i="24"/>
  <c r="D1531" i="24"/>
  <c r="D1532" i="24"/>
  <c r="D1533" i="24"/>
  <c r="D1534" i="24"/>
  <c r="D1535" i="24"/>
  <c r="D1536" i="24"/>
  <c r="D1537" i="24"/>
  <c r="D1538" i="24"/>
  <c r="D1539" i="24"/>
  <c r="D1540" i="24"/>
  <c r="D1541" i="24"/>
  <c r="D1542" i="24"/>
  <c r="D1543" i="24"/>
  <c r="D1544" i="24"/>
  <c r="D1545" i="24"/>
  <c r="D1546" i="24"/>
  <c r="D1547" i="24"/>
  <c r="D1548" i="24"/>
  <c r="D1549" i="24"/>
  <c r="D1550" i="24"/>
  <c r="D1551" i="24"/>
  <c r="D1552" i="24"/>
  <c r="D1553" i="24"/>
  <c r="D1554" i="24"/>
  <c r="D1555" i="24"/>
  <c r="D1556" i="24"/>
  <c r="D1557" i="24"/>
  <c r="D1558" i="24"/>
  <c r="D1559" i="24"/>
  <c r="D1560" i="24"/>
  <c r="D1561" i="24"/>
  <c r="D1562" i="24"/>
  <c r="D1563" i="24"/>
  <c r="D1564" i="24"/>
  <c r="D1565" i="24"/>
  <c r="D1566" i="24"/>
  <c r="D1567" i="24"/>
  <c r="D1568" i="24"/>
  <c r="D1569" i="24"/>
  <c r="D1570" i="24"/>
  <c r="D1571" i="24"/>
  <c r="D1572" i="24"/>
  <c r="D1573" i="24"/>
  <c r="D1574" i="24"/>
  <c r="D1575" i="24"/>
  <c r="D1576" i="24"/>
  <c r="D1577" i="24"/>
  <c r="D1578" i="24"/>
  <c r="D1579" i="24"/>
  <c r="D1580" i="24"/>
  <c r="D1581" i="24"/>
  <c r="D1582" i="24"/>
  <c r="D1583" i="24"/>
  <c r="D1584" i="24"/>
  <c r="D1585" i="24"/>
  <c r="D1586" i="24"/>
  <c r="D1587" i="24"/>
  <c r="D1588" i="24"/>
  <c r="D1589" i="24"/>
  <c r="D1590" i="24"/>
  <c r="D1591" i="24"/>
  <c r="D1592" i="24"/>
  <c r="D1593" i="24"/>
  <c r="D1594" i="24"/>
  <c r="D1595" i="24"/>
  <c r="D1596" i="24"/>
  <c r="D1597" i="24"/>
  <c r="D1598" i="24"/>
  <c r="D1599" i="24"/>
  <c r="D1600" i="24"/>
  <c r="D1601" i="24"/>
  <c r="D1602" i="24"/>
  <c r="D1603" i="24"/>
  <c r="D1604" i="24"/>
  <c r="D1605" i="24"/>
  <c r="D1606" i="24"/>
  <c r="D1607" i="24"/>
  <c r="D1608" i="24"/>
  <c r="D1609" i="24"/>
  <c r="D1610" i="24"/>
  <c r="D1611" i="24"/>
  <c r="D1612" i="24"/>
  <c r="D1613" i="24"/>
  <c r="D1614" i="24"/>
  <c r="D1615" i="24"/>
  <c r="D1616" i="24"/>
  <c r="D1617" i="24"/>
  <c r="D1618" i="24"/>
  <c r="D1619" i="24"/>
  <c r="D1620" i="24"/>
  <c r="D1621" i="24"/>
  <c r="D1622" i="24"/>
  <c r="D1623" i="24"/>
  <c r="D1624" i="24"/>
  <c r="D1625" i="24"/>
  <c r="D1626" i="24"/>
  <c r="D1627" i="24"/>
  <c r="D1628" i="24"/>
  <c r="D1629" i="24"/>
  <c r="D1630" i="24"/>
  <c r="D1631" i="24"/>
  <c r="D1632" i="24"/>
  <c r="D1633" i="24"/>
  <c r="D1634" i="24"/>
  <c r="D1635" i="24"/>
  <c r="D1636" i="24"/>
  <c r="D1637" i="24"/>
  <c r="D1638" i="24"/>
  <c r="D1639" i="24"/>
  <c r="D1640" i="24"/>
  <c r="D1641" i="24"/>
  <c r="D1642" i="24"/>
  <c r="D1643" i="24"/>
  <c r="D1644" i="24"/>
  <c r="D1645" i="24"/>
  <c r="D1646" i="24"/>
  <c r="D1647" i="24"/>
  <c r="D1648" i="24"/>
  <c r="D1649" i="24"/>
  <c r="D1650" i="24"/>
  <c r="D1651" i="24"/>
  <c r="D1652" i="24"/>
  <c r="D1653" i="24"/>
  <c r="D1654" i="24"/>
  <c r="D1655" i="24"/>
  <c r="D1656" i="24"/>
  <c r="D1657" i="24"/>
  <c r="D1658" i="24"/>
  <c r="D1659" i="24"/>
  <c r="D1660" i="24"/>
  <c r="D1661" i="24"/>
  <c r="D1662" i="24"/>
  <c r="D1663" i="24"/>
  <c r="D1664" i="24"/>
  <c r="D1665" i="24"/>
  <c r="D1666" i="24"/>
  <c r="D1667" i="24"/>
  <c r="D1668" i="24"/>
  <c r="D1669" i="24"/>
  <c r="D1670" i="24"/>
  <c r="D1671" i="24"/>
  <c r="D1672" i="24"/>
  <c r="D1673" i="24"/>
  <c r="D1674" i="24"/>
  <c r="D1675" i="24"/>
  <c r="D1676" i="24"/>
  <c r="D1677" i="24"/>
  <c r="D1678" i="24"/>
  <c r="D1679" i="24"/>
  <c r="D1680" i="24"/>
  <c r="D1681" i="24"/>
  <c r="D1682" i="24"/>
  <c r="D1683" i="24"/>
  <c r="D1684" i="24"/>
  <c r="D1685" i="24"/>
  <c r="D1686" i="24"/>
  <c r="D1687" i="24"/>
  <c r="D1688" i="24"/>
  <c r="D1689" i="24"/>
  <c r="D1690" i="24"/>
  <c r="D1691" i="24"/>
  <c r="D1692" i="24"/>
  <c r="D1693" i="24"/>
  <c r="D1694" i="24"/>
  <c r="D1695" i="24"/>
  <c r="D1696" i="24"/>
  <c r="D1697" i="24"/>
  <c r="D1698" i="24"/>
  <c r="D1699" i="24"/>
  <c r="D1700" i="24"/>
  <c r="D1701" i="24"/>
  <c r="D1702" i="24"/>
  <c r="D1703" i="24"/>
  <c r="D1704" i="24"/>
  <c r="D1705" i="24"/>
  <c r="D1706" i="24"/>
  <c r="D1707" i="24"/>
  <c r="D1708" i="24"/>
  <c r="D1709" i="24"/>
  <c r="D1710" i="24"/>
  <c r="D1711" i="24"/>
  <c r="D1712" i="24"/>
  <c r="D1713" i="24"/>
  <c r="D1714" i="24"/>
  <c r="D1715" i="24"/>
  <c r="D1716" i="24"/>
  <c r="D1717" i="24"/>
  <c r="D1718" i="24"/>
  <c r="D1719" i="24"/>
  <c r="D1720" i="24"/>
  <c r="D1721" i="24"/>
  <c r="D1722" i="24"/>
  <c r="D1723" i="24"/>
  <c r="D1724" i="24"/>
  <c r="D1725" i="24"/>
  <c r="D1726" i="24"/>
  <c r="D1727" i="24"/>
  <c r="D1728" i="24"/>
  <c r="D1729" i="24"/>
  <c r="D1730" i="24"/>
  <c r="D1731" i="24"/>
  <c r="D1732" i="24"/>
  <c r="D1733" i="24"/>
  <c r="D1734" i="24"/>
  <c r="D1735" i="24"/>
  <c r="D1736" i="24"/>
  <c r="D1737" i="24"/>
  <c r="D1738" i="24"/>
  <c r="D1739" i="24"/>
  <c r="D1740" i="24"/>
  <c r="D1741" i="24"/>
  <c r="D1742" i="24"/>
  <c r="D1743" i="24"/>
  <c r="D1744" i="24"/>
  <c r="D1745" i="24"/>
  <c r="D1746" i="24"/>
  <c r="D1747" i="24"/>
  <c r="D1748" i="24"/>
  <c r="D1749" i="24"/>
  <c r="D1750" i="24"/>
  <c r="D1751" i="24"/>
  <c r="D1752" i="24"/>
  <c r="D1753" i="24"/>
  <c r="D1754" i="24"/>
  <c r="D1755" i="24"/>
  <c r="D1756" i="24"/>
  <c r="D1757" i="24"/>
  <c r="D1758" i="24"/>
  <c r="D1759" i="24"/>
  <c r="D1760" i="24"/>
  <c r="D1761" i="24"/>
  <c r="D1762" i="24"/>
  <c r="D1763" i="24"/>
  <c r="D1764" i="24"/>
  <c r="D1765" i="24"/>
  <c r="D1766" i="24"/>
  <c r="D1767" i="24"/>
  <c r="D1768" i="24"/>
  <c r="D1769" i="24"/>
  <c r="D1770" i="24"/>
  <c r="D1771" i="24"/>
  <c r="D1772" i="24"/>
  <c r="D1773" i="24"/>
  <c r="D1774" i="24"/>
  <c r="D1775" i="24"/>
  <c r="D1776" i="24"/>
  <c r="D1777" i="24"/>
  <c r="D1778" i="24"/>
  <c r="D1779" i="24"/>
  <c r="D1780" i="24"/>
  <c r="D1781" i="24"/>
  <c r="D1782" i="24"/>
  <c r="D1783" i="24"/>
  <c r="D1784" i="24"/>
  <c r="D1785" i="24"/>
  <c r="D1786" i="24"/>
  <c r="D1787" i="24"/>
  <c r="D1788" i="24"/>
  <c r="D1789" i="24"/>
  <c r="D1790" i="24"/>
  <c r="D1791" i="24"/>
  <c r="D1792" i="24"/>
  <c r="D1793" i="24"/>
  <c r="D1794" i="24"/>
  <c r="D1795" i="24"/>
  <c r="D1796" i="24"/>
  <c r="D1797" i="24"/>
  <c r="D1798" i="24"/>
  <c r="D1799" i="24"/>
  <c r="D1800" i="24"/>
  <c r="D1801" i="24"/>
  <c r="D1802" i="24"/>
  <c r="D1803" i="24"/>
  <c r="D1804" i="24"/>
  <c r="D1805" i="24"/>
  <c r="D1806" i="24"/>
  <c r="D1807" i="24"/>
  <c r="D1808" i="24"/>
  <c r="D1809" i="24"/>
  <c r="D1810" i="24"/>
  <c r="D1811" i="24"/>
  <c r="D1812" i="24"/>
  <c r="D1813" i="24"/>
  <c r="D1814" i="24"/>
  <c r="D1815" i="24"/>
  <c r="D1816" i="24"/>
  <c r="D1817" i="24"/>
  <c r="D1818" i="24"/>
  <c r="D1819" i="24"/>
  <c r="D1820" i="24"/>
  <c r="D1821" i="24"/>
  <c r="D1822" i="24"/>
  <c r="D1823" i="24"/>
  <c r="D1824" i="24"/>
  <c r="D1825" i="24"/>
  <c r="D1826" i="24"/>
  <c r="D1827" i="24"/>
  <c r="A1463" i="24"/>
  <c r="D1463" i="24"/>
  <c r="A1098" i="24"/>
  <c r="A1099" i="24"/>
  <c r="A1100" i="24"/>
  <c r="A1101" i="24"/>
  <c r="A1102" i="24"/>
  <c r="A1103" i="24"/>
  <c r="A1104" i="24"/>
  <c r="A1105" i="24"/>
  <c r="A1106" i="24"/>
  <c r="A1107" i="24"/>
  <c r="A1108" i="24"/>
  <c r="A1109" i="24"/>
  <c r="A1110" i="24"/>
  <c r="A1111" i="24"/>
  <c r="A1112" i="24"/>
  <c r="A1113" i="24"/>
  <c r="A1114" i="24"/>
  <c r="A1115" i="24"/>
  <c r="A1116" i="24"/>
  <c r="A1117" i="24"/>
  <c r="A1118" i="24"/>
  <c r="A1119" i="24"/>
  <c r="A1120" i="24"/>
  <c r="A1121" i="24"/>
  <c r="A1122" i="24"/>
  <c r="A1123" i="24"/>
  <c r="A1124" i="24"/>
  <c r="A1125" i="24"/>
  <c r="A1126" i="24"/>
  <c r="A1127" i="24"/>
  <c r="A1128" i="24"/>
  <c r="A1129" i="24"/>
  <c r="A1130" i="24"/>
  <c r="A1131" i="24"/>
  <c r="A1132" i="24"/>
  <c r="A1133" i="24"/>
  <c r="A1134" i="24"/>
  <c r="A1135" i="24"/>
  <c r="A1136" i="24"/>
  <c r="A1137" i="24"/>
  <c r="A1138" i="24"/>
  <c r="A1139" i="24"/>
  <c r="A1140" i="24"/>
  <c r="A1141" i="24"/>
  <c r="A1142" i="24"/>
  <c r="A1143" i="24"/>
  <c r="A1144" i="24"/>
  <c r="A1145" i="24"/>
  <c r="A1146" i="24"/>
  <c r="A1147" i="24"/>
  <c r="A1148" i="24"/>
  <c r="A1149" i="24"/>
  <c r="A1150" i="24"/>
  <c r="A1151" i="24"/>
  <c r="A1152" i="24"/>
  <c r="A1153" i="24"/>
  <c r="A1154" i="24"/>
  <c r="A1155" i="24"/>
  <c r="A1156" i="24"/>
  <c r="A1157" i="24"/>
  <c r="A1158" i="24"/>
  <c r="A1159" i="24"/>
  <c r="A1160" i="24"/>
  <c r="A1161" i="24"/>
  <c r="A1162" i="24"/>
  <c r="A1163" i="24"/>
  <c r="A1164" i="24"/>
  <c r="A1165" i="24"/>
  <c r="A1166" i="24"/>
  <c r="A1167" i="24"/>
  <c r="A1168" i="24"/>
  <c r="A1169" i="24"/>
  <c r="A1170" i="24"/>
  <c r="A1171" i="24"/>
  <c r="A1172" i="24"/>
  <c r="A1173" i="24"/>
  <c r="A1174" i="24"/>
  <c r="A1175" i="24"/>
  <c r="A1176" i="24"/>
  <c r="A1177" i="24"/>
  <c r="A1178" i="24"/>
  <c r="A1179" i="24"/>
  <c r="A1180" i="24"/>
  <c r="A1181" i="24"/>
  <c r="A1182" i="24"/>
  <c r="A1183" i="24"/>
  <c r="A1184" i="24"/>
  <c r="A1185" i="24"/>
  <c r="A1186" i="24"/>
  <c r="A1187" i="24"/>
  <c r="A1188" i="24"/>
  <c r="A1189" i="24"/>
  <c r="A1190" i="24"/>
  <c r="A1191" i="24"/>
  <c r="A1192" i="24"/>
  <c r="A1193" i="24"/>
  <c r="A1194" i="24"/>
  <c r="A1195" i="24"/>
  <c r="A1196" i="24"/>
  <c r="A1197" i="24"/>
  <c r="A1198" i="24"/>
  <c r="A1199" i="24"/>
  <c r="A1200" i="24"/>
  <c r="A1201" i="24"/>
  <c r="A1202" i="24"/>
  <c r="A1203" i="24"/>
  <c r="A1204" i="24"/>
  <c r="A1205" i="24"/>
  <c r="A1206" i="24"/>
  <c r="A1207" i="24"/>
  <c r="A1208" i="24"/>
  <c r="A1209" i="24"/>
  <c r="A1210" i="24"/>
  <c r="A1211" i="24"/>
  <c r="A1212" i="24"/>
  <c r="A1213" i="24"/>
  <c r="A1214" i="24"/>
  <c r="A1215" i="24"/>
  <c r="A1216" i="24"/>
  <c r="A1217" i="24"/>
  <c r="A1218" i="24"/>
  <c r="A1219" i="24"/>
  <c r="A1220" i="24"/>
  <c r="A1221" i="24"/>
  <c r="A1222" i="24"/>
  <c r="A1223" i="24"/>
  <c r="A1224" i="24"/>
  <c r="A1225" i="24"/>
  <c r="A1226" i="24"/>
  <c r="A1227" i="24"/>
  <c r="A1228" i="24"/>
  <c r="A1229" i="24"/>
  <c r="A1230" i="24"/>
  <c r="A1231" i="24"/>
  <c r="A1232" i="24"/>
  <c r="A1233" i="24"/>
  <c r="A1234" i="24"/>
  <c r="A1235" i="24"/>
  <c r="A1236" i="24"/>
  <c r="A1237" i="24"/>
  <c r="A1238" i="24"/>
  <c r="A1239" i="24"/>
  <c r="A1240" i="24"/>
  <c r="A1241" i="24"/>
  <c r="A1242" i="24"/>
  <c r="A1243" i="24"/>
  <c r="A1244" i="24"/>
  <c r="A1245" i="24"/>
  <c r="A1246" i="24"/>
  <c r="A1247" i="24"/>
  <c r="A1248" i="24"/>
  <c r="A1249" i="24"/>
  <c r="A1250" i="24"/>
  <c r="A1251" i="24"/>
  <c r="A1252" i="24"/>
  <c r="A1253" i="24"/>
  <c r="A1254" i="24"/>
  <c r="A1255" i="24"/>
  <c r="A1256" i="24"/>
  <c r="A1257" i="24"/>
  <c r="A1258" i="24"/>
  <c r="A1259" i="24"/>
  <c r="A1260" i="24"/>
  <c r="A1261" i="24"/>
  <c r="A1262" i="24"/>
  <c r="A1263" i="24"/>
  <c r="A1264" i="24"/>
  <c r="A1265" i="24"/>
  <c r="A1266" i="24"/>
  <c r="A1267" i="24"/>
  <c r="A1268" i="24"/>
  <c r="A1269" i="24"/>
  <c r="A1270" i="24"/>
  <c r="A1271" i="24"/>
  <c r="A1272" i="24"/>
  <c r="A1273" i="24"/>
  <c r="A1274" i="24"/>
  <c r="A1275" i="24"/>
  <c r="A1276" i="24"/>
  <c r="A1277" i="24"/>
  <c r="A1278" i="24"/>
  <c r="A1279" i="24"/>
  <c r="A1280" i="24"/>
  <c r="A1281" i="24"/>
  <c r="A1282" i="24"/>
  <c r="A1283" i="24"/>
  <c r="A1284" i="24"/>
  <c r="A1285" i="24"/>
  <c r="A1286" i="24"/>
  <c r="A1287" i="24"/>
  <c r="A1288" i="24"/>
  <c r="A1289" i="24"/>
  <c r="A1290" i="24"/>
  <c r="A1291" i="24"/>
  <c r="A1292" i="24"/>
  <c r="A1293" i="24"/>
  <c r="A1294" i="24"/>
  <c r="A1295" i="24"/>
  <c r="A1296" i="24"/>
  <c r="A1297" i="24"/>
  <c r="A1298" i="24"/>
  <c r="A1299" i="24"/>
  <c r="A1300" i="24"/>
  <c r="A1301" i="24"/>
  <c r="A1302" i="24"/>
  <c r="A1303" i="24"/>
  <c r="A1304" i="24"/>
  <c r="A1305" i="24"/>
  <c r="A1306" i="24"/>
  <c r="A1307" i="24"/>
  <c r="A1308" i="24"/>
  <c r="A1309" i="24"/>
  <c r="A1310" i="24"/>
  <c r="A1311" i="24"/>
  <c r="A1312" i="24"/>
  <c r="A1313" i="24"/>
  <c r="A1314" i="24"/>
  <c r="A1315" i="24"/>
  <c r="A1316" i="24"/>
  <c r="A1317" i="24"/>
  <c r="A1318" i="24"/>
  <c r="A1319" i="24"/>
  <c r="A1320" i="24"/>
  <c r="A1321" i="24"/>
  <c r="A1322" i="24"/>
  <c r="A1323" i="24"/>
  <c r="A1324" i="24"/>
  <c r="A1325" i="24"/>
  <c r="A1326" i="24"/>
  <c r="A1327" i="24"/>
  <c r="A1328" i="24"/>
  <c r="A1329" i="24"/>
  <c r="A1330" i="24"/>
  <c r="A1331" i="24"/>
  <c r="A1332" i="24"/>
  <c r="A1333" i="24"/>
  <c r="A1334" i="24"/>
  <c r="A1335" i="24"/>
  <c r="A1336" i="24"/>
  <c r="A1337" i="24"/>
  <c r="A1338" i="24"/>
  <c r="A1339" i="24"/>
  <c r="A1340" i="24"/>
  <c r="A1341" i="24"/>
  <c r="A1342" i="24"/>
  <c r="A1343" i="24"/>
  <c r="A1344" i="24"/>
  <c r="A1345" i="24"/>
  <c r="A1346" i="24"/>
  <c r="A1347" i="24"/>
  <c r="A1348" i="24"/>
  <c r="A1349" i="24"/>
  <c r="A1350" i="24"/>
  <c r="A1351" i="24"/>
  <c r="A1352" i="24"/>
  <c r="A1353" i="24"/>
  <c r="A1354" i="24"/>
  <c r="A1355" i="24"/>
  <c r="A1356" i="24"/>
  <c r="A1357" i="24"/>
  <c r="A1358" i="24"/>
  <c r="A1359" i="24"/>
  <c r="A1360" i="24"/>
  <c r="A1361" i="24"/>
  <c r="A1362" i="24"/>
  <c r="A1363" i="24"/>
  <c r="A1364" i="24"/>
  <c r="A1365" i="24"/>
  <c r="A1366" i="24"/>
  <c r="A1367" i="24"/>
  <c r="A1368" i="24"/>
  <c r="A1369" i="24"/>
  <c r="A1370" i="24"/>
  <c r="A1371" i="24"/>
  <c r="A1372" i="24"/>
  <c r="A1373" i="24"/>
  <c r="A1374" i="24"/>
  <c r="A1375" i="24"/>
  <c r="A1376" i="24"/>
  <c r="A1377" i="24"/>
  <c r="A1378" i="24"/>
  <c r="A1379" i="24"/>
  <c r="A1380" i="24"/>
  <c r="A1381" i="24"/>
  <c r="A1382" i="24"/>
  <c r="A1383" i="24"/>
  <c r="A1384" i="24"/>
  <c r="A1385" i="24"/>
  <c r="A1386" i="24"/>
  <c r="A1387" i="24"/>
  <c r="A1388" i="24"/>
  <c r="A1389" i="24"/>
  <c r="A1390" i="24"/>
  <c r="A1391" i="24"/>
  <c r="A1392" i="24"/>
  <c r="A1393" i="24"/>
  <c r="A1394" i="24"/>
  <c r="A1395" i="24"/>
  <c r="A1396" i="24"/>
  <c r="A1397" i="24"/>
  <c r="A1398" i="24"/>
  <c r="A1399" i="24"/>
  <c r="A1400" i="24"/>
  <c r="A1401" i="24"/>
  <c r="A1402" i="24"/>
  <c r="A1403" i="24"/>
  <c r="A1404" i="24"/>
  <c r="A1405" i="24"/>
  <c r="A1406" i="24"/>
  <c r="A1407" i="24"/>
  <c r="A1408" i="24"/>
  <c r="A1409" i="24"/>
  <c r="A1410" i="24"/>
  <c r="A1411" i="24"/>
  <c r="A1412" i="24"/>
  <c r="A1413" i="24"/>
  <c r="A1414" i="24"/>
  <c r="A1415" i="24"/>
  <c r="A1416" i="24"/>
  <c r="A1417" i="24"/>
  <c r="A1418" i="24"/>
  <c r="A1419" i="24"/>
  <c r="A1420" i="24"/>
  <c r="A1421" i="24"/>
  <c r="A1422" i="24"/>
  <c r="A1423" i="24"/>
  <c r="A1424" i="24"/>
  <c r="A1425" i="24"/>
  <c r="A1426" i="24"/>
  <c r="A1427" i="24"/>
  <c r="A1428" i="24"/>
  <c r="A1429" i="24"/>
  <c r="A1430" i="24"/>
  <c r="A1431" i="24"/>
  <c r="A1432" i="24"/>
  <c r="A1433" i="24"/>
  <c r="A1434" i="24"/>
  <c r="A1435" i="24"/>
  <c r="A1436" i="24"/>
  <c r="A1437" i="24"/>
  <c r="A1438" i="24"/>
  <c r="A1439" i="24"/>
  <c r="A1440" i="24"/>
  <c r="A1441" i="24"/>
  <c r="A1442" i="24"/>
  <c r="A1443" i="24"/>
  <c r="A1444" i="24"/>
  <c r="A1445" i="24"/>
  <c r="A1446" i="24"/>
  <c r="A1447" i="24"/>
  <c r="A1448" i="24"/>
  <c r="A1449" i="24"/>
  <c r="A1450" i="24"/>
  <c r="A1451" i="24"/>
  <c r="A1452" i="24"/>
  <c r="A1453" i="24"/>
  <c r="A1454" i="24"/>
  <c r="A1455" i="24"/>
  <c r="A1456" i="24"/>
  <c r="A1457" i="24"/>
  <c r="A1458" i="24"/>
  <c r="A1459" i="24"/>
  <c r="A1460" i="24"/>
  <c r="A1461" i="24"/>
  <c r="A1462" i="24"/>
  <c r="D1098" i="24"/>
  <c r="D1099" i="24"/>
  <c r="D1100" i="24"/>
  <c r="D1101" i="24"/>
  <c r="D1102" i="24"/>
  <c r="D1103" i="24"/>
  <c r="D1104" i="24"/>
  <c r="D1105" i="24"/>
  <c r="D1106" i="24"/>
  <c r="D1107" i="24"/>
  <c r="D1108" i="24"/>
  <c r="D1109" i="24"/>
  <c r="D1110" i="24"/>
  <c r="D1111" i="24"/>
  <c r="D1112" i="24"/>
  <c r="D1113" i="24"/>
  <c r="D1114" i="24"/>
  <c r="D1115" i="24"/>
  <c r="D1116" i="24"/>
  <c r="D1117" i="24"/>
  <c r="D1118" i="24"/>
  <c r="D1119" i="24"/>
  <c r="D1120" i="24"/>
  <c r="D1121" i="24"/>
  <c r="D1122" i="24"/>
  <c r="D1123" i="24"/>
  <c r="D1124" i="24"/>
  <c r="D1125" i="24"/>
  <c r="D1126" i="24"/>
  <c r="D1127" i="24"/>
  <c r="D1128" i="24"/>
  <c r="D1129" i="24"/>
  <c r="D1130" i="24"/>
  <c r="D1131" i="24"/>
  <c r="D1132" i="24"/>
  <c r="D1133" i="24"/>
  <c r="D1134" i="24"/>
  <c r="D1135" i="24"/>
  <c r="D1136" i="24"/>
  <c r="D1137" i="24"/>
  <c r="D1138" i="24"/>
  <c r="D1139" i="24"/>
  <c r="D1140" i="24"/>
  <c r="D1141" i="24"/>
  <c r="D1142" i="24"/>
  <c r="D1143" i="24"/>
  <c r="D1144" i="24"/>
  <c r="D1145" i="24"/>
  <c r="D1146" i="24"/>
  <c r="D1147" i="24"/>
  <c r="D1148" i="24"/>
  <c r="D1149" i="24"/>
  <c r="D1150" i="24"/>
  <c r="D1151" i="24"/>
  <c r="D1152" i="24"/>
  <c r="D1153" i="24"/>
  <c r="D1154" i="24"/>
  <c r="D1155" i="24"/>
  <c r="D1156" i="24"/>
  <c r="D1157" i="24"/>
  <c r="D1158" i="24"/>
  <c r="D1159" i="24"/>
  <c r="D1160" i="24"/>
  <c r="D1161" i="24"/>
  <c r="D1162" i="24"/>
  <c r="D1163" i="24"/>
  <c r="D1164" i="24"/>
  <c r="D1165" i="24"/>
  <c r="D1166" i="24"/>
  <c r="D1167" i="24"/>
  <c r="D1168" i="24"/>
  <c r="D1169" i="24"/>
  <c r="D1170" i="24"/>
  <c r="D1171" i="24"/>
  <c r="D1172" i="24"/>
  <c r="D1173" i="24"/>
  <c r="D1174" i="24"/>
  <c r="D1175" i="24"/>
  <c r="D1176" i="24"/>
  <c r="D1177" i="24"/>
  <c r="D1178" i="24"/>
  <c r="D1179" i="24"/>
  <c r="D1180" i="24"/>
  <c r="D1181" i="24"/>
  <c r="D1182" i="24"/>
  <c r="D1183" i="24"/>
  <c r="D1184" i="24"/>
  <c r="D1185" i="24"/>
  <c r="D1186" i="24"/>
  <c r="D1187" i="24"/>
  <c r="D1188" i="24"/>
  <c r="D1189" i="24"/>
  <c r="D1190" i="24"/>
  <c r="D1191" i="24"/>
  <c r="D1192" i="24"/>
  <c r="D1193" i="24"/>
  <c r="D1194" i="24"/>
  <c r="D1195" i="24"/>
  <c r="D1196" i="24"/>
  <c r="D1197" i="24"/>
  <c r="D1198" i="24"/>
  <c r="D1199" i="24"/>
  <c r="D1200" i="24"/>
  <c r="D1201" i="24"/>
  <c r="D1202" i="24"/>
  <c r="D1203" i="24"/>
  <c r="D1204" i="24"/>
  <c r="D1205" i="24"/>
  <c r="D1206" i="24"/>
  <c r="D1207" i="24"/>
  <c r="D1208" i="24"/>
  <c r="D1209" i="24"/>
  <c r="D1210" i="24"/>
  <c r="D1211" i="24"/>
  <c r="D1212" i="24"/>
  <c r="D1213" i="24"/>
  <c r="D1214" i="24"/>
  <c r="D1215" i="24"/>
  <c r="D1216" i="24"/>
  <c r="D1217" i="24"/>
  <c r="D1218" i="24"/>
  <c r="D1219" i="24"/>
  <c r="D1220" i="24"/>
  <c r="D1221" i="24"/>
  <c r="D1222" i="24"/>
  <c r="D1223" i="24"/>
  <c r="D1224" i="24"/>
  <c r="D1225" i="24"/>
  <c r="D1226" i="24"/>
  <c r="D1227" i="24"/>
  <c r="D1228" i="24"/>
  <c r="D1229" i="24"/>
  <c r="D1230" i="24"/>
  <c r="D1231" i="24"/>
  <c r="D1232" i="24"/>
  <c r="D1233" i="24"/>
  <c r="D1234" i="24"/>
  <c r="D1235" i="24"/>
  <c r="D1236" i="24"/>
  <c r="D1237" i="24"/>
  <c r="D1238" i="24"/>
  <c r="D1239" i="24"/>
  <c r="D1240" i="24"/>
  <c r="D1241" i="24"/>
  <c r="D1242" i="24"/>
  <c r="D1243" i="24"/>
  <c r="D1244" i="24"/>
  <c r="D1245" i="24"/>
  <c r="D1246" i="24"/>
  <c r="D1247" i="24"/>
  <c r="D1248" i="24"/>
  <c r="D1249" i="24"/>
  <c r="D1250" i="24"/>
  <c r="D1251" i="24"/>
  <c r="D1252" i="24"/>
  <c r="D1253" i="24"/>
  <c r="D1254" i="24"/>
  <c r="D1255" i="24"/>
  <c r="D1256" i="24"/>
  <c r="D1257" i="24"/>
  <c r="D1258" i="24"/>
  <c r="D1259" i="24"/>
  <c r="D1260" i="24"/>
  <c r="D1261" i="24"/>
  <c r="D1262" i="24"/>
  <c r="D1263" i="24"/>
  <c r="D1264" i="24"/>
  <c r="D1265" i="24"/>
  <c r="D1266" i="24"/>
  <c r="D1267" i="24"/>
  <c r="D1268" i="24"/>
  <c r="D1269" i="24"/>
  <c r="D1270" i="24"/>
  <c r="D1271" i="24"/>
  <c r="D1272" i="24"/>
  <c r="D1273" i="24"/>
  <c r="D1274" i="24"/>
  <c r="D1275" i="24"/>
  <c r="D1276" i="24"/>
  <c r="D1277" i="24"/>
  <c r="D1278" i="24"/>
  <c r="D1279" i="24"/>
  <c r="D1280" i="24"/>
  <c r="D1281" i="24"/>
  <c r="D1282" i="24"/>
  <c r="D1283" i="24"/>
  <c r="D1284" i="24"/>
  <c r="D1285" i="24"/>
  <c r="D1286" i="24"/>
  <c r="D1287" i="24"/>
  <c r="D1288" i="24"/>
  <c r="D1289" i="24"/>
  <c r="D1290" i="24"/>
  <c r="D1291" i="24"/>
  <c r="D1292" i="24"/>
  <c r="D1293" i="24"/>
  <c r="D1294" i="24"/>
  <c r="D1295" i="24"/>
  <c r="D1296" i="24"/>
  <c r="D1297" i="24"/>
  <c r="D1298" i="24"/>
  <c r="D1299" i="24"/>
  <c r="D1300" i="24"/>
  <c r="D1301" i="24"/>
  <c r="D1302" i="24"/>
  <c r="D1303" i="24"/>
  <c r="D1304" i="24"/>
  <c r="D1305" i="24"/>
  <c r="D1306" i="24"/>
  <c r="D1307" i="24"/>
  <c r="D1308" i="24"/>
  <c r="D1309" i="24"/>
  <c r="D1310" i="24"/>
  <c r="D1311" i="24"/>
  <c r="D1312" i="24"/>
  <c r="D1313" i="24"/>
  <c r="D1314" i="24"/>
  <c r="D1315" i="24"/>
  <c r="D1316" i="24"/>
  <c r="D1317" i="24"/>
  <c r="D1318" i="24"/>
  <c r="D1319" i="24"/>
  <c r="D1320" i="24"/>
  <c r="D1321" i="24"/>
  <c r="D1322" i="24"/>
  <c r="D1323" i="24"/>
  <c r="D1324" i="24"/>
  <c r="D1325" i="24"/>
  <c r="D1326" i="24"/>
  <c r="D1327" i="24"/>
  <c r="D1328" i="24"/>
  <c r="D1329" i="24"/>
  <c r="D1330" i="24"/>
  <c r="D1331" i="24"/>
  <c r="D1332" i="24"/>
  <c r="D1333" i="24"/>
  <c r="D1334" i="24"/>
  <c r="D1335" i="24"/>
  <c r="D1336" i="24"/>
  <c r="D1337" i="24"/>
  <c r="D1338" i="24"/>
  <c r="D1339" i="24"/>
  <c r="D1340" i="24"/>
  <c r="D1341" i="24"/>
  <c r="D1342" i="24"/>
  <c r="D1343" i="24"/>
  <c r="D1344" i="24"/>
  <c r="D1345" i="24"/>
  <c r="D1346" i="24"/>
  <c r="D1347" i="24"/>
  <c r="D1348" i="24"/>
  <c r="D1349" i="24"/>
  <c r="D1350" i="24"/>
  <c r="D1351" i="24"/>
  <c r="D1352" i="24"/>
  <c r="D1353" i="24"/>
  <c r="D1354" i="24"/>
  <c r="D1355" i="24"/>
  <c r="D1356" i="24"/>
  <c r="D1357" i="24"/>
  <c r="D1358" i="24"/>
  <c r="D1359" i="24"/>
  <c r="D1360" i="24"/>
  <c r="D1361" i="24"/>
  <c r="D1362" i="24"/>
  <c r="D1363" i="24"/>
  <c r="D1364" i="24"/>
  <c r="D1365" i="24"/>
  <c r="D1366" i="24"/>
  <c r="D1367" i="24"/>
  <c r="D1368" i="24"/>
  <c r="D1369" i="24"/>
  <c r="D1370" i="24"/>
  <c r="D1371" i="24"/>
  <c r="D1372" i="24"/>
  <c r="D1373" i="24"/>
  <c r="D1374" i="24"/>
  <c r="D1375" i="24"/>
  <c r="D1376" i="24"/>
  <c r="D1377" i="24"/>
  <c r="D1378" i="24"/>
  <c r="D1379" i="24"/>
  <c r="D1380" i="24"/>
  <c r="D1381" i="24"/>
  <c r="D1382" i="24"/>
  <c r="D1383" i="24"/>
  <c r="D1384" i="24"/>
  <c r="D1385" i="24"/>
  <c r="D1386" i="24"/>
  <c r="D1387" i="24"/>
  <c r="D1388" i="24"/>
  <c r="D1389" i="24"/>
  <c r="D1390" i="24"/>
  <c r="D1391" i="24"/>
  <c r="D1392" i="24"/>
  <c r="D1393" i="24"/>
  <c r="D1394" i="24"/>
  <c r="D1395" i="24"/>
  <c r="D1396" i="24"/>
  <c r="D1397" i="24"/>
  <c r="D1398" i="24"/>
  <c r="D1399" i="24"/>
  <c r="D1400" i="24"/>
  <c r="D1401" i="24"/>
  <c r="D1402" i="24"/>
  <c r="D1403" i="24"/>
  <c r="D1404" i="24"/>
  <c r="D1405" i="24"/>
  <c r="D1406" i="24"/>
  <c r="D1407" i="24"/>
  <c r="D1408" i="24"/>
  <c r="D1409" i="24"/>
  <c r="D1410" i="24"/>
  <c r="D1411" i="24"/>
  <c r="D1412" i="24"/>
  <c r="D1413" i="24"/>
  <c r="D1414" i="24"/>
  <c r="D1415" i="24"/>
  <c r="D1416" i="24"/>
  <c r="D1417" i="24"/>
  <c r="D1418" i="24"/>
  <c r="D1419" i="24"/>
  <c r="D1420" i="24"/>
  <c r="D1421" i="24"/>
  <c r="D1422" i="24"/>
  <c r="D1423" i="24"/>
  <c r="D1424" i="24"/>
  <c r="D1425" i="24"/>
  <c r="D1426" i="24"/>
  <c r="D1427" i="24"/>
  <c r="D1428" i="24"/>
  <c r="D1429" i="24"/>
  <c r="D1430" i="24"/>
  <c r="D1431" i="24"/>
  <c r="D1432" i="24"/>
  <c r="D1433" i="24"/>
  <c r="D1434" i="24"/>
  <c r="D1435" i="24"/>
  <c r="D1436" i="24"/>
  <c r="D1437" i="24"/>
  <c r="D1438" i="24"/>
  <c r="D1439" i="24"/>
  <c r="D1440" i="24"/>
  <c r="D1441" i="24"/>
  <c r="D1442" i="24"/>
  <c r="D1443" i="24"/>
  <c r="D1444" i="24"/>
  <c r="D1445" i="24"/>
  <c r="D1446" i="24"/>
  <c r="D1447" i="24"/>
  <c r="D1448" i="24"/>
  <c r="D1449" i="24"/>
  <c r="D1450" i="24"/>
  <c r="D1451" i="24"/>
  <c r="D1452" i="24"/>
  <c r="D1453" i="24"/>
  <c r="D1454" i="24"/>
  <c r="D1455" i="24"/>
  <c r="D1456" i="24"/>
  <c r="D1457" i="24"/>
  <c r="D1458" i="24"/>
  <c r="D1459" i="24"/>
  <c r="D1460" i="24"/>
  <c r="D1461" i="24"/>
  <c r="D1462" i="24"/>
  <c r="A732" i="24"/>
  <c r="A733" i="24"/>
  <c r="A734" i="24"/>
  <c r="A735" i="24"/>
  <c r="A736" i="24"/>
  <c r="A737" i="24"/>
  <c r="A738" i="24"/>
  <c r="A739" i="24"/>
  <c r="A740" i="24"/>
  <c r="A741" i="24"/>
  <c r="A742" i="24"/>
  <c r="A743" i="24"/>
  <c r="A744" i="24"/>
  <c r="A745" i="24"/>
  <c r="A746" i="24"/>
  <c r="A747" i="24"/>
  <c r="A748" i="24"/>
  <c r="A749" i="24"/>
  <c r="A750" i="24"/>
  <c r="A751" i="24"/>
  <c r="A752" i="24"/>
  <c r="A753" i="24"/>
  <c r="A754" i="24"/>
  <c r="A755" i="24"/>
  <c r="A756" i="24"/>
  <c r="A757" i="24"/>
  <c r="A758" i="24"/>
  <c r="A759" i="24"/>
  <c r="A760" i="24"/>
  <c r="A761" i="24"/>
  <c r="A762" i="24"/>
  <c r="A763" i="24"/>
  <c r="A764" i="24"/>
  <c r="A765" i="24"/>
  <c r="A766" i="24"/>
  <c r="A767" i="24"/>
  <c r="A768" i="24"/>
  <c r="A769" i="24"/>
  <c r="A770" i="24"/>
  <c r="A771" i="24"/>
  <c r="A772" i="24"/>
  <c r="A773" i="24"/>
  <c r="A774" i="24"/>
  <c r="A775" i="24"/>
  <c r="A776" i="24"/>
  <c r="A777" i="24"/>
  <c r="A778" i="24"/>
  <c r="A779" i="24"/>
  <c r="A780" i="24"/>
  <c r="A781" i="24"/>
  <c r="A782" i="24"/>
  <c r="A783" i="24"/>
  <c r="A784" i="24"/>
  <c r="A785" i="24"/>
  <c r="A786" i="24"/>
  <c r="A787" i="24"/>
  <c r="A788" i="24"/>
  <c r="A789" i="24"/>
  <c r="A790" i="24"/>
  <c r="A791" i="24"/>
  <c r="A792" i="24"/>
  <c r="A793" i="24"/>
  <c r="A794" i="24"/>
  <c r="A795" i="24"/>
  <c r="A796" i="24"/>
  <c r="A797" i="24"/>
  <c r="A798" i="24"/>
  <c r="A799" i="24"/>
  <c r="A800" i="24"/>
  <c r="A801" i="24"/>
  <c r="A802" i="24"/>
  <c r="A803" i="24"/>
  <c r="A804" i="24"/>
  <c r="A805" i="24"/>
  <c r="A806" i="24"/>
  <c r="A807" i="24"/>
  <c r="A808" i="24"/>
  <c r="A809" i="24"/>
  <c r="A810" i="24"/>
  <c r="A811" i="24"/>
  <c r="A812" i="24"/>
  <c r="A813" i="24"/>
  <c r="A814" i="24"/>
  <c r="A815" i="24"/>
  <c r="A816" i="24"/>
  <c r="A817" i="24"/>
  <c r="A818" i="24"/>
  <c r="A819" i="24"/>
  <c r="A820" i="24"/>
  <c r="A821" i="24"/>
  <c r="A822" i="24"/>
  <c r="A823" i="24"/>
  <c r="A824" i="24"/>
  <c r="A825" i="24"/>
  <c r="A826" i="24"/>
  <c r="A827" i="24"/>
  <c r="A828" i="24"/>
  <c r="A829" i="24"/>
  <c r="A830" i="24"/>
  <c r="A831" i="24"/>
  <c r="A832" i="24"/>
  <c r="A833" i="24"/>
  <c r="A834" i="24"/>
  <c r="A835" i="24"/>
  <c r="A836" i="24"/>
  <c r="A837" i="24"/>
  <c r="A838" i="24"/>
  <c r="A839" i="24"/>
  <c r="A840" i="24"/>
  <c r="A841" i="24"/>
  <c r="A842" i="24"/>
  <c r="A843" i="24"/>
  <c r="A844" i="24"/>
  <c r="A845" i="24"/>
  <c r="A846" i="24"/>
  <c r="A847" i="24"/>
  <c r="A848" i="24"/>
  <c r="A849" i="24"/>
  <c r="A850" i="24"/>
  <c r="A851" i="24"/>
  <c r="A852" i="24"/>
  <c r="A853" i="24"/>
  <c r="A854" i="24"/>
  <c r="A855" i="24"/>
  <c r="A856" i="24"/>
  <c r="A857" i="24"/>
  <c r="A858" i="24"/>
  <c r="A859" i="24"/>
  <c r="A860" i="24"/>
  <c r="A861" i="24"/>
  <c r="A862" i="24"/>
  <c r="A863" i="24"/>
  <c r="A864" i="24"/>
  <c r="A865" i="24"/>
  <c r="A866" i="24"/>
  <c r="A867" i="24"/>
  <c r="A868" i="24"/>
  <c r="A869" i="24"/>
  <c r="A870" i="24"/>
  <c r="A871" i="24"/>
  <c r="A872" i="24"/>
  <c r="A873" i="24"/>
  <c r="A874" i="24"/>
  <c r="A875" i="24"/>
  <c r="A876" i="24"/>
  <c r="A877" i="24"/>
  <c r="A878" i="24"/>
  <c r="A879" i="24"/>
  <c r="A880" i="24"/>
  <c r="A881" i="24"/>
  <c r="A882" i="24"/>
  <c r="A883" i="24"/>
  <c r="A884" i="24"/>
  <c r="A885" i="24"/>
  <c r="A886" i="24"/>
  <c r="A887" i="24"/>
  <c r="A888" i="24"/>
  <c r="A889" i="24"/>
  <c r="A890" i="24"/>
  <c r="A891" i="24"/>
  <c r="A892" i="24"/>
  <c r="A893" i="24"/>
  <c r="A894" i="24"/>
  <c r="A895" i="24"/>
  <c r="A896" i="24"/>
  <c r="A897" i="24"/>
  <c r="A898" i="24"/>
  <c r="A899" i="24"/>
  <c r="A900" i="24"/>
  <c r="A901" i="24"/>
  <c r="A902" i="24"/>
  <c r="A903" i="24"/>
  <c r="A904" i="24"/>
  <c r="A905" i="24"/>
  <c r="A906" i="24"/>
  <c r="A907" i="24"/>
  <c r="A908" i="24"/>
  <c r="A909" i="24"/>
  <c r="A910" i="24"/>
  <c r="A911" i="24"/>
  <c r="A912" i="24"/>
  <c r="A913" i="24"/>
  <c r="A914" i="24"/>
  <c r="A915" i="24"/>
  <c r="A916" i="24"/>
  <c r="A917" i="24"/>
  <c r="A918" i="24"/>
  <c r="A919" i="24"/>
  <c r="A920" i="24"/>
  <c r="A921" i="24"/>
  <c r="A922" i="24"/>
  <c r="A923" i="24"/>
  <c r="A924" i="24"/>
  <c r="A925" i="24"/>
  <c r="A926" i="24"/>
  <c r="A927" i="24"/>
  <c r="A928" i="24"/>
  <c r="A929" i="24"/>
  <c r="A930" i="24"/>
  <c r="A931" i="24"/>
  <c r="A932" i="24"/>
  <c r="A933" i="24"/>
  <c r="A934" i="24"/>
  <c r="A935" i="24"/>
  <c r="A936" i="24"/>
  <c r="A937" i="24"/>
  <c r="A938" i="24"/>
  <c r="A939" i="24"/>
  <c r="A940" i="24"/>
  <c r="A941" i="24"/>
  <c r="A942" i="24"/>
  <c r="A943" i="24"/>
  <c r="A944" i="24"/>
  <c r="A945" i="24"/>
  <c r="A946" i="24"/>
  <c r="A947" i="24"/>
  <c r="A948" i="24"/>
  <c r="A949" i="24"/>
  <c r="A950" i="24"/>
  <c r="A951" i="24"/>
  <c r="A952" i="24"/>
  <c r="A953" i="24"/>
  <c r="A954" i="24"/>
  <c r="A955" i="24"/>
  <c r="A956" i="24"/>
  <c r="A957" i="24"/>
  <c r="A958" i="24"/>
  <c r="A959" i="24"/>
  <c r="A960" i="24"/>
  <c r="A961" i="24"/>
  <c r="A962" i="24"/>
  <c r="A963" i="24"/>
  <c r="A964" i="24"/>
  <c r="A965" i="24"/>
  <c r="A966" i="24"/>
  <c r="A967" i="24"/>
  <c r="A968" i="24"/>
  <c r="A969" i="24"/>
  <c r="A970" i="24"/>
  <c r="A971" i="24"/>
  <c r="A972" i="24"/>
  <c r="A973" i="24"/>
  <c r="A974" i="24"/>
  <c r="A975" i="24"/>
  <c r="A976" i="24"/>
  <c r="A977" i="24"/>
  <c r="A978" i="24"/>
  <c r="A979" i="24"/>
  <c r="A980" i="24"/>
  <c r="A981" i="24"/>
  <c r="A982" i="24"/>
  <c r="A983" i="24"/>
  <c r="A984" i="24"/>
  <c r="A985" i="24"/>
  <c r="A986" i="24"/>
  <c r="A987" i="24"/>
  <c r="A988" i="24"/>
  <c r="A989" i="24"/>
  <c r="A990" i="24"/>
  <c r="A991" i="24"/>
  <c r="A992" i="24"/>
  <c r="A993" i="24"/>
  <c r="A994" i="24"/>
  <c r="A995" i="24"/>
  <c r="A996" i="24"/>
  <c r="A997" i="24"/>
  <c r="A998" i="24"/>
  <c r="A999" i="24"/>
  <c r="A1000" i="24"/>
  <c r="A1001" i="24"/>
  <c r="A1002" i="24"/>
  <c r="A1003" i="24"/>
  <c r="A1004" i="24"/>
  <c r="A1005" i="24"/>
  <c r="A1006" i="24"/>
  <c r="A1007" i="24"/>
  <c r="A1008" i="24"/>
  <c r="A1009" i="24"/>
  <c r="A1010" i="24"/>
  <c r="A1011" i="24"/>
  <c r="A1012" i="24"/>
  <c r="A1013" i="24"/>
  <c r="A1014" i="24"/>
  <c r="A1015" i="24"/>
  <c r="A1016" i="24"/>
  <c r="A1017" i="24"/>
  <c r="A1018" i="24"/>
  <c r="A1019" i="24"/>
  <c r="A1020" i="24"/>
  <c r="A1021" i="24"/>
  <c r="A1022" i="24"/>
  <c r="A1023" i="24"/>
  <c r="A1024" i="24"/>
  <c r="A1025" i="24"/>
  <c r="A1026" i="24"/>
  <c r="A1027" i="24"/>
  <c r="A1028" i="24"/>
  <c r="A1029" i="24"/>
  <c r="A1030" i="24"/>
  <c r="A1031" i="24"/>
  <c r="A1032" i="24"/>
  <c r="A1033" i="24"/>
  <c r="A1034" i="24"/>
  <c r="A1035" i="24"/>
  <c r="A1036" i="24"/>
  <c r="A1037" i="24"/>
  <c r="A1038" i="24"/>
  <c r="A1039" i="24"/>
  <c r="A1040" i="24"/>
  <c r="A1041" i="24"/>
  <c r="A1042" i="24"/>
  <c r="A1043" i="24"/>
  <c r="A1044" i="24"/>
  <c r="A1045" i="24"/>
  <c r="A1046" i="24"/>
  <c r="A1047" i="24"/>
  <c r="A1048" i="24"/>
  <c r="A1049" i="24"/>
  <c r="A1050" i="24"/>
  <c r="A1051" i="24"/>
  <c r="A1052" i="24"/>
  <c r="A1053" i="24"/>
  <c r="A1054" i="24"/>
  <c r="A1055" i="24"/>
  <c r="A1056" i="24"/>
  <c r="A1057" i="24"/>
  <c r="A1058" i="24"/>
  <c r="A1059" i="24"/>
  <c r="A1060" i="24"/>
  <c r="A1061" i="24"/>
  <c r="A1062" i="24"/>
  <c r="A1063" i="24"/>
  <c r="A1064" i="24"/>
  <c r="A1065" i="24"/>
  <c r="A1066" i="24"/>
  <c r="A1067" i="24"/>
  <c r="A1068" i="24"/>
  <c r="A1069" i="24"/>
  <c r="A1070" i="24"/>
  <c r="A1071" i="24"/>
  <c r="A1072" i="24"/>
  <c r="A1073" i="24"/>
  <c r="A1074" i="24"/>
  <c r="A1075" i="24"/>
  <c r="A1076" i="24"/>
  <c r="A1077" i="24"/>
  <c r="A1078" i="24"/>
  <c r="A1079" i="24"/>
  <c r="A1080" i="24"/>
  <c r="A1081" i="24"/>
  <c r="A1082" i="24"/>
  <c r="A1083" i="24"/>
  <c r="A1084" i="24"/>
  <c r="A1085" i="24"/>
  <c r="A1086" i="24"/>
  <c r="A1087" i="24"/>
  <c r="A1088" i="24"/>
  <c r="A1089" i="24"/>
  <c r="A1090" i="24"/>
  <c r="A1091" i="24"/>
  <c r="A1092" i="24"/>
  <c r="A1093" i="24"/>
  <c r="A1094" i="24"/>
  <c r="A1095" i="24"/>
  <c r="A1096" i="24"/>
  <c r="A1097" i="24"/>
  <c r="D732" i="24"/>
  <c r="D733" i="24"/>
  <c r="D734" i="24"/>
  <c r="D735" i="24"/>
  <c r="D736" i="24"/>
  <c r="D737" i="24"/>
  <c r="D738" i="24"/>
  <c r="D739" i="24"/>
  <c r="D740" i="24"/>
  <c r="D741" i="24"/>
  <c r="D742" i="24"/>
  <c r="D743" i="24"/>
  <c r="D744" i="24"/>
  <c r="D745" i="24"/>
  <c r="D746" i="24"/>
  <c r="D747" i="24"/>
  <c r="D748" i="24"/>
  <c r="D749" i="24"/>
  <c r="D750" i="24"/>
  <c r="D751" i="24"/>
  <c r="D752" i="24"/>
  <c r="D753" i="24"/>
  <c r="D754" i="24"/>
  <c r="D755" i="24"/>
  <c r="D756" i="24"/>
  <c r="D757" i="24"/>
  <c r="D758" i="24"/>
  <c r="D759" i="24"/>
  <c r="D760" i="24"/>
  <c r="D761" i="24"/>
  <c r="D762" i="24"/>
  <c r="D763" i="24"/>
  <c r="D764" i="24"/>
  <c r="D765" i="24"/>
  <c r="D766" i="24"/>
  <c r="D767" i="24"/>
  <c r="D768" i="24"/>
  <c r="D769" i="24"/>
  <c r="D770" i="24"/>
  <c r="D771" i="24"/>
  <c r="D772" i="24"/>
  <c r="D773" i="24"/>
  <c r="D774" i="24"/>
  <c r="D775" i="24"/>
  <c r="D776" i="24"/>
  <c r="D777" i="24"/>
  <c r="D778" i="24"/>
  <c r="D779" i="24"/>
  <c r="D780" i="24"/>
  <c r="D781" i="24"/>
  <c r="D782" i="24"/>
  <c r="D783" i="24"/>
  <c r="D784" i="24"/>
  <c r="D785" i="24"/>
  <c r="D786" i="24"/>
  <c r="D787" i="24"/>
  <c r="D788" i="24"/>
  <c r="D789" i="24"/>
  <c r="D790" i="24"/>
  <c r="D791" i="24"/>
  <c r="D792" i="24"/>
  <c r="D793" i="24"/>
  <c r="D794" i="24"/>
  <c r="D795" i="24"/>
  <c r="D796" i="24"/>
  <c r="D797" i="24"/>
  <c r="D798" i="24"/>
  <c r="D799" i="24"/>
  <c r="D800" i="24"/>
  <c r="D801" i="24"/>
  <c r="D802" i="24"/>
  <c r="D803" i="24"/>
  <c r="D804" i="24"/>
  <c r="D805" i="24"/>
  <c r="D806" i="24"/>
  <c r="D807" i="24"/>
  <c r="D808" i="24"/>
  <c r="D809" i="24"/>
  <c r="D810" i="24"/>
  <c r="D811" i="24"/>
  <c r="D812" i="24"/>
  <c r="D813" i="24"/>
  <c r="D814" i="24"/>
  <c r="D815" i="24"/>
  <c r="D816" i="24"/>
  <c r="D817" i="24"/>
  <c r="D818" i="24"/>
  <c r="D819" i="24"/>
  <c r="D820" i="24"/>
  <c r="D821" i="24"/>
  <c r="D822" i="24"/>
  <c r="D823" i="24"/>
  <c r="D824" i="24"/>
  <c r="D825" i="24"/>
  <c r="D826" i="24"/>
  <c r="D827" i="24"/>
  <c r="D828" i="24"/>
  <c r="D829" i="24"/>
  <c r="D830" i="24"/>
  <c r="D831" i="24"/>
  <c r="D832" i="24"/>
  <c r="D833" i="24"/>
  <c r="D834" i="24"/>
  <c r="D835" i="24"/>
  <c r="D836" i="24"/>
  <c r="D837" i="24"/>
  <c r="D838" i="24"/>
  <c r="D839" i="24"/>
  <c r="D840" i="24"/>
  <c r="D841" i="24"/>
  <c r="D842" i="24"/>
  <c r="D843" i="24"/>
  <c r="D844" i="24"/>
  <c r="D845" i="24"/>
  <c r="D846" i="24"/>
  <c r="D847" i="24"/>
  <c r="D848" i="24"/>
  <c r="D849" i="24"/>
  <c r="D850" i="24"/>
  <c r="D851" i="24"/>
  <c r="D852" i="24"/>
  <c r="D853" i="24"/>
  <c r="D854" i="24"/>
  <c r="D855" i="24"/>
  <c r="D856" i="24"/>
  <c r="D857" i="24"/>
  <c r="D858" i="24"/>
  <c r="D859" i="24"/>
  <c r="D860" i="24"/>
  <c r="D861" i="24"/>
  <c r="D862" i="24"/>
  <c r="D863" i="24"/>
  <c r="D864" i="24"/>
  <c r="D865" i="24"/>
  <c r="D866" i="24"/>
  <c r="D867" i="24"/>
  <c r="D868" i="24"/>
  <c r="D869" i="24"/>
  <c r="D870" i="24"/>
  <c r="D871" i="24"/>
  <c r="D872" i="24"/>
  <c r="D873" i="24"/>
  <c r="D874" i="24"/>
  <c r="D875" i="24"/>
  <c r="D876" i="24"/>
  <c r="D877" i="24"/>
  <c r="D878" i="24"/>
  <c r="D879" i="24"/>
  <c r="D880" i="24"/>
  <c r="D881" i="24"/>
  <c r="D882" i="24"/>
  <c r="D883" i="24"/>
  <c r="D884" i="24"/>
  <c r="D885" i="24"/>
  <c r="D886" i="24"/>
  <c r="D887" i="24"/>
  <c r="D888" i="24"/>
  <c r="D889" i="24"/>
  <c r="D890" i="24"/>
  <c r="D891" i="24"/>
  <c r="D892" i="24"/>
  <c r="D893" i="24"/>
  <c r="D894" i="24"/>
  <c r="D895" i="24"/>
  <c r="D896" i="24"/>
  <c r="D897" i="24"/>
  <c r="D898" i="24"/>
  <c r="D899" i="24"/>
  <c r="D900" i="24"/>
  <c r="D901" i="24"/>
  <c r="D902" i="24"/>
  <c r="D903" i="24"/>
  <c r="D904" i="24"/>
  <c r="D905" i="24"/>
  <c r="D906" i="24"/>
  <c r="D907" i="24"/>
  <c r="D908" i="24"/>
  <c r="D909" i="24"/>
  <c r="D910" i="24"/>
  <c r="D911" i="24"/>
  <c r="D912" i="24"/>
  <c r="D913" i="24"/>
  <c r="D914" i="24"/>
  <c r="D915" i="24"/>
  <c r="D916" i="24"/>
  <c r="D917" i="24"/>
  <c r="D918" i="24"/>
  <c r="D919" i="24"/>
  <c r="D920" i="24"/>
  <c r="D921" i="24"/>
  <c r="D922" i="24"/>
  <c r="D923" i="24"/>
  <c r="D924" i="24"/>
  <c r="D925" i="24"/>
  <c r="D926" i="24"/>
  <c r="D927" i="24"/>
  <c r="D928" i="24"/>
  <c r="D929" i="24"/>
  <c r="D930" i="24"/>
  <c r="D931" i="24"/>
  <c r="D932" i="24"/>
  <c r="D933" i="24"/>
  <c r="D934" i="24"/>
  <c r="D935" i="24"/>
  <c r="D936" i="24"/>
  <c r="D937" i="24"/>
  <c r="D938" i="24"/>
  <c r="D939" i="24"/>
  <c r="D940" i="24"/>
  <c r="D941" i="24"/>
  <c r="D942" i="24"/>
  <c r="D943" i="24"/>
  <c r="D944" i="24"/>
  <c r="D945" i="24"/>
  <c r="D946" i="24"/>
  <c r="D947" i="24"/>
  <c r="D948" i="24"/>
  <c r="D949" i="24"/>
  <c r="D950" i="24"/>
  <c r="D951" i="24"/>
  <c r="D952" i="24"/>
  <c r="D953" i="24"/>
  <c r="D954" i="24"/>
  <c r="D955" i="24"/>
  <c r="D956" i="24"/>
  <c r="D957" i="24"/>
  <c r="D958" i="24"/>
  <c r="D959" i="24"/>
  <c r="D960" i="24"/>
  <c r="D961" i="24"/>
  <c r="D962" i="24"/>
  <c r="D963" i="24"/>
  <c r="D964" i="24"/>
  <c r="D965" i="24"/>
  <c r="D966" i="24"/>
  <c r="D967" i="24"/>
  <c r="D968" i="24"/>
  <c r="D969" i="24"/>
  <c r="D970" i="24"/>
  <c r="D971" i="24"/>
  <c r="D972" i="24"/>
  <c r="D973" i="24"/>
  <c r="D974" i="24"/>
  <c r="D975" i="24"/>
  <c r="D976" i="24"/>
  <c r="D977" i="24"/>
  <c r="D978" i="24"/>
  <c r="D979" i="24"/>
  <c r="D980" i="24"/>
  <c r="D981" i="24"/>
  <c r="D982" i="24"/>
  <c r="D983" i="24"/>
  <c r="D984" i="24"/>
  <c r="D985" i="24"/>
  <c r="D986" i="24"/>
  <c r="D987" i="24"/>
  <c r="D988" i="24"/>
  <c r="D989" i="24"/>
  <c r="D990" i="24"/>
  <c r="D991" i="24"/>
  <c r="D992" i="24"/>
  <c r="D993" i="24"/>
  <c r="D994" i="24"/>
  <c r="D995" i="24"/>
  <c r="D996" i="24"/>
  <c r="D997" i="24"/>
  <c r="D998" i="24"/>
  <c r="D999" i="24"/>
  <c r="D1000" i="24"/>
  <c r="D1001" i="24"/>
  <c r="D1002" i="24"/>
  <c r="D1003" i="24"/>
  <c r="D1004" i="24"/>
  <c r="D1005" i="24"/>
  <c r="D1006" i="24"/>
  <c r="D1007" i="24"/>
  <c r="D1008" i="24"/>
  <c r="D1009" i="24"/>
  <c r="D1010" i="24"/>
  <c r="D1011" i="24"/>
  <c r="D1012" i="24"/>
  <c r="D1013" i="24"/>
  <c r="D1014" i="24"/>
  <c r="D1015" i="24"/>
  <c r="D1016" i="24"/>
  <c r="D1017" i="24"/>
  <c r="D1018" i="24"/>
  <c r="D1019" i="24"/>
  <c r="D1020" i="24"/>
  <c r="D1021" i="24"/>
  <c r="D1022" i="24"/>
  <c r="D1023" i="24"/>
  <c r="D1024" i="24"/>
  <c r="D1025" i="24"/>
  <c r="D1026" i="24"/>
  <c r="D1027" i="24"/>
  <c r="D1028" i="24"/>
  <c r="D1029" i="24"/>
  <c r="D1030" i="24"/>
  <c r="D1031" i="24"/>
  <c r="D1032" i="24"/>
  <c r="D1033" i="24"/>
  <c r="D1034" i="24"/>
  <c r="D1035" i="24"/>
  <c r="D1036" i="24"/>
  <c r="D1037" i="24"/>
  <c r="D1038" i="24"/>
  <c r="D1039" i="24"/>
  <c r="D1040" i="24"/>
  <c r="D1041" i="24"/>
  <c r="D1042" i="24"/>
  <c r="D1043" i="24"/>
  <c r="D1044" i="24"/>
  <c r="D1045" i="24"/>
  <c r="D1046" i="24"/>
  <c r="D1047" i="24"/>
  <c r="D1048" i="24"/>
  <c r="D1049" i="24"/>
  <c r="D1050" i="24"/>
  <c r="D1051" i="24"/>
  <c r="D1052" i="24"/>
  <c r="D1053" i="24"/>
  <c r="D1054" i="24"/>
  <c r="D1055" i="24"/>
  <c r="D1056" i="24"/>
  <c r="D1057" i="24"/>
  <c r="D1058" i="24"/>
  <c r="D1059" i="24"/>
  <c r="D1060" i="24"/>
  <c r="D1061" i="24"/>
  <c r="D1062" i="24"/>
  <c r="D1063" i="24"/>
  <c r="D1064" i="24"/>
  <c r="D1065" i="24"/>
  <c r="D1066" i="24"/>
  <c r="D1067" i="24"/>
  <c r="D1068" i="24"/>
  <c r="D1069" i="24"/>
  <c r="D1070" i="24"/>
  <c r="D1071" i="24"/>
  <c r="D1072" i="24"/>
  <c r="D1073" i="24"/>
  <c r="D1074" i="24"/>
  <c r="D1075" i="24"/>
  <c r="D1076" i="24"/>
  <c r="D1077" i="24"/>
  <c r="D1078" i="24"/>
  <c r="D1079" i="24"/>
  <c r="D1080" i="24"/>
  <c r="D1081" i="24"/>
  <c r="D1082" i="24"/>
  <c r="D1083" i="24"/>
  <c r="D1084" i="24"/>
  <c r="D1085" i="24"/>
  <c r="D1086" i="24"/>
  <c r="D1087" i="24"/>
  <c r="D1088" i="24"/>
  <c r="D1089" i="24"/>
  <c r="D1090" i="24"/>
  <c r="D1091" i="24"/>
  <c r="D1092" i="24"/>
  <c r="D1093" i="24"/>
  <c r="D1094" i="24"/>
  <c r="D1095" i="24"/>
  <c r="D1096" i="24"/>
  <c r="D1097" i="24"/>
  <c r="A731" i="24"/>
  <c r="D731" i="24"/>
  <c r="D730" i="24"/>
  <c r="D729" i="24"/>
  <c r="D728" i="24"/>
  <c r="D727" i="24"/>
  <c r="D726" i="24"/>
  <c r="D725" i="24"/>
  <c r="D724" i="24"/>
  <c r="D723" i="24"/>
  <c r="D722" i="24"/>
  <c r="D721" i="24"/>
  <c r="D720" i="24"/>
  <c r="D719" i="24"/>
  <c r="D718" i="24"/>
  <c r="D717" i="24"/>
  <c r="D716" i="24"/>
  <c r="D715" i="24"/>
  <c r="D714" i="24"/>
  <c r="D713" i="24"/>
  <c r="D712" i="24"/>
  <c r="D711" i="24"/>
  <c r="D710" i="24"/>
  <c r="D709" i="24"/>
  <c r="D708" i="24"/>
  <c r="D707" i="24"/>
  <c r="D706" i="24"/>
  <c r="D705" i="24"/>
  <c r="D704" i="24"/>
  <c r="D703" i="24"/>
  <c r="D702" i="24"/>
  <c r="D701" i="24"/>
  <c r="D700" i="24"/>
  <c r="D699" i="24"/>
  <c r="D698" i="24"/>
  <c r="D697" i="24"/>
  <c r="D696" i="24"/>
  <c r="D695" i="24"/>
  <c r="D694" i="24"/>
  <c r="D693" i="24"/>
  <c r="D692" i="24"/>
  <c r="D691" i="24"/>
  <c r="D690" i="24"/>
  <c r="D689" i="24"/>
  <c r="D688" i="24"/>
  <c r="D687" i="24"/>
  <c r="D686" i="24"/>
  <c r="D685" i="24"/>
  <c r="D684" i="24"/>
  <c r="D683" i="24"/>
  <c r="D682" i="24"/>
  <c r="D681" i="24"/>
  <c r="D680" i="24"/>
  <c r="D679" i="24"/>
  <c r="D678" i="24"/>
  <c r="D677" i="24"/>
  <c r="D676" i="24"/>
  <c r="D675" i="24"/>
  <c r="D674" i="24"/>
  <c r="D673" i="24"/>
  <c r="D672" i="24"/>
  <c r="D671" i="24"/>
  <c r="D670" i="24"/>
  <c r="D669" i="24"/>
  <c r="D668" i="24"/>
  <c r="D667" i="24"/>
  <c r="D666" i="24"/>
  <c r="D665" i="24"/>
  <c r="D664" i="24"/>
  <c r="D663" i="24"/>
  <c r="D662" i="24"/>
  <c r="D661" i="24"/>
  <c r="D660" i="24"/>
  <c r="D659" i="24"/>
  <c r="D658" i="24"/>
  <c r="D657" i="24"/>
  <c r="D656" i="24"/>
  <c r="D655" i="24"/>
  <c r="D654" i="24"/>
  <c r="D653" i="24"/>
  <c r="D652" i="24"/>
  <c r="D651" i="24"/>
  <c r="D650" i="24"/>
  <c r="D649" i="24"/>
  <c r="D648" i="24"/>
  <c r="D647" i="24"/>
  <c r="D646" i="24"/>
  <c r="D645" i="24"/>
  <c r="D644" i="24"/>
  <c r="D643" i="24"/>
  <c r="D642" i="24"/>
  <c r="D641" i="24"/>
  <c r="D640" i="24"/>
  <c r="D639" i="24"/>
  <c r="D638" i="24"/>
  <c r="D637" i="24"/>
  <c r="D636" i="24"/>
  <c r="D635" i="24"/>
  <c r="D634" i="24"/>
  <c r="D633" i="24"/>
  <c r="D632" i="24"/>
  <c r="D631" i="24"/>
  <c r="D630" i="24"/>
  <c r="D629" i="24"/>
  <c r="D628" i="24"/>
  <c r="D627" i="24"/>
  <c r="D626" i="24"/>
  <c r="D625" i="24"/>
  <c r="D624" i="24"/>
  <c r="D623" i="24"/>
  <c r="D622" i="24"/>
  <c r="D621" i="24"/>
  <c r="D620" i="24"/>
  <c r="D619" i="24"/>
  <c r="D618" i="24"/>
  <c r="D617" i="24"/>
  <c r="D616" i="24"/>
  <c r="D615" i="24"/>
  <c r="D614" i="24"/>
  <c r="D613" i="24"/>
  <c r="D612" i="24"/>
  <c r="D611" i="24"/>
  <c r="D610" i="24"/>
  <c r="D609" i="24"/>
  <c r="D608" i="24"/>
  <c r="D607" i="24"/>
  <c r="D606" i="24"/>
  <c r="D605" i="24"/>
  <c r="D604" i="24"/>
  <c r="D603" i="24"/>
  <c r="D602" i="24"/>
  <c r="D601" i="24"/>
  <c r="D600" i="24"/>
  <c r="D599" i="24"/>
  <c r="D598" i="24"/>
  <c r="D597" i="24"/>
  <c r="D596" i="24"/>
  <c r="D595" i="24"/>
  <c r="D594" i="24"/>
  <c r="D593" i="24"/>
  <c r="D592" i="24"/>
  <c r="D591" i="24"/>
  <c r="D590" i="24"/>
  <c r="D589" i="24"/>
  <c r="D588" i="24"/>
  <c r="D587" i="24"/>
  <c r="D586" i="24"/>
  <c r="D585" i="24"/>
  <c r="D584" i="24"/>
  <c r="D583" i="24"/>
  <c r="D582" i="24"/>
  <c r="D581" i="24"/>
  <c r="D580" i="24"/>
  <c r="D579" i="24"/>
  <c r="D578" i="24"/>
  <c r="D577" i="24"/>
  <c r="D576" i="24"/>
  <c r="D575" i="24"/>
  <c r="D574" i="24"/>
  <c r="D573" i="24"/>
  <c r="D572" i="24"/>
  <c r="D571" i="24"/>
  <c r="D570" i="24"/>
  <c r="D569" i="24"/>
  <c r="D568" i="24"/>
  <c r="D567" i="24"/>
  <c r="D566" i="24"/>
  <c r="D565" i="24"/>
  <c r="D564" i="24"/>
  <c r="D563" i="24"/>
  <c r="D562" i="24"/>
  <c r="D561" i="24"/>
  <c r="D560" i="24"/>
  <c r="D559" i="24"/>
  <c r="D558" i="24"/>
  <c r="D557" i="24"/>
  <c r="D556" i="24"/>
  <c r="D555" i="24"/>
  <c r="D554" i="24"/>
  <c r="D553" i="24"/>
  <c r="D552" i="24"/>
  <c r="D551" i="24"/>
  <c r="D550" i="24"/>
  <c r="D549" i="24"/>
  <c r="D548" i="24"/>
  <c r="D547" i="24"/>
  <c r="D546" i="24"/>
  <c r="D545" i="24"/>
  <c r="D544" i="24"/>
  <c r="D543" i="24"/>
  <c r="D542" i="24"/>
  <c r="D541" i="24"/>
  <c r="D540" i="24"/>
  <c r="D539" i="24"/>
  <c r="D538" i="24"/>
  <c r="D537" i="24"/>
  <c r="D536" i="24"/>
  <c r="D535" i="24"/>
  <c r="D534" i="24"/>
  <c r="D533" i="24"/>
  <c r="D532" i="24"/>
  <c r="D531" i="24"/>
  <c r="D530" i="24"/>
  <c r="D529" i="24"/>
  <c r="D528" i="24"/>
  <c r="D527" i="24"/>
  <c r="D526" i="24"/>
  <c r="D525" i="24"/>
  <c r="D524" i="24"/>
  <c r="D523" i="24"/>
  <c r="D522" i="24"/>
  <c r="D521" i="24"/>
  <c r="D520" i="24"/>
  <c r="D519" i="24"/>
  <c r="D518" i="24"/>
  <c r="D517" i="24"/>
  <c r="D516" i="24"/>
  <c r="D515" i="24"/>
  <c r="D514" i="24"/>
  <c r="D513" i="24"/>
  <c r="D512" i="24"/>
  <c r="D511" i="24"/>
  <c r="D510" i="24"/>
  <c r="D509" i="24"/>
  <c r="D508" i="24"/>
  <c r="D507" i="24"/>
  <c r="D506" i="24"/>
  <c r="D505" i="24"/>
  <c r="D504" i="24"/>
  <c r="D503" i="24"/>
  <c r="D502" i="24"/>
  <c r="D501" i="24"/>
  <c r="D500" i="24"/>
  <c r="D499" i="24"/>
  <c r="D498" i="24"/>
  <c r="D497" i="24"/>
  <c r="D496" i="24"/>
  <c r="D495" i="24"/>
  <c r="D494" i="24"/>
  <c r="D493" i="24"/>
  <c r="D492" i="24"/>
  <c r="D491" i="24"/>
  <c r="D490" i="24"/>
  <c r="D489" i="24"/>
  <c r="D488" i="24"/>
  <c r="D487" i="24"/>
  <c r="D486" i="24"/>
  <c r="D485" i="24"/>
  <c r="D484" i="24"/>
  <c r="D483" i="24"/>
  <c r="D482" i="24"/>
  <c r="D481" i="24"/>
  <c r="D480" i="24"/>
  <c r="D479" i="24"/>
  <c r="D478" i="24"/>
  <c r="D477" i="24"/>
  <c r="D476" i="24"/>
  <c r="D475" i="24"/>
  <c r="D474" i="24"/>
  <c r="D473" i="24"/>
  <c r="D472" i="24"/>
  <c r="D471" i="24"/>
  <c r="D470" i="24"/>
  <c r="D469" i="24"/>
  <c r="D468" i="24"/>
  <c r="D467" i="24"/>
  <c r="D466" i="24"/>
  <c r="D465" i="24"/>
  <c r="D464" i="24"/>
  <c r="D463" i="24"/>
  <c r="D462" i="24"/>
  <c r="D461" i="24"/>
  <c r="D460" i="24"/>
  <c r="D459" i="24"/>
  <c r="D458" i="24"/>
  <c r="D457" i="24"/>
  <c r="D456" i="24"/>
  <c r="D455" i="24"/>
  <c r="D454" i="24"/>
  <c r="D453" i="24"/>
  <c r="D452" i="24"/>
  <c r="D451" i="24"/>
  <c r="D450" i="24"/>
  <c r="D449" i="24"/>
  <c r="D448" i="24"/>
  <c r="D447" i="24"/>
  <c r="D446" i="24"/>
  <c r="D445" i="24"/>
  <c r="D444" i="24"/>
  <c r="D443" i="24"/>
  <c r="D442" i="24"/>
  <c r="D441" i="24"/>
  <c r="D440" i="24"/>
  <c r="D439" i="24"/>
  <c r="D438" i="24"/>
  <c r="D437" i="24"/>
  <c r="D436" i="24"/>
  <c r="D435" i="24"/>
  <c r="D434" i="24"/>
  <c r="D433" i="24"/>
  <c r="D432" i="24"/>
  <c r="D431" i="24"/>
  <c r="D430" i="24"/>
  <c r="D429" i="24"/>
  <c r="D428" i="24"/>
  <c r="D427" i="24"/>
  <c r="D426" i="24"/>
  <c r="D425" i="24"/>
  <c r="D424" i="24"/>
  <c r="D423" i="24"/>
  <c r="D422" i="24"/>
  <c r="D421" i="24"/>
  <c r="D420" i="24"/>
  <c r="D419" i="24"/>
  <c r="D418" i="24"/>
  <c r="D417" i="24"/>
  <c r="D416" i="24"/>
  <c r="D415" i="24"/>
  <c r="D414" i="24"/>
  <c r="D413" i="24"/>
  <c r="D412" i="24"/>
  <c r="D411" i="24"/>
  <c r="D410" i="24"/>
  <c r="D409" i="24"/>
  <c r="D408" i="24"/>
  <c r="D407" i="24"/>
  <c r="D406" i="24"/>
  <c r="D405" i="24"/>
  <c r="D404" i="24"/>
  <c r="D403" i="24"/>
  <c r="D402" i="24"/>
  <c r="D401" i="24"/>
  <c r="D400" i="24"/>
  <c r="D399" i="24"/>
  <c r="D398" i="24"/>
  <c r="D397" i="24"/>
  <c r="D396" i="24"/>
  <c r="D395" i="24"/>
  <c r="D394" i="24"/>
  <c r="D393" i="24"/>
  <c r="D392" i="24"/>
  <c r="D391" i="24"/>
  <c r="D390" i="24"/>
  <c r="D389" i="24"/>
  <c r="D388" i="24"/>
  <c r="D387" i="24"/>
  <c r="D386" i="24"/>
  <c r="D385" i="24"/>
  <c r="D384" i="24"/>
  <c r="D383" i="24"/>
  <c r="D382" i="24"/>
  <c r="D381" i="24"/>
  <c r="D380" i="24"/>
  <c r="D379" i="24"/>
  <c r="D378" i="24"/>
  <c r="D377" i="24"/>
  <c r="D376" i="24"/>
  <c r="D375" i="24"/>
  <c r="D374" i="24"/>
  <c r="D373" i="24"/>
  <c r="D372" i="24"/>
  <c r="D371" i="24"/>
  <c r="D370" i="24"/>
  <c r="D369" i="24"/>
  <c r="D368" i="24"/>
  <c r="D367" i="24"/>
  <c r="A730" i="24"/>
  <c r="A729" i="24"/>
  <c r="A728" i="24"/>
  <c r="A727" i="24"/>
  <c r="A726" i="24"/>
  <c r="A725" i="24"/>
  <c r="A724" i="24"/>
  <c r="A723" i="24"/>
  <c r="A722" i="24"/>
  <c r="A721" i="24"/>
  <c r="A720" i="24"/>
  <c r="A719" i="24"/>
  <c r="A718" i="24"/>
  <c r="A717" i="24"/>
  <c r="A716" i="24"/>
  <c r="A715" i="24"/>
  <c r="A714" i="24"/>
  <c r="A713" i="24"/>
  <c r="A712" i="24"/>
  <c r="A711" i="24"/>
  <c r="A710" i="24"/>
  <c r="A709" i="24"/>
  <c r="A708" i="24"/>
  <c r="A707" i="24"/>
  <c r="A706" i="24"/>
  <c r="A705" i="24"/>
  <c r="A704" i="24"/>
  <c r="A703" i="24"/>
  <c r="A702" i="24"/>
  <c r="A701" i="24"/>
  <c r="A700" i="24"/>
  <c r="A699" i="24"/>
  <c r="A698" i="24"/>
  <c r="A697" i="24"/>
  <c r="A696" i="24"/>
  <c r="A695" i="24"/>
  <c r="A694" i="24"/>
  <c r="A693" i="24"/>
  <c r="A692" i="24"/>
  <c r="A691" i="24"/>
  <c r="A690" i="24"/>
  <c r="A689" i="24"/>
  <c r="A688" i="24"/>
  <c r="A687" i="24"/>
  <c r="A686" i="24"/>
  <c r="A685" i="24"/>
  <c r="A684" i="24"/>
  <c r="A683" i="24"/>
  <c r="A682" i="24"/>
  <c r="A681" i="24"/>
  <c r="A680" i="24"/>
  <c r="A679" i="24"/>
  <c r="A678" i="24"/>
  <c r="A677" i="24"/>
  <c r="A676" i="24"/>
  <c r="A675" i="24"/>
  <c r="A674" i="24"/>
  <c r="A673" i="24"/>
  <c r="A672" i="24"/>
  <c r="A671" i="24"/>
  <c r="A670" i="24"/>
  <c r="A669" i="24"/>
  <c r="A668" i="24"/>
  <c r="A667" i="24"/>
  <c r="A666" i="24"/>
  <c r="A665" i="24"/>
  <c r="A664" i="24"/>
  <c r="A663" i="24"/>
  <c r="A662" i="24"/>
  <c r="A661" i="24"/>
  <c r="A660" i="24"/>
  <c r="A659" i="24"/>
  <c r="A658" i="24"/>
  <c r="A657" i="24"/>
  <c r="A656" i="24"/>
  <c r="A655" i="24"/>
  <c r="A654" i="24"/>
  <c r="A653" i="24"/>
  <c r="A652" i="24"/>
  <c r="A651" i="24"/>
  <c r="A650" i="24"/>
  <c r="A649" i="24"/>
  <c r="A648" i="24"/>
  <c r="A647" i="24"/>
  <c r="A646" i="24"/>
  <c r="A645" i="24"/>
  <c r="A644" i="24"/>
  <c r="A643" i="24"/>
  <c r="A642" i="24"/>
  <c r="A641" i="24"/>
  <c r="A640" i="24"/>
  <c r="A639" i="24"/>
  <c r="A638" i="24"/>
  <c r="A637" i="24"/>
  <c r="A636" i="24"/>
  <c r="A635" i="24"/>
  <c r="A634" i="24"/>
  <c r="A633" i="24"/>
  <c r="A632" i="24"/>
  <c r="A631" i="24"/>
  <c r="A630" i="24"/>
  <c r="A629" i="24"/>
  <c r="A628" i="24"/>
  <c r="A627" i="24"/>
  <c r="A626" i="24"/>
  <c r="A625" i="24"/>
  <c r="A624" i="24"/>
  <c r="A623" i="24"/>
  <c r="A622" i="24"/>
  <c r="A621" i="24"/>
  <c r="A620" i="24"/>
  <c r="A619" i="24"/>
  <c r="A618" i="24"/>
  <c r="A617" i="24"/>
  <c r="A616" i="24"/>
  <c r="A615" i="24"/>
  <c r="A614" i="24"/>
  <c r="A613" i="24"/>
  <c r="A612" i="24"/>
  <c r="A611" i="24"/>
  <c r="A610" i="24"/>
  <c r="A609" i="24"/>
  <c r="A608" i="24"/>
  <c r="A607" i="24"/>
  <c r="A606" i="24"/>
  <c r="A605" i="24"/>
  <c r="A604" i="24"/>
  <c r="A603" i="24"/>
  <c r="A602" i="24"/>
  <c r="A601" i="24"/>
  <c r="A600" i="24"/>
  <c r="A599" i="24"/>
  <c r="A598" i="24"/>
  <c r="A597" i="24"/>
  <c r="A596" i="24"/>
  <c r="A595" i="24"/>
  <c r="A594" i="24"/>
  <c r="A593" i="24"/>
  <c r="A592" i="24"/>
  <c r="A591" i="24"/>
  <c r="A590" i="24"/>
  <c r="A589" i="24"/>
  <c r="A588" i="24"/>
  <c r="A587" i="24"/>
  <c r="A586" i="24"/>
  <c r="A585" i="24"/>
  <c r="A584" i="24"/>
  <c r="A583" i="24"/>
  <c r="A582" i="24"/>
  <c r="A581" i="24"/>
  <c r="A580" i="24"/>
  <c r="A579" i="24"/>
  <c r="A578" i="24"/>
  <c r="A577" i="24"/>
  <c r="A576" i="24"/>
  <c r="A575" i="24"/>
  <c r="A574" i="24"/>
  <c r="A573" i="24"/>
  <c r="A572" i="24"/>
  <c r="A571" i="24"/>
  <c r="A570" i="24"/>
  <c r="A569" i="24"/>
  <c r="A568" i="24"/>
  <c r="A567" i="24"/>
  <c r="A566" i="24"/>
  <c r="A565" i="24"/>
  <c r="A564" i="24"/>
  <c r="A563" i="24"/>
  <c r="A562" i="24"/>
  <c r="A561" i="24"/>
  <c r="A560" i="24"/>
  <c r="A559" i="24"/>
  <c r="A558" i="24"/>
  <c r="A557" i="24"/>
  <c r="A556" i="24"/>
  <c r="A555" i="24"/>
  <c r="A554" i="24"/>
  <c r="A553" i="24"/>
  <c r="A552" i="24"/>
  <c r="A551" i="24"/>
  <c r="A550" i="24"/>
  <c r="A549" i="24"/>
  <c r="A548" i="24"/>
  <c r="A547" i="24"/>
  <c r="A546" i="24"/>
  <c r="A545" i="24"/>
  <c r="A544" i="24"/>
  <c r="A543" i="24"/>
  <c r="A542" i="24"/>
  <c r="A541" i="24"/>
  <c r="A540" i="24"/>
  <c r="A539" i="24"/>
  <c r="A538" i="24"/>
  <c r="A537" i="24"/>
  <c r="A536" i="24"/>
  <c r="A535" i="24"/>
  <c r="A534" i="24"/>
  <c r="A533" i="24"/>
  <c r="A532" i="24"/>
  <c r="A531" i="24"/>
  <c r="A530" i="24"/>
  <c r="A529" i="24"/>
  <c r="A528" i="24"/>
  <c r="A527" i="24"/>
  <c r="A526" i="24"/>
  <c r="A525" i="24"/>
  <c r="A524" i="24"/>
  <c r="A523" i="24"/>
  <c r="A522" i="24"/>
  <c r="A521" i="24"/>
  <c r="A520" i="24"/>
  <c r="A519" i="24"/>
  <c r="A518" i="24"/>
  <c r="A517" i="24"/>
  <c r="A516" i="24"/>
  <c r="A515" i="24"/>
  <c r="A514" i="24"/>
  <c r="A513" i="24"/>
  <c r="A512" i="24"/>
  <c r="A511" i="24"/>
  <c r="A510" i="24"/>
  <c r="A509" i="24"/>
  <c r="A508" i="24"/>
  <c r="A507" i="24"/>
  <c r="A506" i="24"/>
  <c r="A505" i="24"/>
  <c r="A504" i="24"/>
  <c r="A503" i="24"/>
  <c r="A502" i="24"/>
  <c r="A501" i="24"/>
  <c r="A500" i="24"/>
  <c r="A499" i="24"/>
  <c r="A498" i="24"/>
  <c r="A497" i="24"/>
  <c r="A496" i="24"/>
  <c r="A495" i="24"/>
  <c r="A494" i="24"/>
  <c r="A493" i="24"/>
  <c r="A492" i="24"/>
  <c r="A491" i="24"/>
  <c r="A490" i="24"/>
  <c r="A489" i="24"/>
  <c r="A488" i="24"/>
  <c r="A487" i="24"/>
  <c r="A486" i="24"/>
  <c r="A485" i="24"/>
  <c r="A484" i="24"/>
  <c r="A483" i="24"/>
  <c r="A482" i="24"/>
  <c r="A481" i="24"/>
  <c r="A480" i="24"/>
  <c r="A479" i="24"/>
  <c r="A478" i="24"/>
  <c r="A477" i="24"/>
  <c r="A476" i="24"/>
  <c r="A475" i="24"/>
  <c r="A474" i="24"/>
  <c r="A473" i="24"/>
  <c r="A472" i="24"/>
  <c r="A471" i="24"/>
  <c r="A470" i="24"/>
  <c r="A469" i="24"/>
  <c r="A468" i="24"/>
  <c r="A467" i="24"/>
  <c r="A466" i="24"/>
  <c r="A465" i="24"/>
  <c r="A464" i="24"/>
  <c r="A463" i="24"/>
  <c r="A462" i="24"/>
  <c r="A461" i="24"/>
  <c r="A460" i="24"/>
  <c r="A459" i="24"/>
  <c r="A458" i="24"/>
  <c r="A457" i="24"/>
  <c r="A456" i="24"/>
  <c r="A455" i="24"/>
  <c r="A454" i="24"/>
  <c r="A453" i="24"/>
  <c r="A452" i="24"/>
  <c r="A451" i="24"/>
  <c r="A450" i="24"/>
  <c r="A449" i="24"/>
  <c r="A448" i="24"/>
  <c r="A447" i="24"/>
  <c r="A446" i="24"/>
  <c r="A445" i="24"/>
  <c r="A444" i="24"/>
  <c r="A443" i="24"/>
  <c r="A442" i="24"/>
  <c r="A441" i="24"/>
  <c r="A440" i="24"/>
  <c r="A439" i="24"/>
  <c r="A438" i="24"/>
  <c r="A437" i="24"/>
  <c r="A436" i="24"/>
  <c r="A435" i="24"/>
  <c r="A434" i="24"/>
  <c r="A433" i="24"/>
  <c r="A432" i="24"/>
  <c r="A431" i="24"/>
  <c r="A430" i="24"/>
  <c r="A429" i="24"/>
  <c r="A428" i="24"/>
  <c r="A427" i="24"/>
  <c r="A426" i="24"/>
  <c r="A425" i="24"/>
  <c r="A424" i="24"/>
  <c r="A423" i="24"/>
  <c r="A422" i="24"/>
  <c r="A421" i="24"/>
  <c r="A420" i="24"/>
  <c r="A419" i="24"/>
  <c r="A418" i="24"/>
  <c r="A417" i="24"/>
  <c r="A416" i="24"/>
  <c r="A415" i="24"/>
  <c r="A414" i="24"/>
  <c r="A413" i="24"/>
  <c r="A412" i="24"/>
  <c r="A411" i="24"/>
  <c r="A410" i="24"/>
  <c r="A409" i="24"/>
  <c r="A408" i="24"/>
  <c r="A407" i="24"/>
  <c r="A406" i="24"/>
  <c r="A405" i="24"/>
  <c r="A404" i="24"/>
  <c r="A403" i="24"/>
  <c r="A402" i="24"/>
  <c r="A401" i="24"/>
  <c r="A400" i="24"/>
  <c r="A399" i="24"/>
  <c r="A398" i="24"/>
  <c r="A397" i="24"/>
  <c r="A396" i="24"/>
  <c r="A395" i="24"/>
  <c r="A394" i="24"/>
  <c r="A393" i="24"/>
  <c r="A392" i="24"/>
  <c r="A391" i="24"/>
  <c r="A390" i="24"/>
  <c r="A389" i="24"/>
  <c r="A388" i="24"/>
  <c r="A387" i="24"/>
  <c r="A386" i="24"/>
  <c r="A385" i="24"/>
  <c r="A384" i="24"/>
  <c r="A383" i="24"/>
  <c r="A382" i="24"/>
  <c r="A381" i="24"/>
  <c r="A380" i="24"/>
  <c r="A379" i="24"/>
  <c r="A378" i="24"/>
  <c r="A377" i="24"/>
  <c r="A376" i="24"/>
  <c r="A375" i="24"/>
  <c r="A374" i="24"/>
  <c r="A373" i="24"/>
  <c r="A372" i="24"/>
  <c r="A371" i="24"/>
  <c r="A370" i="24"/>
  <c r="A369" i="24"/>
  <c r="A368" i="24"/>
  <c r="A367" i="24"/>
  <c r="A366" i="24"/>
  <c r="D366" i="24"/>
  <c r="D365" i="24"/>
  <c r="D364" i="24"/>
  <c r="D363" i="24"/>
  <c r="D362" i="24"/>
  <c r="D361" i="24"/>
  <c r="D360" i="24"/>
  <c r="D359" i="24"/>
  <c r="D358" i="24"/>
  <c r="D357" i="24"/>
  <c r="D356" i="24"/>
  <c r="D355" i="24"/>
  <c r="D354" i="24"/>
  <c r="D353" i="24"/>
  <c r="D352" i="24"/>
  <c r="D351" i="24"/>
  <c r="D350" i="24"/>
  <c r="D349" i="24"/>
  <c r="D348" i="24"/>
  <c r="D347" i="24"/>
  <c r="D346" i="24"/>
  <c r="D345" i="24"/>
  <c r="D344" i="24"/>
  <c r="D343" i="24"/>
  <c r="D342" i="24"/>
  <c r="D341" i="24"/>
  <c r="D340" i="24"/>
  <c r="D339" i="24"/>
  <c r="D338" i="24"/>
  <c r="D337" i="24"/>
  <c r="D336" i="24"/>
  <c r="D335" i="24"/>
  <c r="D334" i="24"/>
  <c r="D333" i="24"/>
  <c r="D332" i="24"/>
  <c r="D331" i="24"/>
  <c r="D330" i="24"/>
  <c r="D329" i="24"/>
  <c r="D328" i="24"/>
  <c r="D327" i="24"/>
  <c r="D326" i="24"/>
  <c r="D325" i="24"/>
  <c r="D324" i="24"/>
  <c r="D323" i="24"/>
  <c r="D322" i="24"/>
  <c r="D321" i="24"/>
  <c r="D320" i="24"/>
  <c r="D319" i="24"/>
  <c r="D318" i="24"/>
  <c r="D317" i="24"/>
  <c r="D316" i="24"/>
  <c r="D315" i="24"/>
  <c r="D314" i="24"/>
  <c r="D313" i="24"/>
  <c r="D312" i="24"/>
  <c r="D311" i="24"/>
  <c r="D310" i="24"/>
  <c r="D309" i="24"/>
  <c r="D308" i="24"/>
  <c r="D307" i="24"/>
  <c r="D306" i="24"/>
  <c r="D305" i="24"/>
  <c r="D304" i="24"/>
  <c r="D303" i="24"/>
  <c r="D302" i="24"/>
  <c r="D301" i="24"/>
  <c r="D300" i="24"/>
  <c r="D299" i="24"/>
  <c r="D298" i="24"/>
  <c r="D297" i="24"/>
  <c r="D296" i="24"/>
  <c r="D295" i="24"/>
  <c r="D294" i="24"/>
  <c r="D293" i="24"/>
  <c r="D292" i="24"/>
  <c r="D291" i="24"/>
  <c r="D290" i="24"/>
  <c r="D289" i="24"/>
  <c r="D288" i="24"/>
  <c r="D287" i="24"/>
  <c r="D286" i="24"/>
  <c r="D285" i="24"/>
  <c r="D284" i="24"/>
  <c r="D283" i="24"/>
  <c r="D282" i="24"/>
  <c r="D281" i="24"/>
  <c r="D280" i="24"/>
  <c r="D279" i="24"/>
  <c r="D278" i="24"/>
  <c r="D277" i="24"/>
  <c r="D276" i="24"/>
  <c r="D275" i="24"/>
  <c r="D274" i="24"/>
  <c r="D273" i="24"/>
  <c r="D272" i="24"/>
  <c r="D271" i="24"/>
  <c r="D270" i="24"/>
  <c r="D269" i="24"/>
  <c r="D268" i="24"/>
  <c r="D267" i="24"/>
  <c r="D266" i="24"/>
  <c r="D265" i="24"/>
  <c r="D264" i="24"/>
  <c r="D263" i="24"/>
  <c r="D262" i="24"/>
  <c r="D261" i="24"/>
  <c r="D260" i="24"/>
  <c r="D259" i="24"/>
  <c r="D258" i="24"/>
  <c r="D257" i="24"/>
  <c r="D256" i="24"/>
  <c r="D255" i="24"/>
  <c r="D254" i="24"/>
  <c r="D253" i="24"/>
  <c r="D252" i="24"/>
  <c r="D251" i="24"/>
  <c r="D250" i="24"/>
  <c r="D249" i="24"/>
  <c r="D248" i="24"/>
  <c r="D247" i="24"/>
  <c r="D246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D227" i="24"/>
  <c r="D226" i="24"/>
  <c r="D225" i="24"/>
  <c r="D224" i="24"/>
  <c r="D223" i="24"/>
  <c r="D222" i="24"/>
  <c r="D221" i="24"/>
  <c r="D220" i="24"/>
  <c r="D219" i="24"/>
  <c r="D218" i="24"/>
  <c r="D217" i="24"/>
  <c r="D216" i="24"/>
  <c r="D215" i="24"/>
  <c r="D214" i="24"/>
  <c r="D213" i="24"/>
  <c r="D212" i="24"/>
  <c r="D211" i="24"/>
  <c r="D210" i="24"/>
  <c r="D209" i="24"/>
  <c r="D208" i="24"/>
  <c r="D207" i="24"/>
  <c r="D206" i="24"/>
  <c r="D205" i="24"/>
  <c r="D204" i="24"/>
  <c r="D203" i="24"/>
  <c r="D202" i="24"/>
  <c r="D201" i="24"/>
  <c r="D200" i="24"/>
  <c r="D199" i="24"/>
  <c r="D198" i="24"/>
  <c r="D197" i="24"/>
  <c r="D196" i="24"/>
  <c r="D195" i="24"/>
  <c r="D194" i="24"/>
  <c r="D193" i="24"/>
  <c r="D192" i="24"/>
  <c r="D191" i="24"/>
  <c r="D190" i="24"/>
  <c r="D189" i="24"/>
  <c r="D188" i="24"/>
  <c r="D187" i="24"/>
  <c r="D186" i="24"/>
  <c r="D185" i="24"/>
  <c r="D184" i="24"/>
  <c r="D183" i="24"/>
  <c r="D182" i="24"/>
  <c r="D181" i="24"/>
  <c r="D180" i="24"/>
  <c r="D179" i="24"/>
  <c r="D178" i="24"/>
  <c r="D177" i="24"/>
  <c r="D176" i="24"/>
  <c r="D175" i="24"/>
  <c r="D174" i="24"/>
  <c r="D173" i="24"/>
  <c r="D172" i="24"/>
  <c r="D171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" i="24"/>
  <c r="A2" i="24"/>
  <c r="D56" i="22" l="1"/>
  <c r="A38" i="22"/>
  <c r="F38" i="22" s="1"/>
  <c r="H38" i="22" s="1"/>
  <c r="A39" i="22"/>
  <c r="F39" i="22" s="1"/>
  <c r="H39" i="22" s="1"/>
  <c r="A40" i="22"/>
  <c r="F40" i="22" s="1"/>
  <c r="H40" i="22" s="1"/>
  <c r="M56" i="2"/>
  <c r="K56" i="15" s="1"/>
  <c r="D61" i="22"/>
  <c r="D60" i="22"/>
  <c r="D59" i="22"/>
  <c r="D58" i="22"/>
  <c r="D57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C61" i="22"/>
  <c r="C60" i="22"/>
  <c r="C59" i="22"/>
  <c r="C58" i="22"/>
  <c r="C57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2" i="22"/>
  <c r="A61" i="22"/>
  <c r="F61" i="22" s="1"/>
  <c r="A60" i="22"/>
  <c r="F60" i="22" s="1"/>
  <c r="A59" i="22"/>
  <c r="F59" i="22" s="1"/>
  <c r="A58" i="22"/>
  <c r="F58" i="22" s="1"/>
  <c r="A57" i="22"/>
  <c r="F57" i="22" s="1"/>
  <c r="A56" i="22"/>
  <c r="F56" i="22" s="1"/>
  <c r="H56" i="22" s="1"/>
  <c r="A55" i="22"/>
  <c r="F55" i="22" s="1"/>
  <c r="H55" i="22" s="1"/>
  <c r="A54" i="22"/>
  <c r="F54" i="22" s="1"/>
  <c r="H54" i="22" s="1"/>
  <c r="A53" i="22"/>
  <c r="F53" i="22" s="1"/>
  <c r="H53" i="22" s="1"/>
  <c r="A52" i="22"/>
  <c r="F52" i="22" s="1"/>
  <c r="H52" i="22" s="1"/>
  <c r="A51" i="22"/>
  <c r="F51" i="22" s="1"/>
  <c r="H51" i="22" s="1"/>
  <c r="A50" i="22"/>
  <c r="F50" i="22" s="1"/>
  <c r="H50" i="22" s="1"/>
  <c r="A49" i="22"/>
  <c r="F49" i="22" s="1"/>
  <c r="H49" i="22" s="1"/>
  <c r="A48" i="22"/>
  <c r="F48" i="22" s="1"/>
  <c r="H48" i="22" s="1"/>
  <c r="A47" i="22"/>
  <c r="F47" i="22" s="1"/>
  <c r="H47" i="22" s="1"/>
  <c r="A46" i="22"/>
  <c r="F46" i="22" s="1"/>
  <c r="H46" i="22" s="1"/>
  <c r="A45" i="22"/>
  <c r="F45" i="22" s="1"/>
  <c r="H45" i="22" s="1"/>
  <c r="A44" i="22"/>
  <c r="F44" i="22" s="1"/>
  <c r="H44" i="22" s="1"/>
  <c r="A43" i="22"/>
  <c r="F43" i="22" s="1"/>
  <c r="H43" i="22" s="1"/>
  <c r="A42" i="22"/>
  <c r="F42" i="22" s="1"/>
  <c r="H42" i="22" s="1"/>
  <c r="A41" i="22"/>
  <c r="F41" i="22" s="1"/>
  <c r="H41" i="22" s="1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O50" i="15"/>
  <c r="P50" i="15"/>
  <c r="O51" i="15"/>
  <c r="P51" i="15"/>
  <c r="O52" i="15"/>
  <c r="P52" i="15"/>
  <c r="O53" i="15"/>
  <c r="P53" i="15"/>
  <c r="O54" i="15"/>
  <c r="P54" i="15"/>
  <c r="O55" i="15"/>
  <c r="P55" i="15"/>
  <c r="O56" i="15"/>
  <c r="P56" i="15"/>
  <c r="O57" i="15"/>
  <c r="P57" i="15"/>
  <c r="O58" i="15"/>
  <c r="P58" i="15"/>
  <c r="O59" i="15"/>
  <c r="P59" i="15"/>
  <c r="O60" i="15"/>
  <c r="P60" i="15"/>
  <c r="O61" i="15"/>
  <c r="P61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2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2" i="15"/>
  <c r="O3" i="15"/>
  <c r="B3" i="15"/>
  <c r="C3" i="15"/>
  <c r="E3" i="15"/>
  <c r="F3" i="15"/>
  <c r="G3" i="15"/>
  <c r="I3" i="15"/>
  <c r="B4" i="15"/>
  <c r="C4" i="15"/>
  <c r="E4" i="15"/>
  <c r="F4" i="15"/>
  <c r="G4" i="15"/>
  <c r="I4" i="15"/>
  <c r="B5" i="15"/>
  <c r="C5" i="15"/>
  <c r="E5" i="15"/>
  <c r="F5" i="15"/>
  <c r="G5" i="15"/>
  <c r="I5" i="15"/>
  <c r="B6" i="15"/>
  <c r="C6" i="15"/>
  <c r="E6" i="15"/>
  <c r="F6" i="15"/>
  <c r="G6" i="15"/>
  <c r="I6" i="15"/>
  <c r="B7" i="15"/>
  <c r="C7" i="15"/>
  <c r="E7" i="15"/>
  <c r="F7" i="15"/>
  <c r="G7" i="15"/>
  <c r="I7" i="15"/>
  <c r="B8" i="15"/>
  <c r="C8" i="15"/>
  <c r="E8" i="15"/>
  <c r="F8" i="15"/>
  <c r="G8" i="15"/>
  <c r="I8" i="15"/>
  <c r="B9" i="15"/>
  <c r="C9" i="15"/>
  <c r="E9" i="15"/>
  <c r="F9" i="15"/>
  <c r="G9" i="15"/>
  <c r="I9" i="15"/>
  <c r="B10" i="15"/>
  <c r="C10" i="15"/>
  <c r="E10" i="15"/>
  <c r="F10" i="15"/>
  <c r="G10" i="15"/>
  <c r="I10" i="15"/>
  <c r="B11" i="15"/>
  <c r="C11" i="15"/>
  <c r="E11" i="15"/>
  <c r="F11" i="15"/>
  <c r="G11" i="15"/>
  <c r="I11" i="15"/>
  <c r="B12" i="15"/>
  <c r="C12" i="15"/>
  <c r="E12" i="15"/>
  <c r="F12" i="15"/>
  <c r="G12" i="15"/>
  <c r="I12" i="15"/>
  <c r="B13" i="15"/>
  <c r="C13" i="15"/>
  <c r="E13" i="15"/>
  <c r="F13" i="15"/>
  <c r="G13" i="15"/>
  <c r="I13" i="15"/>
  <c r="B14" i="15"/>
  <c r="C14" i="15"/>
  <c r="E14" i="15"/>
  <c r="F14" i="15"/>
  <c r="G14" i="15"/>
  <c r="I14" i="15"/>
  <c r="B15" i="15"/>
  <c r="C15" i="15"/>
  <c r="E15" i="15"/>
  <c r="F15" i="15"/>
  <c r="G15" i="15"/>
  <c r="I15" i="15"/>
  <c r="B16" i="15"/>
  <c r="C16" i="15"/>
  <c r="E16" i="15"/>
  <c r="F16" i="15"/>
  <c r="G16" i="15"/>
  <c r="I16" i="15"/>
  <c r="B17" i="15"/>
  <c r="C17" i="15"/>
  <c r="E17" i="15"/>
  <c r="F17" i="15"/>
  <c r="G17" i="15"/>
  <c r="I17" i="15"/>
  <c r="B18" i="15"/>
  <c r="C18" i="15"/>
  <c r="E18" i="15"/>
  <c r="F18" i="15"/>
  <c r="G18" i="15"/>
  <c r="I18" i="15"/>
  <c r="B19" i="15"/>
  <c r="C19" i="15"/>
  <c r="E19" i="15"/>
  <c r="F19" i="15"/>
  <c r="G19" i="15"/>
  <c r="I19" i="15"/>
  <c r="B20" i="15"/>
  <c r="C20" i="15"/>
  <c r="E20" i="15"/>
  <c r="F20" i="15"/>
  <c r="G20" i="15"/>
  <c r="I20" i="15"/>
  <c r="B21" i="15"/>
  <c r="C21" i="15"/>
  <c r="E21" i="15"/>
  <c r="F21" i="15"/>
  <c r="G21" i="15"/>
  <c r="I21" i="15"/>
  <c r="B22" i="15"/>
  <c r="C22" i="15"/>
  <c r="E22" i="15"/>
  <c r="F22" i="15"/>
  <c r="G22" i="15"/>
  <c r="I22" i="15"/>
  <c r="B23" i="15"/>
  <c r="C23" i="15"/>
  <c r="E23" i="15"/>
  <c r="F23" i="15"/>
  <c r="G23" i="15"/>
  <c r="I23" i="15"/>
  <c r="B24" i="15"/>
  <c r="C24" i="15"/>
  <c r="E24" i="15"/>
  <c r="F24" i="15"/>
  <c r="G24" i="15"/>
  <c r="I24" i="15"/>
  <c r="B25" i="15"/>
  <c r="C25" i="15"/>
  <c r="E25" i="15"/>
  <c r="F25" i="15"/>
  <c r="G25" i="15"/>
  <c r="I25" i="15"/>
  <c r="B26" i="15"/>
  <c r="C26" i="15"/>
  <c r="E26" i="15"/>
  <c r="F26" i="15"/>
  <c r="G26" i="15"/>
  <c r="I26" i="15"/>
  <c r="B27" i="15"/>
  <c r="C27" i="15"/>
  <c r="E27" i="15"/>
  <c r="F27" i="15"/>
  <c r="G27" i="15"/>
  <c r="I27" i="15"/>
  <c r="B28" i="15"/>
  <c r="C28" i="15"/>
  <c r="E28" i="15"/>
  <c r="F28" i="15"/>
  <c r="G28" i="15"/>
  <c r="I28" i="15"/>
  <c r="B29" i="15"/>
  <c r="C29" i="15"/>
  <c r="E29" i="15"/>
  <c r="F29" i="15"/>
  <c r="G29" i="15"/>
  <c r="I29" i="15"/>
  <c r="B30" i="15"/>
  <c r="C30" i="15"/>
  <c r="E30" i="15"/>
  <c r="F30" i="15"/>
  <c r="G30" i="15"/>
  <c r="I30" i="15"/>
  <c r="B31" i="15"/>
  <c r="C31" i="15"/>
  <c r="E31" i="15"/>
  <c r="F31" i="15"/>
  <c r="G31" i="15"/>
  <c r="I31" i="15"/>
  <c r="B32" i="15"/>
  <c r="C32" i="15"/>
  <c r="E32" i="15"/>
  <c r="F32" i="15"/>
  <c r="G32" i="15"/>
  <c r="I32" i="15"/>
  <c r="B33" i="15"/>
  <c r="C33" i="15"/>
  <c r="E33" i="15"/>
  <c r="F33" i="15"/>
  <c r="G33" i="15"/>
  <c r="I33" i="15"/>
  <c r="B34" i="15"/>
  <c r="C34" i="15"/>
  <c r="E34" i="15"/>
  <c r="F34" i="15"/>
  <c r="G34" i="15"/>
  <c r="I34" i="15"/>
  <c r="B35" i="15"/>
  <c r="C35" i="15"/>
  <c r="E35" i="15"/>
  <c r="F35" i="15"/>
  <c r="G35" i="15"/>
  <c r="I35" i="15"/>
  <c r="B36" i="15"/>
  <c r="C36" i="15"/>
  <c r="E36" i="15"/>
  <c r="F36" i="15"/>
  <c r="G36" i="15"/>
  <c r="I36" i="15"/>
  <c r="B37" i="15"/>
  <c r="C37" i="15"/>
  <c r="E37" i="15"/>
  <c r="F37" i="15"/>
  <c r="G37" i="15"/>
  <c r="I37" i="15"/>
  <c r="B38" i="15"/>
  <c r="C38" i="15"/>
  <c r="E38" i="15"/>
  <c r="F38" i="15"/>
  <c r="G38" i="15"/>
  <c r="I38" i="15"/>
  <c r="B39" i="15"/>
  <c r="C39" i="15"/>
  <c r="E39" i="15"/>
  <c r="F39" i="15"/>
  <c r="G39" i="15"/>
  <c r="I39" i="15"/>
  <c r="B40" i="15"/>
  <c r="C40" i="15"/>
  <c r="E40" i="15"/>
  <c r="F40" i="15"/>
  <c r="G40" i="15"/>
  <c r="I40" i="15"/>
  <c r="B41" i="15"/>
  <c r="C41" i="15"/>
  <c r="E41" i="15"/>
  <c r="F41" i="15"/>
  <c r="G41" i="15"/>
  <c r="I41" i="15"/>
  <c r="B42" i="15"/>
  <c r="C42" i="15"/>
  <c r="E42" i="15"/>
  <c r="F42" i="15"/>
  <c r="G42" i="15"/>
  <c r="I42" i="15"/>
  <c r="B43" i="15"/>
  <c r="C43" i="15"/>
  <c r="E43" i="15"/>
  <c r="F43" i="15"/>
  <c r="G43" i="15"/>
  <c r="I43" i="15"/>
  <c r="B44" i="15"/>
  <c r="C44" i="15"/>
  <c r="E44" i="15"/>
  <c r="F44" i="15"/>
  <c r="G44" i="15"/>
  <c r="I44" i="15"/>
  <c r="B45" i="15"/>
  <c r="C45" i="15"/>
  <c r="E45" i="15"/>
  <c r="F45" i="15"/>
  <c r="G45" i="15"/>
  <c r="I45" i="15"/>
  <c r="B46" i="15"/>
  <c r="C46" i="15"/>
  <c r="E46" i="15"/>
  <c r="F46" i="15"/>
  <c r="G46" i="15"/>
  <c r="I46" i="15"/>
  <c r="B47" i="15"/>
  <c r="C47" i="15"/>
  <c r="E47" i="15"/>
  <c r="F47" i="15"/>
  <c r="G47" i="15"/>
  <c r="I47" i="15"/>
  <c r="B48" i="15"/>
  <c r="C48" i="15"/>
  <c r="E48" i="15"/>
  <c r="F48" i="15"/>
  <c r="G48" i="15"/>
  <c r="I48" i="15"/>
  <c r="B49" i="15"/>
  <c r="C49" i="15"/>
  <c r="E49" i="15"/>
  <c r="F49" i="15"/>
  <c r="G49" i="15"/>
  <c r="I49" i="15"/>
  <c r="B50" i="15"/>
  <c r="C50" i="15"/>
  <c r="E50" i="15"/>
  <c r="G50" i="15"/>
  <c r="I50" i="15"/>
  <c r="B51" i="15"/>
  <c r="C51" i="15"/>
  <c r="E51" i="15"/>
  <c r="G51" i="15"/>
  <c r="I51" i="15"/>
  <c r="B52" i="15"/>
  <c r="C52" i="15"/>
  <c r="E52" i="15"/>
  <c r="G52" i="15"/>
  <c r="I52" i="15"/>
  <c r="B53" i="15"/>
  <c r="C53" i="15"/>
  <c r="E53" i="15"/>
  <c r="G53" i="15"/>
  <c r="I53" i="15"/>
  <c r="B54" i="15"/>
  <c r="C54" i="15"/>
  <c r="E54" i="15"/>
  <c r="G54" i="15"/>
  <c r="I54" i="15"/>
  <c r="B55" i="15"/>
  <c r="C55" i="15"/>
  <c r="E55" i="15"/>
  <c r="G55" i="15"/>
  <c r="I55" i="15"/>
  <c r="B56" i="15"/>
  <c r="C56" i="15"/>
  <c r="E56" i="15"/>
  <c r="G56" i="15"/>
  <c r="I56" i="15"/>
  <c r="M56" i="15"/>
  <c r="B57" i="15"/>
  <c r="C57" i="15"/>
  <c r="E57" i="15"/>
  <c r="G57" i="15"/>
  <c r="I57" i="15"/>
  <c r="K57" i="15"/>
  <c r="M57" i="15"/>
  <c r="N57" i="15"/>
  <c r="B58" i="15"/>
  <c r="C58" i="15"/>
  <c r="E58" i="15"/>
  <c r="G58" i="15"/>
  <c r="I58" i="15"/>
  <c r="K58" i="15"/>
  <c r="M58" i="15"/>
  <c r="N58" i="15"/>
  <c r="B59" i="15"/>
  <c r="C59" i="15"/>
  <c r="E59" i="15"/>
  <c r="G59" i="15"/>
  <c r="I59" i="15"/>
  <c r="K59" i="15"/>
  <c r="M59" i="15"/>
  <c r="N59" i="15"/>
  <c r="B60" i="15"/>
  <c r="C60" i="15"/>
  <c r="E60" i="15"/>
  <c r="G60" i="15"/>
  <c r="I60" i="15"/>
  <c r="K60" i="15"/>
  <c r="M60" i="15"/>
  <c r="N60" i="15"/>
  <c r="B61" i="15"/>
  <c r="C61" i="15"/>
  <c r="E61" i="15"/>
  <c r="G61" i="15"/>
  <c r="H61" i="15"/>
  <c r="I61" i="15"/>
  <c r="K61" i="15"/>
  <c r="M61" i="15"/>
  <c r="N61" i="15"/>
  <c r="M2" i="15"/>
  <c r="L2" i="15"/>
  <c r="K2" i="15"/>
  <c r="I2" i="15"/>
  <c r="G2" i="15"/>
  <c r="F2" i="15"/>
  <c r="E2" i="15"/>
  <c r="C2" i="15"/>
  <c r="B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2" i="15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0" i="15" s="1"/>
  <c r="I38" i="22" l="1"/>
  <c r="I50" i="22"/>
  <c r="I56" i="22"/>
  <c r="I47" i="22"/>
  <c r="I44" i="22"/>
  <c r="I41" i="22"/>
  <c r="I53" i="22"/>
  <c r="F51" i="2"/>
  <c r="F51" i="15" s="1"/>
  <c r="P55" i="2"/>
  <c r="M55" i="15" s="1"/>
  <c r="M55" i="2"/>
  <c r="K55" i="15" s="1"/>
  <c r="P53" i="2"/>
  <c r="M53" i="15" s="1"/>
  <c r="P54" i="2"/>
  <c r="M54" i="15" s="1"/>
  <c r="M54" i="2"/>
  <c r="K54" i="15" s="1"/>
  <c r="J50" i="2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H50" i="15"/>
  <c r="D50" i="2"/>
  <c r="D51" i="2" s="1"/>
  <c r="M53" i="2"/>
  <c r="K53" i="15" s="1"/>
  <c r="H14" i="2"/>
  <c r="H14" i="15" s="1"/>
  <c r="H2" i="2"/>
  <c r="P52" i="2"/>
  <c r="M52" i="15" s="1"/>
  <c r="P51" i="2"/>
  <c r="M51" i="15" s="1"/>
  <c r="J50" i="15" l="1"/>
  <c r="J61" i="15"/>
  <c r="D50" i="15"/>
  <c r="D52" i="2"/>
  <c r="D53" i="2" s="1"/>
  <c r="D54" i="2" s="1"/>
  <c r="D55" i="2" s="1"/>
  <c r="D56" i="2" s="1"/>
  <c r="D57" i="2" s="1"/>
  <c r="D58" i="2" s="1"/>
  <c r="D59" i="2" s="1"/>
  <c r="D60" i="2" s="1"/>
  <c r="H3" i="2"/>
  <c r="H2" i="15"/>
  <c r="F52" i="2"/>
  <c r="F52" i="15" s="1"/>
  <c r="M52" i="2"/>
  <c r="D61" i="2" l="1"/>
  <c r="D61" i="15" s="1"/>
  <c r="D60" i="15"/>
  <c r="K52" i="15"/>
  <c r="H4" i="2"/>
  <c r="H3" i="15"/>
  <c r="F53" i="2"/>
  <c r="F53" i="15" s="1"/>
  <c r="M51" i="2"/>
  <c r="K51" i="15" s="1"/>
  <c r="H5" i="2" l="1"/>
  <c r="H4" i="15"/>
  <c r="F54" i="2"/>
  <c r="F54" i="15" s="1"/>
  <c r="P50" i="2"/>
  <c r="H6" i="2" l="1"/>
  <c r="H5" i="15"/>
  <c r="Q50" i="2"/>
  <c r="N50" i="15" s="1"/>
  <c r="M50" i="15"/>
  <c r="F55" i="2"/>
  <c r="M50" i="2"/>
  <c r="K50" i="15" s="1"/>
  <c r="P48" i="2"/>
  <c r="M48" i="15" s="1"/>
  <c r="P49" i="2"/>
  <c r="M49" i="15" s="1"/>
  <c r="F55" i="15" l="1"/>
  <c r="F56" i="2"/>
  <c r="H7" i="2"/>
  <c r="H6" i="15"/>
  <c r="N50" i="2"/>
  <c r="L50" i="15" s="1"/>
  <c r="M49" i="2"/>
  <c r="K49" i="15" s="1"/>
  <c r="F56" i="15" l="1"/>
  <c r="F57" i="2"/>
  <c r="H8" i="2"/>
  <c r="H7" i="15"/>
  <c r="M48" i="2"/>
  <c r="K48" i="15" s="1"/>
  <c r="D38" i="2"/>
  <c r="D38" i="15" s="1"/>
  <c r="F57" i="15" l="1"/>
  <c r="F58" i="2"/>
  <c r="H9" i="2"/>
  <c r="H8" i="15"/>
  <c r="D39" i="2"/>
  <c r="P47" i="2"/>
  <c r="M47" i="15" s="1"/>
  <c r="M47" i="2"/>
  <c r="K47" i="15" s="1"/>
  <c r="F58" i="15" l="1"/>
  <c r="F59" i="2"/>
  <c r="D40" i="2"/>
  <c r="D39" i="15"/>
  <c r="H10" i="2"/>
  <c r="H9" i="15"/>
  <c r="P44" i="2"/>
  <c r="M44" i="15" s="1"/>
  <c r="P45" i="2"/>
  <c r="M45" i="15" s="1"/>
  <c r="P46" i="2"/>
  <c r="M46" i="15" s="1"/>
  <c r="F60" i="2" l="1"/>
  <c r="F59" i="15"/>
  <c r="D41" i="2"/>
  <c r="D40" i="15"/>
  <c r="H11" i="2"/>
  <c r="H10" i="15"/>
  <c r="M46" i="2"/>
  <c r="K46" i="15" s="1"/>
  <c r="F61" i="2" l="1"/>
  <c r="F61" i="15" s="1"/>
  <c r="F60" i="15"/>
  <c r="H12" i="2"/>
  <c r="H11" i="15"/>
  <c r="D42" i="2"/>
  <c r="D41" i="15"/>
  <c r="M41" i="2"/>
  <c r="K41" i="15" s="1"/>
  <c r="H26" i="2"/>
  <c r="H26" i="15" s="1"/>
  <c r="M45" i="2"/>
  <c r="K45" i="15" s="1"/>
  <c r="H38" i="2"/>
  <c r="H38" i="15" s="1"/>
  <c r="H15" i="2"/>
  <c r="M44" i="2"/>
  <c r="K44" i="15" s="1"/>
  <c r="M3" i="2"/>
  <c r="M4" i="2"/>
  <c r="K4" i="15" s="1"/>
  <c r="M5" i="2"/>
  <c r="K5" i="15" s="1"/>
  <c r="M6" i="2"/>
  <c r="K6" i="15" s="1"/>
  <c r="M7" i="2"/>
  <c r="K7" i="15" s="1"/>
  <c r="M8" i="2"/>
  <c r="K8" i="15" s="1"/>
  <c r="M9" i="2"/>
  <c r="K9" i="15" s="1"/>
  <c r="M10" i="2"/>
  <c r="K10" i="15" s="1"/>
  <c r="M11" i="2"/>
  <c r="K11" i="15" s="1"/>
  <c r="M12" i="2"/>
  <c r="K12" i="15" s="1"/>
  <c r="M13" i="2"/>
  <c r="K13" i="15" s="1"/>
  <c r="M14" i="2"/>
  <c r="K14" i="15" s="1"/>
  <c r="M15" i="2"/>
  <c r="K15" i="15" s="1"/>
  <c r="M16" i="2"/>
  <c r="K16" i="15" s="1"/>
  <c r="M17" i="2"/>
  <c r="K17" i="15" s="1"/>
  <c r="M18" i="2"/>
  <c r="K18" i="15" s="1"/>
  <c r="M19" i="2"/>
  <c r="K19" i="15" s="1"/>
  <c r="M20" i="2"/>
  <c r="K20" i="15" s="1"/>
  <c r="M21" i="2"/>
  <c r="K21" i="15" s="1"/>
  <c r="M22" i="2"/>
  <c r="K22" i="15" s="1"/>
  <c r="M23" i="2"/>
  <c r="K23" i="15" s="1"/>
  <c r="M24" i="2"/>
  <c r="K24" i="15" s="1"/>
  <c r="M25" i="2"/>
  <c r="K25" i="15" s="1"/>
  <c r="M26" i="2"/>
  <c r="K26" i="15" s="1"/>
  <c r="M27" i="2"/>
  <c r="K27" i="15" s="1"/>
  <c r="M28" i="2"/>
  <c r="K28" i="15" s="1"/>
  <c r="M29" i="2"/>
  <c r="K29" i="15" s="1"/>
  <c r="M30" i="2"/>
  <c r="K30" i="15" s="1"/>
  <c r="M31" i="2"/>
  <c r="K31" i="15" s="1"/>
  <c r="M32" i="2"/>
  <c r="K32" i="15" s="1"/>
  <c r="M33" i="2"/>
  <c r="K33" i="15" s="1"/>
  <c r="M34" i="2"/>
  <c r="K34" i="15" s="1"/>
  <c r="M35" i="2"/>
  <c r="K35" i="15" s="1"/>
  <c r="M36" i="2"/>
  <c r="K36" i="15" s="1"/>
  <c r="M37" i="2"/>
  <c r="K37" i="15" s="1"/>
  <c r="M38" i="2"/>
  <c r="K38" i="15" s="1"/>
  <c r="M39" i="2"/>
  <c r="K39" i="15" s="1"/>
  <c r="M40" i="2"/>
  <c r="K40" i="15" s="1"/>
  <c r="M42" i="2"/>
  <c r="K42" i="15" s="1"/>
  <c r="M43" i="2"/>
  <c r="K43" i="15" s="1"/>
  <c r="K3" i="15" l="1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H16" i="2"/>
  <c r="H15" i="15"/>
  <c r="H13" i="2"/>
  <c r="H13" i="15" s="1"/>
  <c r="H12" i="15"/>
  <c r="D43" i="2"/>
  <c r="D42" i="15"/>
  <c r="N3" i="2"/>
  <c r="L3" i="15" s="1"/>
  <c r="N38" i="2"/>
  <c r="L38" i="15" s="1"/>
  <c r="N26" i="2"/>
  <c r="L26" i="15" s="1"/>
  <c r="N14" i="2"/>
  <c r="L14" i="15" s="1"/>
  <c r="H39" i="2"/>
  <c r="H27" i="2"/>
  <c r="P4" i="2"/>
  <c r="M4" i="15" s="1"/>
  <c r="P5" i="2"/>
  <c r="M5" i="15" s="1"/>
  <c r="P6" i="2"/>
  <c r="M6" i="15" s="1"/>
  <c r="P7" i="2"/>
  <c r="M7" i="15" s="1"/>
  <c r="P8" i="2"/>
  <c r="M8" i="15" s="1"/>
  <c r="P9" i="2"/>
  <c r="M9" i="15" s="1"/>
  <c r="P10" i="2"/>
  <c r="M10" i="15" s="1"/>
  <c r="P11" i="2"/>
  <c r="M11" i="15" s="1"/>
  <c r="P12" i="2"/>
  <c r="M12" i="15" s="1"/>
  <c r="P13" i="2"/>
  <c r="M13" i="15" s="1"/>
  <c r="P14" i="2"/>
  <c r="P15" i="2"/>
  <c r="M15" i="15" s="1"/>
  <c r="P16" i="2"/>
  <c r="M16" i="15" s="1"/>
  <c r="P17" i="2"/>
  <c r="M17" i="15" s="1"/>
  <c r="P18" i="2"/>
  <c r="M18" i="15" s="1"/>
  <c r="P19" i="2"/>
  <c r="M19" i="15" s="1"/>
  <c r="P20" i="2"/>
  <c r="M20" i="15" s="1"/>
  <c r="P21" i="2"/>
  <c r="M21" i="15" s="1"/>
  <c r="P22" i="2"/>
  <c r="M22" i="15" s="1"/>
  <c r="P23" i="2"/>
  <c r="M23" i="15" s="1"/>
  <c r="P24" i="2"/>
  <c r="M24" i="15" s="1"/>
  <c r="P25" i="2"/>
  <c r="M25" i="15" s="1"/>
  <c r="P36" i="2"/>
  <c r="M36" i="15" s="1"/>
  <c r="P37" i="2"/>
  <c r="M37" i="15" s="1"/>
  <c r="P38" i="2"/>
  <c r="P39" i="2"/>
  <c r="M39" i="15" s="1"/>
  <c r="P40" i="2"/>
  <c r="M40" i="15" s="1"/>
  <c r="P41" i="2"/>
  <c r="M41" i="15" s="1"/>
  <c r="P42" i="2"/>
  <c r="M42" i="15" s="1"/>
  <c r="P43" i="2"/>
  <c r="M43" i="15" s="1"/>
  <c r="P3" i="2"/>
  <c r="M3" i="15" s="1"/>
  <c r="Q2" i="2"/>
  <c r="N2" i="15" s="1"/>
  <c r="Q14" i="2" l="1"/>
  <c r="N14" i="15" s="1"/>
  <c r="M14" i="15"/>
  <c r="H40" i="2"/>
  <c r="H39" i="15"/>
  <c r="Q38" i="2"/>
  <c r="N38" i="15" s="1"/>
  <c r="M38" i="15"/>
  <c r="D44" i="2"/>
  <c r="D43" i="15"/>
  <c r="H17" i="2"/>
  <c r="H16" i="15"/>
  <c r="H28" i="2"/>
  <c r="H27" i="15"/>
  <c r="N39" i="2"/>
  <c r="N4" i="2"/>
  <c r="N15" i="2"/>
  <c r="Q3" i="2"/>
  <c r="Q15" i="2" l="1"/>
  <c r="Q16" i="2" s="1"/>
  <c r="N5" i="2"/>
  <c r="L4" i="15"/>
  <c r="Q4" i="2"/>
  <c r="N3" i="15"/>
  <c r="N40" i="2"/>
  <c r="L39" i="15"/>
  <c r="H18" i="2"/>
  <c r="H17" i="15"/>
  <c r="Q39" i="2"/>
  <c r="N39" i="15" s="1"/>
  <c r="N16" i="2"/>
  <c r="L15" i="15"/>
  <c r="H29" i="2"/>
  <c r="H28" i="15"/>
  <c r="D45" i="2"/>
  <c r="D44" i="15"/>
  <c r="H41" i="2"/>
  <c r="H40" i="15"/>
  <c r="Q51" i="2"/>
  <c r="J38" i="2"/>
  <c r="J38" i="15" s="1"/>
  <c r="N15" i="15" l="1"/>
  <c r="N41" i="2"/>
  <c r="L40" i="15"/>
  <c r="N6" i="2"/>
  <c r="L5" i="15"/>
  <c r="H42" i="2"/>
  <c r="H41" i="15"/>
  <c r="H30" i="2"/>
  <c r="H29" i="15"/>
  <c r="Q40" i="2"/>
  <c r="H19" i="2"/>
  <c r="H18" i="15"/>
  <c r="Q5" i="2"/>
  <c r="N4" i="15"/>
  <c r="Q17" i="2"/>
  <c r="N16" i="15"/>
  <c r="Q52" i="2"/>
  <c r="N51" i="15"/>
  <c r="D46" i="2"/>
  <c r="D45" i="15"/>
  <c r="N17" i="2"/>
  <c r="L16" i="15"/>
  <c r="J39" i="2"/>
  <c r="J39" i="15" s="1"/>
  <c r="J26" i="2"/>
  <c r="J26" i="15" s="1"/>
  <c r="J14" i="2"/>
  <c r="J14" i="15" s="1"/>
  <c r="J2" i="2"/>
  <c r="J2" i="15" s="1"/>
  <c r="D26" i="2"/>
  <c r="D26" i="15" s="1"/>
  <c r="D14" i="2"/>
  <c r="D14" i="15" s="1"/>
  <c r="D2" i="2"/>
  <c r="D2" i="15" s="1"/>
  <c r="D47" i="2" l="1"/>
  <c r="D46" i="15"/>
  <c r="Q18" i="2"/>
  <c r="N17" i="15"/>
  <c r="H20" i="2"/>
  <c r="H19" i="15"/>
  <c r="Q41" i="2"/>
  <c r="N40" i="15"/>
  <c r="H43" i="2"/>
  <c r="H42" i="15"/>
  <c r="N42" i="2"/>
  <c r="L41" i="15"/>
  <c r="N18" i="2"/>
  <c r="L17" i="15"/>
  <c r="Q53" i="2"/>
  <c r="N52" i="15"/>
  <c r="Q6" i="2"/>
  <c r="N5" i="15"/>
  <c r="H31" i="2"/>
  <c r="H30" i="15"/>
  <c r="N7" i="2"/>
  <c r="L6" i="15"/>
  <c r="J40" i="2"/>
  <c r="D3" i="2"/>
  <c r="D15" i="2"/>
  <c r="D27" i="2"/>
  <c r="J3" i="2"/>
  <c r="J3" i="15" s="1"/>
  <c r="J27" i="2"/>
  <c r="J27" i="15" s="1"/>
  <c r="J15" i="2"/>
  <c r="J15" i="15" s="1"/>
  <c r="J41" i="2" l="1"/>
  <c r="J40" i="15"/>
  <c r="H32" i="2"/>
  <c r="H31" i="15"/>
  <c r="Q54" i="2"/>
  <c r="N53" i="15"/>
  <c r="N43" i="2"/>
  <c r="L42" i="15"/>
  <c r="Q42" i="2"/>
  <c r="N41" i="15"/>
  <c r="Q19" i="2"/>
  <c r="N18" i="15"/>
  <c r="D28" i="2"/>
  <c r="D27" i="15"/>
  <c r="D16" i="2"/>
  <c r="D15" i="15"/>
  <c r="N8" i="2"/>
  <c r="L7" i="15"/>
  <c r="Q7" i="2"/>
  <c r="N6" i="15"/>
  <c r="N19" i="2"/>
  <c r="L18" i="15"/>
  <c r="H44" i="2"/>
  <c r="H43" i="15"/>
  <c r="H21" i="2"/>
  <c r="H20" i="15"/>
  <c r="D48" i="2"/>
  <c r="D47" i="15"/>
  <c r="D4" i="2"/>
  <c r="D3" i="15"/>
  <c r="J28" i="2"/>
  <c r="J16" i="2"/>
  <c r="J4" i="2"/>
  <c r="J5" i="2" l="1"/>
  <c r="J4" i="15"/>
  <c r="H22" i="2"/>
  <c r="H21" i="15"/>
  <c r="N20" i="2"/>
  <c r="L19" i="15"/>
  <c r="N9" i="2"/>
  <c r="L8" i="15"/>
  <c r="D29" i="2"/>
  <c r="D28" i="15"/>
  <c r="Q43" i="2"/>
  <c r="N42" i="15"/>
  <c r="Q55" i="2"/>
  <c r="N54" i="15"/>
  <c r="J42" i="2"/>
  <c r="J41" i="15"/>
  <c r="J17" i="2"/>
  <c r="J16" i="15"/>
  <c r="J29" i="2"/>
  <c r="J28" i="15"/>
  <c r="D49" i="2"/>
  <c r="D49" i="15" s="1"/>
  <c r="D48" i="15"/>
  <c r="H45" i="2"/>
  <c r="H44" i="15"/>
  <c r="Q8" i="2"/>
  <c r="N7" i="15"/>
  <c r="D17" i="2"/>
  <c r="D16" i="15"/>
  <c r="Q20" i="2"/>
  <c r="N19" i="15"/>
  <c r="N44" i="2"/>
  <c r="L43" i="15"/>
  <c r="H33" i="2"/>
  <c r="H32" i="15"/>
  <c r="D5" i="2"/>
  <c r="D4" i="15"/>
  <c r="N55" i="15" l="1"/>
  <c r="Q56" i="2"/>
  <c r="N56" i="15" s="1"/>
  <c r="J6" i="2"/>
  <c r="J5" i="15"/>
  <c r="N45" i="2"/>
  <c r="L44" i="15"/>
  <c r="D18" i="2"/>
  <c r="D17" i="15"/>
  <c r="H46" i="2"/>
  <c r="H45" i="15"/>
  <c r="J30" i="2"/>
  <c r="J29" i="15"/>
  <c r="J43" i="2"/>
  <c r="J42" i="15"/>
  <c r="Q44" i="2"/>
  <c r="N43" i="15"/>
  <c r="N10" i="2"/>
  <c r="L9" i="15"/>
  <c r="H23" i="2"/>
  <c r="H22" i="15"/>
  <c r="H34" i="2"/>
  <c r="H33" i="15"/>
  <c r="Q21" i="2"/>
  <c r="N20" i="15"/>
  <c r="Q9" i="2"/>
  <c r="N8" i="15"/>
  <c r="J18" i="2"/>
  <c r="J17" i="15"/>
  <c r="D30" i="2"/>
  <c r="D29" i="15"/>
  <c r="N21" i="2"/>
  <c r="L20" i="15"/>
  <c r="D6" i="2"/>
  <c r="D5" i="15"/>
  <c r="D51" i="15"/>
  <c r="D31" i="2" l="1"/>
  <c r="D30" i="15"/>
  <c r="H35" i="2"/>
  <c r="H34" i="15"/>
  <c r="N11" i="2"/>
  <c r="L10" i="15"/>
  <c r="J44" i="2"/>
  <c r="J43" i="15"/>
  <c r="H47" i="2"/>
  <c r="H46" i="15"/>
  <c r="N46" i="2"/>
  <c r="L45" i="15"/>
  <c r="Q10" i="2"/>
  <c r="N9" i="15"/>
  <c r="N22" i="2"/>
  <c r="L21" i="15"/>
  <c r="J19" i="2"/>
  <c r="J18" i="15"/>
  <c r="Q22" i="2"/>
  <c r="N21" i="15"/>
  <c r="H24" i="2"/>
  <c r="H23" i="15"/>
  <c r="Q45" i="2"/>
  <c r="N44" i="15"/>
  <c r="J31" i="2"/>
  <c r="J30" i="15"/>
  <c r="D19" i="2"/>
  <c r="D18" i="15"/>
  <c r="J7" i="2"/>
  <c r="J6" i="15"/>
  <c r="D7" i="2"/>
  <c r="D6" i="15"/>
  <c r="D52" i="15"/>
  <c r="Q46" i="2" l="1"/>
  <c r="N45" i="15"/>
  <c r="N47" i="2"/>
  <c r="L46" i="15"/>
  <c r="J45" i="2"/>
  <c r="J44" i="15"/>
  <c r="H36" i="2"/>
  <c r="H35" i="15"/>
  <c r="Q23" i="2"/>
  <c r="N22" i="15"/>
  <c r="D20" i="2"/>
  <c r="D19" i="15"/>
  <c r="N23" i="2"/>
  <c r="L22" i="15"/>
  <c r="J8" i="2"/>
  <c r="J7" i="15"/>
  <c r="J32" i="2"/>
  <c r="J31" i="15"/>
  <c r="H25" i="2"/>
  <c r="H25" i="15" s="1"/>
  <c r="H24" i="15"/>
  <c r="J20" i="2"/>
  <c r="J19" i="15"/>
  <c r="Q11" i="2"/>
  <c r="N10" i="15"/>
  <c r="H48" i="2"/>
  <c r="H47" i="15"/>
  <c r="N12" i="2"/>
  <c r="L11" i="15"/>
  <c r="D32" i="2"/>
  <c r="D31" i="15"/>
  <c r="D8" i="2"/>
  <c r="D7" i="15"/>
  <c r="D53" i="15"/>
  <c r="P26" i="2"/>
  <c r="M26" i="15" s="1"/>
  <c r="P31" i="2"/>
  <c r="M31" i="15" s="1"/>
  <c r="P27" i="2"/>
  <c r="M27" i="15" s="1"/>
  <c r="P30" i="2"/>
  <c r="M30" i="15" s="1"/>
  <c r="P28" i="2"/>
  <c r="M28" i="15" s="1"/>
  <c r="P32" i="2"/>
  <c r="M32" i="15" s="1"/>
  <c r="P33" i="2"/>
  <c r="M33" i="15" s="1"/>
  <c r="P29" i="2"/>
  <c r="M29" i="15" s="1"/>
  <c r="P35" i="2"/>
  <c r="M35" i="15" s="1"/>
  <c r="P34" i="2"/>
  <c r="M34" i="15" s="1"/>
  <c r="N13" i="2" l="1"/>
  <c r="L13" i="15" s="1"/>
  <c r="L12" i="15"/>
  <c r="Q12" i="2"/>
  <c r="N11" i="15"/>
  <c r="J9" i="2"/>
  <c r="J8" i="15"/>
  <c r="D21" i="2"/>
  <c r="D20" i="15"/>
  <c r="H37" i="2"/>
  <c r="H37" i="15" s="1"/>
  <c r="H36" i="15"/>
  <c r="N48" i="2"/>
  <c r="L47" i="15"/>
  <c r="D33" i="2"/>
  <c r="D32" i="15"/>
  <c r="H49" i="2"/>
  <c r="H49" i="15" s="1"/>
  <c r="H48" i="15"/>
  <c r="J21" i="2"/>
  <c r="J20" i="15"/>
  <c r="J33" i="2"/>
  <c r="J32" i="15"/>
  <c r="N24" i="2"/>
  <c r="L23" i="15"/>
  <c r="Q24" i="2"/>
  <c r="N23" i="15"/>
  <c r="J46" i="2"/>
  <c r="J45" i="15"/>
  <c r="Q47" i="2"/>
  <c r="N46" i="15"/>
  <c r="D9" i="2"/>
  <c r="D8" i="15"/>
  <c r="D54" i="15"/>
  <c r="Q26" i="2"/>
  <c r="Q25" i="2" l="1"/>
  <c r="N25" i="15" s="1"/>
  <c r="N24" i="15"/>
  <c r="J34" i="2"/>
  <c r="J33" i="15"/>
  <c r="N49" i="2"/>
  <c r="L49" i="15" s="1"/>
  <c r="L48" i="15"/>
  <c r="Q13" i="2"/>
  <c r="N13" i="15" s="1"/>
  <c r="N12" i="15"/>
  <c r="Q48" i="2"/>
  <c r="N47" i="15"/>
  <c r="D22" i="2"/>
  <c r="D21" i="15"/>
  <c r="Q27" i="2"/>
  <c r="N26" i="15"/>
  <c r="J47" i="2"/>
  <c r="J46" i="15"/>
  <c r="N25" i="2"/>
  <c r="L25" i="15" s="1"/>
  <c r="L24" i="15"/>
  <c r="J22" i="2"/>
  <c r="J21" i="15"/>
  <c r="D34" i="2"/>
  <c r="D33" i="15"/>
  <c r="J10" i="2"/>
  <c r="J9" i="15"/>
  <c r="D10" i="2"/>
  <c r="D9" i="15"/>
  <c r="N27" i="2"/>
  <c r="N51" i="2"/>
  <c r="L51" i="15" l="1"/>
  <c r="N52" i="2"/>
  <c r="N53" i="2" s="1"/>
  <c r="N54" i="2" s="1"/>
  <c r="N55" i="2" s="1"/>
  <c r="N56" i="2" s="1"/>
  <c r="N57" i="2" s="1"/>
  <c r="N58" i="2" s="1"/>
  <c r="N59" i="2" s="1"/>
  <c r="H51" i="15"/>
  <c r="D55" i="15"/>
  <c r="D23" i="2"/>
  <c r="D22" i="15"/>
  <c r="J23" i="2"/>
  <c r="J22" i="15"/>
  <c r="J48" i="2"/>
  <c r="J47" i="15"/>
  <c r="J35" i="2"/>
  <c r="J34" i="15"/>
  <c r="J11" i="2"/>
  <c r="J10" i="15"/>
  <c r="N28" i="2"/>
  <c r="L27" i="15"/>
  <c r="D35" i="2"/>
  <c r="D34" i="15"/>
  <c r="Q28" i="2"/>
  <c r="N27" i="15"/>
  <c r="Q49" i="2"/>
  <c r="N49" i="15" s="1"/>
  <c r="N48" i="15"/>
  <c r="D11" i="2"/>
  <c r="D10" i="15"/>
  <c r="H52" i="15"/>
  <c r="N60" i="2" l="1"/>
  <c r="L59" i="15"/>
  <c r="L52" i="15"/>
  <c r="H57" i="15"/>
  <c r="D56" i="15"/>
  <c r="Q29" i="2"/>
  <c r="N28" i="15"/>
  <c r="J36" i="2"/>
  <c r="J35" i="15"/>
  <c r="J24" i="2"/>
  <c r="J23" i="15"/>
  <c r="N29" i="2"/>
  <c r="L28" i="15"/>
  <c r="D36" i="2"/>
  <c r="D35" i="15"/>
  <c r="J12" i="2"/>
  <c r="J11" i="15"/>
  <c r="J49" i="2"/>
  <c r="J49" i="15" s="1"/>
  <c r="J48" i="15"/>
  <c r="D24" i="2"/>
  <c r="D23" i="15"/>
  <c r="D12" i="2"/>
  <c r="D11" i="15"/>
  <c r="L53" i="15"/>
  <c r="N61" i="2" l="1"/>
  <c r="L61" i="15" s="1"/>
  <c r="L60" i="15"/>
  <c r="D57" i="15"/>
  <c r="H58" i="15"/>
  <c r="H53" i="15"/>
  <c r="N30" i="2"/>
  <c r="L29" i="15"/>
  <c r="D25" i="2"/>
  <c r="D25" i="15" s="1"/>
  <c r="D24" i="15"/>
  <c r="J13" i="2"/>
  <c r="J13" i="15" s="1"/>
  <c r="J12" i="15"/>
  <c r="J37" i="2"/>
  <c r="J37" i="15" s="1"/>
  <c r="J36" i="15"/>
  <c r="D37" i="2"/>
  <c r="D37" i="15" s="1"/>
  <c r="D36" i="15"/>
  <c r="J25" i="2"/>
  <c r="J25" i="15" s="1"/>
  <c r="J24" i="15"/>
  <c r="Q30" i="2"/>
  <c r="N29" i="15"/>
  <c r="D13" i="2"/>
  <c r="D13" i="15" s="1"/>
  <c r="D12" i="15"/>
  <c r="L54" i="15"/>
  <c r="H60" i="15" l="1"/>
  <c r="H59" i="15"/>
  <c r="D59" i="15"/>
  <c r="D58" i="15"/>
  <c r="J51" i="15"/>
  <c r="H54" i="15"/>
  <c r="Q31" i="2"/>
  <c r="N30" i="15"/>
  <c r="N31" i="2"/>
  <c r="L30" i="15"/>
  <c r="J52" i="15"/>
  <c r="J58" i="15" l="1"/>
  <c r="L55" i="15"/>
  <c r="H55" i="15"/>
  <c r="H56" i="15"/>
  <c r="N32" i="2"/>
  <c r="L31" i="15"/>
  <c r="Q32" i="2"/>
  <c r="N31" i="15"/>
  <c r="J53" i="15"/>
  <c r="J60" i="15" l="1"/>
  <c r="J59" i="15"/>
  <c r="L56" i="15"/>
  <c r="Q33" i="2"/>
  <c r="N32" i="15"/>
  <c r="N33" i="2"/>
  <c r="L32" i="15"/>
  <c r="J54" i="15"/>
  <c r="L58" i="15" l="1"/>
  <c r="L57" i="15"/>
  <c r="N34" i="2"/>
  <c r="L33" i="15"/>
  <c r="Q34" i="2"/>
  <c r="N33" i="15"/>
  <c r="J55" i="15" l="1"/>
  <c r="Q35" i="2"/>
  <c r="N34" i="15"/>
  <c r="N35" i="2"/>
  <c r="L34" i="15"/>
  <c r="J57" i="15" l="1"/>
  <c r="J56" i="15"/>
  <c r="N36" i="2"/>
  <c r="L35" i="15"/>
  <c r="Q36" i="2"/>
  <c r="N35" i="15"/>
  <c r="Q37" i="2" l="1"/>
  <c r="N37" i="15" s="1"/>
  <c r="N36" i="15"/>
  <c r="N37" i="2"/>
  <c r="L37" i="15" s="1"/>
  <c r="L36" i="15"/>
</calcChain>
</file>

<file path=xl/sharedStrings.xml><?xml version="1.0" encoding="utf-8"?>
<sst xmlns="http://schemas.openxmlformats.org/spreadsheetml/2006/main" count="5591" uniqueCount="210">
  <si>
    <t>Año</t>
  </si>
  <si>
    <t>Mes</t>
  </si>
  <si>
    <t>dólar today</t>
  </si>
  <si>
    <t>Tasa Enparalelo</t>
  </si>
  <si>
    <t>Tasa bcv</t>
  </si>
  <si>
    <t>CANASTA ALIMENTARIA</t>
  </si>
  <si>
    <t xml:space="preserve">SALARIO MINIMO MENSUAL </t>
  </si>
  <si>
    <t>Depreciación EP</t>
  </si>
  <si>
    <t>Inflacion BCV</t>
  </si>
  <si>
    <t>,</t>
  </si>
  <si>
    <t xml:space="preserve"> Incremento Acumulado</t>
  </si>
  <si>
    <t xml:space="preserve"> Inflación OVF</t>
  </si>
  <si>
    <t xml:space="preserve"> Inflación Acumulada OVF</t>
  </si>
  <si>
    <t>Inflación acumulada BCV</t>
  </si>
  <si>
    <t xml:space="preserve"> Devaluación acumulada BCV</t>
  </si>
  <si>
    <t>Devaluación Acumulada EP</t>
  </si>
  <si>
    <t>Incremento Ingreso mensual VEF</t>
  </si>
  <si>
    <t>AÑO</t>
  </si>
  <si>
    <t>INGRESO MENSUAL YTD</t>
  </si>
  <si>
    <t>INFLACIÓN OVF YTD</t>
  </si>
  <si>
    <t>INFLACIÓN BCV YTD</t>
  </si>
  <si>
    <t>DEVALUACIÓN BCV YTD</t>
  </si>
  <si>
    <t>ingreso mensual ytd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</si>
  <si>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</si>
  <si>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</si>
  <si>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</si>
  <si>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</si>
  <si>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</si>
  <si>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</si>
  <si>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</si>
  <si>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</si>
  <si>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</si>
  <si>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</si>
  <si>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</si>
  <si>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</si>
  <si>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INFLACIÓN BCV</t>
  </si>
  <si>
    <t>INFLACIÓN OVF</t>
  </si>
  <si>
    <t>DEVALUACIÓN BCV</t>
  </si>
  <si>
    <t xml:space="preserve">AGOSTO </t>
  </si>
  <si>
    <t>PROMEDIO</t>
  </si>
  <si>
    <t>MES</t>
  </si>
  <si>
    <t xml:space="preserve"> Deevaluación BCV</t>
  </si>
  <si>
    <t>DEVALUACIÓN EP</t>
  </si>
  <si>
    <t>INCREMENTOS BS</t>
  </si>
  <si>
    <t>INGRESO MENSUAL</t>
  </si>
  <si>
    <t xml:space="preserve">  INCREMENTOS BS</t>
  </si>
  <si>
    <t xml:space="preserve">  INGRESO MENSUAL</t>
  </si>
  <si>
    <t xml:space="preserve">  INFLACIÓN BCV</t>
  </si>
  <si>
    <t xml:space="preserve">  INFLACIÓN OVF</t>
  </si>
  <si>
    <t xml:space="preserve"> INGRESO MENSUAL YTD</t>
  </si>
  <si>
    <t xml:space="preserve"> INFLACIÓN BCV YTD</t>
  </si>
  <si>
    <t xml:space="preserve"> INFLACIÓN OVF YTD</t>
  </si>
  <si>
    <t xml:space="preserve"> INCREMENTOS BS</t>
  </si>
  <si>
    <t xml:space="preserve"> INGRESO MENSUAL</t>
  </si>
  <si>
    <t xml:space="preserve"> INFLACIÓN BCV</t>
  </si>
  <si>
    <t xml:space="preserve"> INFLACIÓN OVF</t>
  </si>
  <si>
    <t>DEVALUACIÓN EP YTD</t>
  </si>
  <si>
    <t>INCREMENTO YTD</t>
  </si>
  <si>
    <t>INDICADORES MACROECONÓMICOS (2019-ACTUALIDAD)</t>
  </si>
  <si>
    <t>INVESTIGACIÓN DE MERCADO</t>
  </si>
  <si>
    <t xml:space="preserve">INCREMENTO YTD </t>
  </si>
  <si>
    <t xml:space="preserve"> DEPRECIACIÓN BCV</t>
  </si>
  <si>
    <t xml:space="preserve"> DEPRECIACIÓN BCV YTD</t>
  </si>
  <si>
    <t xml:space="preserve"> DEPRECIACIÓN EP</t>
  </si>
  <si>
    <t xml:space="preserve">  DEPRECIACIÓN BCV</t>
  </si>
  <si>
    <t xml:space="preserve">  DEPRECIACIÓN EP</t>
  </si>
  <si>
    <t xml:space="preserve">DEPRECIACIÓN EP YTD </t>
  </si>
  <si>
    <t>TASA BCV</t>
  </si>
  <si>
    <t>TASA EP</t>
  </si>
  <si>
    <t xml:space="preserve">TASA BCV </t>
  </si>
  <si>
    <t xml:space="preserve">TASA EP </t>
  </si>
  <si>
    <t xml:space="preserve">Los valores reflejados en las tasas (bcv &amp; EP) son el valor de cierre de mes </t>
  </si>
  <si>
    <t>ENERO-19</t>
  </si>
  <si>
    <t>FEBRERO-19</t>
  </si>
  <si>
    <t>MARZO-19</t>
  </si>
  <si>
    <t>ABRIL-19</t>
  </si>
  <si>
    <t>MAYO-19</t>
  </si>
  <si>
    <t>JUNIO-19</t>
  </si>
  <si>
    <t>JULIO-19</t>
  </si>
  <si>
    <t>AGOSTO-19</t>
  </si>
  <si>
    <t>SEPTIEMBRE-19</t>
  </si>
  <si>
    <t>OCTUBRE-19</t>
  </si>
  <si>
    <t>NOVIEMBRE-19</t>
  </si>
  <si>
    <t>DICIEMBRE-19</t>
  </si>
  <si>
    <t>ENERO-20</t>
  </si>
  <si>
    <t>FEBRERO-20</t>
  </si>
  <si>
    <t>MARZO-20</t>
  </si>
  <si>
    <t>ABRIL-20</t>
  </si>
  <si>
    <t>MAYO-20</t>
  </si>
  <si>
    <t>JUNIO-20</t>
  </si>
  <si>
    <t>JULIO-20</t>
  </si>
  <si>
    <t>AGOSTO-20</t>
  </si>
  <si>
    <t>SEPTIEMBRE-20</t>
  </si>
  <si>
    <t>OCTUBRE-20</t>
  </si>
  <si>
    <t>NOVIEMBRE-20</t>
  </si>
  <si>
    <t>DICIEMBRE-20</t>
  </si>
  <si>
    <t>ENERO-21</t>
  </si>
  <si>
    <t>FEBRERO-21</t>
  </si>
  <si>
    <t>MARZO-21</t>
  </si>
  <si>
    <t>ABRIL-21</t>
  </si>
  <si>
    <t>MAYO-21</t>
  </si>
  <si>
    <t>JUNIO-21</t>
  </si>
  <si>
    <t>JULIO-21</t>
  </si>
  <si>
    <t>AGOSTO-21</t>
  </si>
  <si>
    <t>SEPTIEMBRE-21</t>
  </si>
  <si>
    <t>OCTUBRE-21</t>
  </si>
  <si>
    <t>NOVIEMBRE-21</t>
  </si>
  <si>
    <t>DICIEMBRE-21</t>
  </si>
  <si>
    <t>Día</t>
  </si>
  <si>
    <t>FECHA</t>
  </si>
  <si>
    <t>BCV</t>
  </si>
  <si>
    <t>ENPARALELO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</si>
  <si>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</si>
  <si>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</si>
  <si>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</si>
  <si>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</si>
  <si>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</si>
  <si>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</si>
  <si>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</si>
  <si>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</si>
  <si>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</si>
  <si>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</si>
  <si>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</si>
  <si>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</si>
  <si>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INGLÉS</t>
  </si>
  <si>
    <t>ESPAÑOL</t>
  </si>
  <si>
    <t xml:space="preserve"> Incremento salario </t>
  </si>
  <si>
    <t xml:space="preserve">INGRESO MENSUAL YTD </t>
  </si>
  <si>
    <t>Trimestres de inflacion</t>
  </si>
  <si>
    <t>Depreciacion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</si>
  <si>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</si>
  <si>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</si>
  <si>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</si>
  <si>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</si>
  <si>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</si>
  <si>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</si>
  <si>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</si>
  <si>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</si>
  <si>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</si>
  <si>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</si>
  <si>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</si>
  <si>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</si>
  <si>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ABRIL </t>
  </si>
  <si>
    <t xml:space="preserve">JUNIO </t>
  </si>
  <si>
    <t>Tasa Promedio paralelo</t>
  </si>
  <si>
    <t>PARALELO</t>
  </si>
  <si>
    <t>DÍA</t>
  </si>
  <si>
    <t>Lunes</t>
  </si>
  <si>
    <t>Martes</t>
  </si>
  <si>
    <t>Miércoles</t>
  </si>
  <si>
    <t>Jueves</t>
  </si>
  <si>
    <t>Viernes</t>
  </si>
  <si>
    <t>Sábado</t>
  </si>
  <si>
    <t>Domingo</t>
  </si>
  <si>
    <t>39,58</t>
  </si>
  <si>
    <t>PROMEDIO BCV</t>
  </si>
  <si>
    <t>PROMEDIO PARALELO</t>
  </si>
  <si>
    <t>MES PROMEDIO</t>
  </si>
  <si>
    <t>Tasa paralelo</t>
  </si>
  <si>
    <t>Devaluación paralelo</t>
  </si>
  <si>
    <t>Devaluación acumulada paralelo</t>
  </si>
  <si>
    <t>DIFERENCIA EN %</t>
  </si>
  <si>
    <t>DIFERENCIA EN BS</t>
  </si>
  <si>
    <t>Tasa Promedio BCV</t>
  </si>
  <si>
    <t>Devaluación Promedio BCV</t>
  </si>
  <si>
    <t>Devaluación acumulada promedio BCV</t>
  </si>
  <si>
    <t>Devaluación No Oficial</t>
  </si>
  <si>
    <t>Devaluación acumulada no oficial</t>
  </si>
  <si>
    <t>Tasa Promedio USDT</t>
  </si>
  <si>
    <t>TASA USDT</t>
  </si>
  <si>
    <t>BRECHA</t>
  </si>
  <si>
    <t>Octubre</t>
  </si>
  <si>
    <t>Noviembre</t>
  </si>
  <si>
    <t>Diciembre</t>
  </si>
  <si>
    <t>MUNDO IDEAL</t>
  </si>
  <si>
    <t>Enero</t>
  </si>
  <si>
    <t>Febrero</t>
  </si>
  <si>
    <t>Marzo</t>
  </si>
  <si>
    <t>MEDIO IDEAL</t>
  </si>
  <si>
    <t>Abril</t>
  </si>
  <si>
    <t>Mayo</t>
  </si>
  <si>
    <t>Junio</t>
  </si>
  <si>
    <t>Julio</t>
  </si>
  <si>
    <t>COMPLICADO</t>
  </si>
  <si>
    <t>Agosto</t>
  </si>
  <si>
    <t>Septiembre</t>
  </si>
  <si>
    <t>Posible Normalización</t>
  </si>
  <si>
    <t>x</t>
  </si>
  <si>
    <t>YTD USDT 2025</t>
  </si>
  <si>
    <t>YTD BCV 2025</t>
  </si>
  <si>
    <t>Período</t>
  </si>
  <si>
    <t>Índice General (Nacional)</t>
  </si>
  <si>
    <t>% Mensual</t>
  </si>
  <si>
    <t>% Acumulada</t>
  </si>
  <si>
    <t>Alimentos y bebidas no alcohólicas</t>
  </si>
  <si>
    <t>Bebidas alcohólicas y tabaco</t>
  </si>
  <si>
    <t>Vestido y calzado</t>
  </si>
  <si>
    <t>Alquiler de vivienda</t>
  </si>
  <si>
    <t>Servicios de vivienda excepto teléfono</t>
  </si>
  <si>
    <t>Equipamiento del hogar</t>
  </si>
  <si>
    <t>Salud</t>
  </si>
  <si>
    <t>Transporte</t>
  </si>
  <si>
    <t>Comunicaciones</t>
  </si>
  <si>
    <t>Esparcimiento y cultura</t>
  </si>
  <si>
    <t>Servicios de educación</t>
  </si>
  <si>
    <t>Restaurantes y hoteles</t>
  </si>
  <si>
    <t>Bienes y servicios diversos</t>
  </si>
  <si>
    <t>2025(*)</t>
  </si>
  <si>
    <t>2026(*)</t>
  </si>
  <si>
    <t>Fuente: B.C.V.- 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</si>
</sst>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(* #,##0.00_);_(* \(#,##0.00\);_(* &quot;-&quot;??_);_(@_)"/>
    <numFmt numFmtId="165" formatCode="&quot;Bs.&quot;#,##0.00"/>
    <numFmt numFmtId="166" formatCode="0.0%"/>
    <numFmt numFmtId="167" formatCode="[$$-45C]#,##0.00"/>
    <numFmt numFmtId="168" formatCode="&quot;Bs.&quot;#,##0.0000"/>
    <numFmt numFmtId="169" formatCode="_([$€-2]\ * #,##0.00_);_([$€-2]\ * \(#,##0.00\);_([$€-2]\ * &quot;-&quot;??_)"/>
    <numFmt numFmtId="170" formatCode="0.0000%"/>
    <numFmt numFmtId="171" formatCode="#,##0.00000000"/>
    <numFmt numFmtId="172" formatCode="0.0000"/>
    <numFmt numFmtId="173" formatCode="0.0"/>
    <numFmt numFmtId="174" formatCode="&quot;$&quot;#,##0\ ;\(&quot;$&quot;#,##0\)"/>
    <numFmt numFmtId="175" formatCode="0.000"/>
    <numFmt numFmtId="176" formatCode="#,##0.0"/>
    <numFmt numFmtId="177" formatCode="#,##0.0_ ;\-#,##0.0\ "/>
    <numFmt numFmtId="178" formatCode="\$#,##0\ ;\(\$#,##0\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Gill Sans MT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indexed="22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1"/>
      <color theme="0" tint="-4.9989318521683403E-2"/>
      <name val="Calibri"/>
      <family val="2"/>
      <scheme val="minor"/>
    </font>
    <font>
      <sz val="10"/>
      <name val="Arial"/>
      <family val="2"/>
    </font>
    <font>
      <sz val="12"/>
      <color indexed="24"/>
      <name val="Arial"/>
    </font>
    <font>
      <b/>
      <sz val="28"/>
      <color indexed="8"/>
      <name val="Arial"/>
      <family val="2"/>
    </font>
    <font>
      <sz val="28"/>
      <name val="Arial"/>
      <family val="2"/>
    </font>
    <font>
      <sz val="28"/>
      <color indexed="8"/>
      <name val="Arial"/>
      <family val="2"/>
    </font>
    <font>
      <sz val="27"/>
      <color indexed="8"/>
      <name val="Arial"/>
      <family val="2"/>
    </font>
    <font>
      <sz val="26"/>
      <color indexed="8"/>
      <name val="Arial"/>
      <family val="2"/>
    </font>
    <font>
      <sz val="12"/>
      <color indexed="24"/>
      <name val="Arial"/>
      <family val="2"/>
    </font>
    <font>
      <b/>
      <sz val="27"/>
      <color indexed="8"/>
      <name val="Arial"/>
      <family val="2"/>
    </font>
    <font>
      <b/>
      <sz val="22"/>
      <name val="Helv"/>
    </font>
    <font>
      <sz val="24"/>
      <color indexed="8"/>
      <name val="Arial"/>
      <family val="2"/>
    </font>
    <font>
      <sz val="16"/>
      <color indexed="8"/>
      <name val="Arial"/>
      <family val="2"/>
    </font>
    <font>
      <sz val="18"/>
      <color indexed="24"/>
      <name val="Arial"/>
    </font>
    <font>
      <sz val="8"/>
      <color indexed="24"/>
      <name val="Arial"/>
    </font>
  </fonts>
  <fills count="4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1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5" fillId="8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23" fillId="9" borderId="9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Font="0" applyFill="0" applyBorder="0" applyAlignment="0" applyProtection="0"/>
    <xf numFmtId="2" fontId="31" fillId="0" borderId="0" applyFont="0" applyFill="0" applyBorder="0" applyAlignment="0" applyProtection="0"/>
    <xf numFmtId="4" fontId="31" fillId="0" borderId="0" applyFont="0" applyFill="0" applyBorder="0" applyAlignment="0" applyProtection="0"/>
    <xf numFmtId="174" fontId="31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1" fillId="0" borderId="13" applyNumberFormat="0" applyFont="0" applyFill="0" applyAlignment="0" applyProtection="0"/>
    <xf numFmtId="0" fontId="34" fillId="0" borderId="0"/>
    <xf numFmtId="10" fontId="40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0" fillId="0" borderId="0" applyFont="0" applyFill="0" applyBorder="0" applyAlignment="0" applyProtection="0"/>
    <xf numFmtId="2" fontId="40" fillId="0" borderId="0" applyFont="0" applyFill="0" applyBorder="0" applyAlignment="0" applyProtection="0"/>
    <xf numFmtId="178" fontId="40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40" fillId="0" borderId="13" applyNumberFormat="0" applyFont="0" applyFill="0" applyAlignment="0" applyProtection="0"/>
  </cellStyleXfs>
  <cellXfs count="156">
    <xf numFmtId="0" fontId="0" fillId="0" borderId="0" xfId="0"/>
    <xf numFmtId="9" fontId="0" fillId="0" borderId="0" xfId="1" applyFont="1"/>
    <xf numFmtId="9" fontId="0" fillId="0" borderId="0" xfId="0" applyNumberFormat="1"/>
    <xf numFmtId="2" fontId="0" fillId="0" borderId="0" xfId="0" applyNumberForma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7" fontId="0" fillId="0" borderId="0" xfId="0" applyNumberFormat="1"/>
    <xf numFmtId="10" fontId="0" fillId="0" borderId="0" xfId="1" applyNumberFormat="1" applyFont="1" applyAlignment="1">
      <alignment horizontal="center" vertical="center"/>
    </xf>
    <xf numFmtId="168" fontId="0" fillId="0" borderId="0" xfId="0" applyNumberFormat="1"/>
    <xf numFmtId="168" fontId="0" fillId="0" borderId="0" xfId="4" applyNumberFormat="1" applyFont="1"/>
    <xf numFmtId="168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1" fontId="0" fillId="0" borderId="0" xfId="0" applyNumberFormat="1"/>
    <xf numFmtId="0" fontId="0" fillId="0" borderId="0" xfId="1" applyNumberFormat="1" applyFont="1"/>
    <xf numFmtId="166" fontId="0" fillId="0" borderId="0" xfId="0" applyNumberFormat="1" applyAlignment="1">
      <alignment horizontal="center" vertical="center"/>
    </xf>
    <xf numFmtId="9" fontId="0" fillId="0" borderId="0" xfId="1" applyFont="1" applyBorder="1"/>
    <xf numFmtId="0" fontId="0" fillId="0" borderId="0" xfId="1" applyNumberFormat="1" applyFont="1" applyBorder="1"/>
    <xf numFmtId="17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0" borderId="0" xfId="0" applyFont="1"/>
    <xf numFmtId="17" fontId="6" fillId="0" borderId="0" xfId="0" applyNumberFormat="1" applyFont="1"/>
    <xf numFmtId="9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0" fontId="7" fillId="0" borderId="0" xfId="0" applyFont="1" applyProtection="1">
      <protection locked="0"/>
    </xf>
    <xf numFmtId="43" fontId="0" fillId="0" borderId="0" xfId="0" applyNumberFormat="1" applyAlignment="1">
      <alignment horizontal="center" vertical="center"/>
    </xf>
    <xf numFmtId="14" fontId="0" fillId="0" borderId="0" xfId="0" applyNumberFormat="1"/>
    <xf numFmtId="0" fontId="5" fillId="2" borderId="0" xfId="0" applyFont="1" applyFill="1" applyAlignment="1">
      <alignment horizontal="center"/>
    </xf>
    <xf numFmtId="170" fontId="0" fillId="0" borderId="0" xfId="1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995" applyNumberFormat="1" applyFont="1" applyAlignment="1">
      <alignment horizontal="center"/>
    </xf>
    <xf numFmtId="14" fontId="2" fillId="0" borderId="0" xfId="995" applyNumberFormat="1" applyFont="1" applyAlignment="1">
      <alignment horizontal="center"/>
    </xf>
    <xf numFmtId="171" fontId="2" fillId="0" borderId="0" xfId="995" applyNumberFormat="1" applyFont="1" applyAlignment="1">
      <alignment horizontal="center"/>
    </xf>
    <xf numFmtId="172" fontId="0" fillId="0" borderId="0" xfId="0" applyNumberFormat="1"/>
    <xf numFmtId="2" fontId="26" fillId="0" borderId="0" xfId="0" applyNumberFormat="1" applyFont="1" applyAlignment="1">
      <alignment horizontal="center"/>
    </xf>
    <xf numFmtId="9" fontId="0" fillId="0" borderId="0" xfId="0" applyNumberFormat="1" applyAlignment="1">
      <alignment horizontal="right"/>
    </xf>
    <xf numFmtId="9" fontId="0" fillId="0" borderId="0" xfId="1" applyFont="1" applyAlignment="1">
      <alignment horizontal="center"/>
    </xf>
    <xf numFmtId="166" fontId="0" fillId="0" borderId="0" xfId="1" applyNumberFormat="1" applyFont="1"/>
    <xf numFmtId="166" fontId="0" fillId="0" borderId="0" xfId="0" applyNumberFormat="1"/>
    <xf numFmtId="0" fontId="27" fillId="0" borderId="0" xfId="0" applyFont="1"/>
    <xf numFmtId="2" fontId="0" fillId="0" borderId="0" xfId="0" applyNumberFormat="1"/>
    <xf numFmtId="0" fontId="0" fillId="35" borderId="0" xfId="0" applyFill="1"/>
    <xf numFmtId="0" fontId="6" fillId="34" borderId="0" xfId="0" applyFont="1" applyFill="1" applyAlignment="1">
      <alignment horizontal="center"/>
    </xf>
    <xf numFmtId="0" fontId="0" fillId="0" borderId="12" xfId="0" applyBorder="1" applyAlignment="1">
      <alignment horizontal="center" vertical="center"/>
    </xf>
    <xf numFmtId="17" fontId="0" fillId="0" borderId="12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9" fontId="0" fillId="0" borderId="0" xfId="1" applyFont="1" applyAlignment="1">
      <alignment horizontal="right"/>
    </xf>
    <xf numFmtId="9" fontId="0" fillId="0" borderId="0" xfId="1" applyFont="1" applyAlignment="1">
      <alignment horizontal="right" vertical="center"/>
    </xf>
    <xf numFmtId="9" fontId="0" fillId="0" borderId="11" xfId="1" applyFont="1" applyBorder="1" applyAlignment="1">
      <alignment horizontal="center"/>
    </xf>
    <xf numFmtId="166" fontId="0" fillId="0" borderId="12" xfId="1" applyNumberFormat="1" applyFont="1" applyBorder="1" applyAlignment="1">
      <alignment horizontal="center" vertical="center"/>
    </xf>
    <xf numFmtId="166" fontId="0" fillId="0" borderId="0" xfId="1" applyNumberFormat="1" applyFont="1" applyBorder="1"/>
    <xf numFmtId="0" fontId="0" fillId="36" borderId="12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7" fontId="0" fillId="0" borderId="12" xfId="0" applyNumberFormat="1" applyBorder="1"/>
    <xf numFmtId="9" fontId="0" fillId="0" borderId="12" xfId="0" applyNumberFormat="1" applyBorder="1"/>
    <xf numFmtId="0" fontId="0" fillId="38" borderId="12" xfId="0" applyFill="1" applyBorder="1"/>
    <xf numFmtId="0" fontId="0" fillId="39" borderId="12" xfId="0" applyFill="1" applyBorder="1"/>
    <xf numFmtId="2" fontId="0" fillId="0" borderId="12" xfId="0" applyNumberFormat="1" applyBorder="1" applyAlignment="1">
      <alignment horizontal="center" vertical="center"/>
    </xf>
    <xf numFmtId="173" fontId="0" fillId="0" borderId="12" xfId="0" applyNumberFormat="1" applyBorder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0" fillId="0" borderId="0" xfId="0" applyNumberFormat="1"/>
    <xf numFmtId="0" fontId="0" fillId="0" borderId="12" xfId="0" applyBorder="1" applyAlignment="1">
      <alignment horizontal="center"/>
    </xf>
    <xf numFmtId="166" fontId="0" fillId="0" borderId="12" xfId="1" applyNumberFormat="1" applyFont="1" applyFill="1" applyBorder="1" applyAlignment="1">
      <alignment horizontal="center" vertical="center"/>
    </xf>
    <xf numFmtId="10" fontId="0" fillId="0" borderId="11" xfId="1" applyNumberFormat="1" applyFont="1" applyBorder="1" applyAlignment="1">
      <alignment horizontal="right"/>
    </xf>
    <xf numFmtId="0" fontId="0" fillId="40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2" fillId="41" borderId="0" xfId="0" applyFont="1" applyFill="1" applyAlignment="1">
      <alignment horizontal="center"/>
    </xf>
    <xf numFmtId="175" fontId="0" fillId="0" borderId="0" xfId="0" applyNumberFormat="1"/>
    <xf numFmtId="14" fontId="0" fillId="42" borderId="0" xfId="0" applyNumberFormat="1" applyFill="1"/>
    <xf numFmtId="1" fontId="0" fillId="42" borderId="0" xfId="0" applyNumberFormat="1" applyFill="1"/>
    <xf numFmtId="175" fontId="0" fillId="42" borderId="0" xfId="0" applyNumberFormat="1" applyFill="1"/>
    <xf numFmtId="9" fontId="0" fillId="42" borderId="0" xfId="1" applyFont="1" applyFill="1"/>
    <xf numFmtId="14" fontId="0" fillId="43" borderId="0" xfId="0" applyNumberFormat="1" applyFill="1"/>
    <xf numFmtId="1" fontId="0" fillId="43" borderId="0" xfId="0" applyNumberFormat="1" applyFill="1"/>
    <xf numFmtId="175" fontId="0" fillId="43" borderId="0" xfId="0" applyNumberFormat="1" applyFill="1"/>
    <xf numFmtId="9" fontId="0" fillId="43" borderId="0" xfId="1" applyFont="1" applyFill="1"/>
    <xf numFmtId="14" fontId="0" fillId="44" borderId="0" xfId="0" applyNumberFormat="1" applyFill="1"/>
    <xf numFmtId="1" fontId="0" fillId="44" borderId="0" xfId="0" applyNumberFormat="1" applyFill="1"/>
    <xf numFmtId="175" fontId="0" fillId="44" borderId="0" xfId="0" applyNumberFormat="1" applyFill="1"/>
    <xf numFmtId="9" fontId="0" fillId="44" borderId="0" xfId="1" applyFont="1" applyFill="1"/>
    <xf numFmtId="14" fontId="0" fillId="45" borderId="0" xfId="0" applyNumberFormat="1" applyFill="1"/>
    <xf numFmtId="1" fontId="0" fillId="45" borderId="0" xfId="0" applyNumberFormat="1" applyFill="1"/>
    <xf numFmtId="175" fontId="0" fillId="45" borderId="0" xfId="0" applyNumberFormat="1" applyFill="1"/>
    <xf numFmtId="9" fontId="0" fillId="45" borderId="0" xfId="1" applyFont="1" applyFill="1"/>
    <xf numFmtId="0" fontId="0" fillId="45" borderId="0" xfId="0" applyFill="1"/>
    <xf numFmtId="0" fontId="2" fillId="45" borderId="0" xfId="0" applyFont="1" applyFill="1"/>
    <xf numFmtId="0" fontId="33" fillId="45" borderId="0" xfId="0" applyFont="1" applyFill="1"/>
    <xf numFmtId="14" fontId="0" fillId="46" borderId="0" xfId="0" applyNumberFormat="1" applyFill="1"/>
    <xf numFmtId="1" fontId="0" fillId="46" borderId="0" xfId="0" applyNumberFormat="1" applyFill="1"/>
    <xf numFmtId="0" fontId="0" fillId="46" borderId="0" xfId="0" applyFill="1"/>
    <xf numFmtId="0" fontId="2" fillId="46" borderId="0" xfId="0" applyFont="1" applyFill="1" applyAlignment="1">
      <alignment horizontal="right"/>
    </xf>
    <xf numFmtId="9" fontId="0" fillId="46" borderId="0" xfId="1" applyFont="1" applyFill="1"/>
    <xf numFmtId="0" fontId="0" fillId="43" borderId="0" xfId="0" applyFill="1"/>
    <xf numFmtId="0" fontId="2" fillId="43" borderId="0" xfId="0" applyFont="1" applyFill="1" applyAlignment="1">
      <alignment horizontal="right"/>
    </xf>
    <xf numFmtId="14" fontId="0" fillId="40" borderId="0" xfId="0" applyNumberFormat="1" applyFill="1"/>
    <xf numFmtId="1" fontId="0" fillId="40" borderId="0" xfId="0" applyNumberFormat="1" applyFill="1"/>
    <xf numFmtId="0" fontId="2" fillId="0" borderId="0" xfId="0" applyFont="1"/>
    <xf numFmtId="9" fontId="0" fillId="40" borderId="0" xfId="1" applyFont="1" applyFill="1"/>
    <xf numFmtId="0" fontId="33" fillId="0" borderId="0" xfId="0" applyFont="1"/>
    <xf numFmtId="0" fontId="2" fillId="0" borderId="0" xfId="0" applyFont="1" applyAlignment="1">
      <alignment horizontal="right"/>
    </xf>
    <xf numFmtId="3" fontId="0" fillId="0" borderId="0" xfId="0" applyNumberFormat="1"/>
    <xf numFmtId="176" fontId="35" fillId="43" borderId="15" xfId="1009" applyNumberFormat="1" applyFont="1" applyFill="1" applyBorder="1" applyAlignment="1">
      <alignment horizontal="center" vertical="center" wrapText="1"/>
    </xf>
    <xf numFmtId="17" fontId="38" fillId="0" borderId="0" xfId="1009" applyNumberFormat="1" applyFont="1"/>
    <xf numFmtId="173" fontId="39" fillId="0" borderId="0" xfId="1009" applyNumberFormat="1" applyFont="1"/>
    <xf numFmtId="3" fontId="39" fillId="0" borderId="0" xfId="1009" applyNumberFormat="1" applyFont="1" applyAlignment="1">
      <alignment horizontal="center"/>
    </xf>
    <xf numFmtId="176" fontId="39" fillId="0" borderId="0" xfId="1009" applyNumberFormat="1" applyFont="1" applyAlignment="1">
      <alignment horizontal="center"/>
    </xf>
    <xf numFmtId="10" fontId="38" fillId="0" borderId="0" xfId="1010" applyFont="1" applyBorder="1"/>
    <xf numFmtId="173" fontId="34" fillId="0" borderId="0" xfId="1009" applyNumberFormat="1"/>
    <xf numFmtId="1" fontId="41" fillId="0" borderId="0" xfId="1009" applyNumberFormat="1" applyFont="1" applyAlignment="1">
      <alignment horizontal="left"/>
    </xf>
    <xf numFmtId="3" fontId="35" fillId="0" borderId="0" xfId="1009" applyNumberFormat="1" applyFont="1" applyAlignment="1">
      <alignment horizontal="center" vertical="center" wrapText="1"/>
    </xf>
    <xf numFmtId="166" fontId="38" fillId="0" borderId="0" xfId="1010" applyNumberFormat="1" applyFont="1" applyBorder="1" applyAlignment="1">
      <alignment horizontal="center"/>
    </xf>
    <xf numFmtId="166" fontId="39" fillId="0" borderId="0" xfId="1010" applyNumberFormat="1" applyFont="1" applyBorder="1" applyAlignment="1">
      <alignment horizontal="center"/>
    </xf>
    <xf numFmtId="166" fontId="38" fillId="0" borderId="0" xfId="1010" applyNumberFormat="1" applyFont="1" applyBorder="1" applyAlignment="1">
      <alignment horizontal="center" vertical="center"/>
    </xf>
    <xf numFmtId="166" fontId="39" fillId="0" borderId="0" xfId="1010" applyNumberFormat="1" applyFont="1" applyBorder="1" applyAlignment="1">
      <alignment horizontal="center" vertical="center"/>
    </xf>
    <xf numFmtId="166" fontId="38" fillId="0" borderId="0" xfId="1010" applyNumberFormat="1" applyFont="1" applyBorder="1"/>
    <xf numFmtId="10" fontId="38" fillId="0" borderId="0" xfId="1010" applyFont="1" applyBorder="1" applyAlignment="1">
      <alignment horizontal="center"/>
    </xf>
    <xf numFmtId="10" fontId="38" fillId="0" borderId="0" xfId="1010" applyFont="1" applyBorder="1" applyAlignment="1">
      <alignment horizontal="center" vertical="center"/>
    </xf>
    <xf numFmtId="176" fontId="39" fillId="0" borderId="0" xfId="1009" applyNumberFormat="1" applyFont="1" applyAlignment="1">
      <alignment horizontal="center" vertical="center"/>
    </xf>
    <xf numFmtId="10" fontId="38" fillId="0" borderId="16" xfId="1010" applyFont="1" applyBorder="1" applyAlignment="1">
      <alignment horizontal="center"/>
    </xf>
    <xf numFmtId="166" fontId="39" fillId="0" borderId="16" xfId="1010" applyNumberFormat="1" applyFont="1" applyBorder="1" applyAlignment="1">
      <alignment horizontal="center"/>
    </xf>
    <xf numFmtId="10" fontId="38" fillId="0" borderId="16" xfId="1010" applyFont="1" applyBorder="1" applyAlignment="1">
      <alignment horizontal="center" vertical="center"/>
    </xf>
    <xf numFmtId="166" fontId="39" fillId="0" borderId="16" xfId="1010" applyNumberFormat="1" applyFont="1" applyBorder="1" applyAlignment="1">
      <alignment horizontal="center" vertical="center"/>
    </xf>
    <xf numFmtId="176" fontId="39" fillId="0" borderId="16" xfId="1009" applyNumberFormat="1" applyFont="1" applyBorder="1" applyAlignment="1">
      <alignment horizontal="center"/>
    </xf>
    <xf numFmtId="10" fontId="38" fillId="0" borderId="16" xfId="1010" applyFont="1" applyBorder="1"/>
    <xf numFmtId="0" fontId="42" fillId="0" borderId="0" xfId="1009" applyFont="1"/>
    <xf numFmtId="173" fontId="43" fillId="0" borderId="0" xfId="1009" applyNumberFormat="1" applyFont="1"/>
    <xf numFmtId="173" fontId="38" fillId="0" borderId="0" xfId="1009" applyNumberFormat="1" applyFont="1" applyAlignment="1">
      <alignment horizontal="center"/>
    </xf>
    <xf numFmtId="173" fontId="44" fillId="0" borderId="0" xfId="1009" applyNumberFormat="1" applyFont="1"/>
    <xf numFmtId="173" fontId="38" fillId="0" borderId="0" xfId="1009" applyNumberFormat="1" applyFont="1"/>
    <xf numFmtId="177" fontId="38" fillId="0" borderId="0" xfId="1009" applyNumberFormat="1" applyFont="1"/>
    <xf numFmtId="173" fontId="44" fillId="0" borderId="0" xfId="1009" applyNumberFormat="1" applyFont="1" applyAlignment="1">
      <alignment horizontal="center"/>
    </xf>
    <xf numFmtId="3" fontId="39" fillId="0" borderId="0" xfId="1009" applyNumberFormat="1" applyFont="1" applyBorder="1" applyAlignment="1">
      <alignment horizontal="center"/>
    </xf>
    <xf numFmtId="17" fontId="38" fillId="0" borderId="16" xfId="1009" applyNumberFormat="1" applyFont="1" applyBorder="1"/>
    <xf numFmtId="173" fontId="39" fillId="0" borderId="0" xfId="1009" applyNumberFormat="1" applyFont="1" applyBorder="1"/>
    <xf numFmtId="173" fontId="34" fillId="0" borderId="0" xfId="1009" applyNumberFormat="1" applyBorder="1"/>
    <xf numFmtId="173" fontId="44" fillId="0" borderId="0" xfId="1009" applyNumberFormat="1" applyFont="1" applyBorder="1"/>
    <xf numFmtId="176" fontId="39" fillId="0" borderId="0" xfId="1009" applyNumberFormat="1" applyFont="1" applyBorder="1" applyAlignment="1">
      <alignment horizontal="center"/>
    </xf>
    <xf numFmtId="173" fontId="39" fillId="0" borderId="16" xfId="1009" applyNumberFormat="1" applyFont="1" applyBorder="1"/>
    <xf numFmtId="17" fontId="38" fillId="0" borderId="0" xfId="1009" applyNumberFormat="1" applyFont="1" applyBorder="1"/>
    <xf numFmtId="0" fontId="36" fillId="0" borderId="0" xfId="1009" quotePrefix="1" applyFont="1" applyBorder="1" applyAlignment="1">
      <alignment horizontal="left"/>
    </xf>
    <xf numFmtId="173" fontId="36" fillId="0" borderId="0" xfId="1009" applyNumberFormat="1" applyFont="1" applyBorder="1" applyAlignment="1">
      <alignment horizontal="center"/>
    </xf>
    <xf numFmtId="173" fontId="37" fillId="0" borderId="0" xfId="1009" applyNumberFormat="1" applyFont="1" applyBorder="1"/>
  </cellXfs>
  <cellStyles count="1018">
    <cellStyle name="20% - Énfasis1" xfId="21" builtinId="30" customBuiltin="1"/>
    <cellStyle name="20% - Énfasis1 10" xfId="52" xr:uid="{18B2A5F6-40AC-4A66-92F3-EA89ACB0EB4F}"/>
    <cellStyle name="20% - Énfasis1 10 2" xfId="561" xr:uid="{2ACEEA47-6C04-4A26-B123-29A65BAC715B}"/>
    <cellStyle name="20% - Énfasis1 11" xfId="53" xr:uid="{87BEEF99-520B-46BD-8D5C-C33897634EC7}"/>
    <cellStyle name="20% - Énfasis1 11 2" xfId="562" xr:uid="{CF86DD1F-4301-40C4-8129-5AF1BCBBD923}"/>
    <cellStyle name="20% - Énfasis1 12" xfId="54" xr:uid="{A04B8416-B7D9-442F-9D0F-50F3CA472774}"/>
    <cellStyle name="20% - Énfasis1 12 2" xfId="563" xr:uid="{7C01DE0C-72AC-420F-9C54-C98EF6418D81}"/>
    <cellStyle name="20% - Énfasis1 13" xfId="55" xr:uid="{A108A0FB-50A1-4849-A3F4-AE13F7758397}"/>
    <cellStyle name="20% - Énfasis1 13 2" xfId="564" xr:uid="{0FDC0B2D-41ED-45E4-AC4D-71147B839400}"/>
    <cellStyle name="20% - Énfasis1 14" xfId="56" xr:uid="{FC9D5770-D606-46B8-96BA-CE7B46CE076E}"/>
    <cellStyle name="20% - Énfasis1 14 2" xfId="565" xr:uid="{33ADB7CF-E583-4621-8066-57DC03F345D8}"/>
    <cellStyle name="20% - Énfasis1 15" xfId="57" xr:uid="{8E8D62FF-6232-4630-88E8-F23ACED6F1B0}"/>
    <cellStyle name="20% - Énfasis1 15 2" xfId="566" xr:uid="{DF902A6B-B8E9-410E-87E1-EDC2ACDA1A15}"/>
    <cellStyle name="20% - Énfasis1 16" xfId="58" xr:uid="{0D068ABD-32F2-42F6-B1E3-5D04940BC27D}"/>
    <cellStyle name="20% - Énfasis1 16 2" xfId="567" xr:uid="{31F36FE6-6994-476F-9332-FC1AFBC11F85}"/>
    <cellStyle name="20% - Énfasis1 17" xfId="59" xr:uid="{EA55E61E-40D6-46CA-8291-DDF71FEE8256}"/>
    <cellStyle name="20% - Énfasis1 17 2" xfId="568" xr:uid="{65FC3A76-4EBC-48CB-8024-65346F70B064}"/>
    <cellStyle name="20% - Énfasis1 18" xfId="60" xr:uid="{653C0EDB-CE59-429A-AD7B-6E173AF1709C}"/>
    <cellStyle name="20% - Énfasis1 18 2" xfId="569" xr:uid="{31B3F8AA-5358-4690-B1BC-839A935DE9CE}"/>
    <cellStyle name="20% - Énfasis1 19" xfId="61" xr:uid="{9581F538-E58F-487E-874F-EF15EA8EB37D}"/>
    <cellStyle name="20% - Énfasis1 19 2" xfId="570" xr:uid="{19A3E255-062B-423B-986F-A9AC5A6F309C}"/>
    <cellStyle name="20% - Énfasis1 2" xfId="62" xr:uid="{F74BFA85-9FE2-4A3A-8D58-BCAE54439957}"/>
    <cellStyle name="20% - Énfasis1 2 2" xfId="571" xr:uid="{2B8B375E-5311-4F07-A653-ECE85BBC7432}"/>
    <cellStyle name="20% - Énfasis1 20" xfId="63" xr:uid="{E3D2BF5B-0893-4C1D-A5CE-7EBD9D8A3602}"/>
    <cellStyle name="20% - Énfasis1 20 2" xfId="572" xr:uid="{A5D63F68-E6C4-4CC3-9488-4E911D665B13}"/>
    <cellStyle name="20% - Énfasis1 21" xfId="64" xr:uid="{57DCCB1D-022B-4279-AE59-3289056473E1}"/>
    <cellStyle name="20% - Énfasis1 21 2" xfId="573" xr:uid="{E15EFB96-8DAE-45F4-9B71-E72F43A671A6}"/>
    <cellStyle name="20% - Énfasis1 22" xfId="65" xr:uid="{C6B07141-3B60-4E88-B92B-AA9F10472242}"/>
    <cellStyle name="20% - Énfasis1 22 2" xfId="574" xr:uid="{B2E86EAE-5E1B-4DF1-AC50-717B7C04312F}"/>
    <cellStyle name="20% - Énfasis1 23" xfId="66" xr:uid="{DFCB2578-A5E8-416B-BBFC-AD19B4CA5A46}"/>
    <cellStyle name="20% - Énfasis1 23 2" xfId="575" xr:uid="{261A6822-CC3F-40B6-B29A-C64C3A6ADE0F}"/>
    <cellStyle name="20% - Énfasis1 24" xfId="67" xr:uid="{5A01A16A-69EC-4B29-9FEC-21C8FA5C76E9}"/>
    <cellStyle name="20% - Énfasis1 24 2" xfId="576" xr:uid="{627FFC38-2F38-4C51-B6AC-0763B597C52D}"/>
    <cellStyle name="20% - Énfasis1 25" xfId="68" xr:uid="{E58291CD-BAD9-4E1F-A96A-F6B2D4DEBC33}"/>
    <cellStyle name="20% - Énfasis1 25 2" xfId="577" xr:uid="{0B400BDF-9026-430E-9B17-89E1FE0A1636}"/>
    <cellStyle name="20% - Énfasis1 26" xfId="69" xr:uid="{98D385F0-D662-41B2-AA58-37E5E7BF2323}"/>
    <cellStyle name="20% - Énfasis1 26 2" xfId="578" xr:uid="{3DA8364D-0193-412C-AD34-534A71C047C8}"/>
    <cellStyle name="20% - Énfasis1 27" xfId="70" xr:uid="{003AD696-B552-4D0A-B604-F7BDA3695F0F}"/>
    <cellStyle name="20% - Énfasis1 27 2" xfId="579" xr:uid="{A1CA177B-6766-401A-9F28-1B301191703F}"/>
    <cellStyle name="20% - Énfasis1 28" xfId="71" xr:uid="{D12E890F-ADB5-46F5-9CB2-D9F27A6F1E5D}"/>
    <cellStyle name="20% - Énfasis1 28 2" xfId="580" xr:uid="{CEEEFC72-1341-44D8-9ADA-D331F3C9232C}"/>
    <cellStyle name="20% - Énfasis1 29" xfId="72" xr:uid="{EA0DEC9E-8FB9-4ACB-A463-DA8D07BA1FD1}"/>
    <cellStyle name="20% - Énfasis1 29 2" xfId="581" xr:uid="{EEF2D710-A2A6-4C90-986A-AF63CA4B4BA5}"/>
    <cellStyle name="20% - Énfasis1 3" xfId="73" xr:uid="{0974ABE0-92E2-4FAE-8113-E8CBEE15D21E}"/>
    <cellStyle name="20% - Énfasis1 3 2" xfId="582" xr:uid="{F94A8BA1-2FBE-4344-8F8A-330BF7A09AB1}"/>
    <cellStyle name="20% - Énfasis1 30" xfId="74" xr:uid="{41A3B04F-12EB-46AD-822B-7F6BA5DAF4D5}"/>
    <cellStyle name="20% - Énfasis1 30 2" xfId="583" xr:uid="{8B84096E-1203-4244-A71A-572CA82166DD}"/>
    <cellStyle name="20% - Énfasis1 31" xfId="75" xr:uid="{D67020F4-5F5D-4B75-8E27-AF82B7CD5210}"/>
    <cellStyle name="20% - Énfasis1 31 2" xfId="584" xr:uid="{1942C49B-2C69-4EB8-B4B9-A1049A6CFD66}"/>
    <cellStyle name="20% - Énfasis1 32" xfId="76" xr:uid="{1DA0A359-C019-41FC-AFA4-2274C2043447}"/>
    <cellStyle name="20% - Énfasis1 32 2" xfId="585" xr:uid="{A1C0473D-A91E-41BF-801A-9901146F32B9}"/>
    <cellStyle name="20% - Énfasis1 33" xfId="77" xr:uid="{7F71EB79-A303-47F0-84E1-E35C8583906B}"/>
    <cellStyle name="20% - Énfasis1 33 2" xfId="586" xr:uid="{736EAFB1-5421-40AE-9934-DA423D09912B}"/>
    <cellStyle name="20% - Énfasis1 34" xfId="78" xr:uid="{AC9542AC-A68B-4AB6-951B-BA8C09DD8FEA}"/>
    <cellStyle name="20% - Énfasis1 34 2" xfId="587" xr:uid="{77949906-C6B3-47CB-91D8-A59993BCC42B}"/>
    <cellStyle name="20% - Énfasis1 4" xfId="79" xr:uid="{C986649F-4BDA-4D4C-954E-4B7D43FD70EE}"/>
    <cellStyle name="20% - Énfasis1 4 2" xfId="588" xr:uid="{77914D90-1739-4DC6-AF17-C2CD8858816A}"/>
    <cellStyle name="20% - Énfasis1 5" xfId="80" xr:uid="{3005414C-88D8-4FCB-8D08-A33D86CE7D4B}"/>
    <cellStyle name="20% - Énfasis1 5 2" xfId="589" xr:uid="{FFA727A7-CE8D-40BF-95D4-2BB636B70F1F}"/>
    <cellStyle name="20% - Énfasis1 6" xfId="81" xr:uid="{146B1B54-22AF-414B-B576-AC26C7550168}"/>
    <cellStyle name="20% - Énfasis1 6 2" xfId="590" xr:uid="{D7B20CAB-F614-4DE4-8EA9-5D00A6B8BDF5}"/>
    <cellStyle name="20% - Énfasis1 7" xfId="82" xr:uid="{0F402609-CC89-49C6-ADA3-8436064D544A}"/>
    <cellStyle name="20% - Énfasis1 7 2" xfId="591" xr:uid="{6A6DA966-2470-479A-AE5D-98030AEE00C2}"/>
    <cellStyle name="20% - Énfasis1 8" xfId="83" xr:uid="{E41AC960-0666-4121-817F-506DAD0B6C09}"/>
    <cellStyle name="20% - Énfasis1 8 2" xfId="592" xr:uid="{7D267E88-0D78-40B7-8973-C2877AD61CFA}"/>
    <cellStyle name="20% - Énfasis1 9" xfId="84" xr:uid="{28851A9C-A430-4EE2-97EF-3EEA5B6E3289}"/>
    <cellStyle name="20% - Énfasis1 9 2" xfId="593" xr:uid="{8C025128-6CAD-485A-8A48-0060FF6963D8}"/>
    <cellStyle name="20% - Énfasis2" xfId="24" builtinId="34" customBuiltin="1"/>
    <cellStyle name="20% - Énfasis2 10" xfId="85" xr:uid="{D72E0976-E05D-46BD-9950-EF6C3570D42F}"/>
    <cellStyle name="20% - Énfasis2 10 2" xfId="594" xr:uid="{C4F0F5DD-868C-4A5C-A146-531DF5B17386}"/>
    <cellStyle name="20% - Énfasis2 11" xfId="86" xr:uid="{75919A6F-8D4F-4CE9-8695-8612DC2A484C}"/>
    <cellStyle name="20% - Énfasis2 11 2" xfId="595" xr:uid="{780C7784-DFC9-4D9D-BDB1-7569EEF2CD39}"/>
    <cellStyle name="20% - Énfasis2 12" xfId="87" xr:uid="{FA0D4B4B-0C67-47AD-A16A-629D0A23F0BD}"/>
    <cellStyle name="20% - Énfasis2 12 2" xfId="596" xr:uid="{37E0FAEA-E177-4F4D-B5D7-8143EC0F2033}"/>
    <cellStyle name="20% - Énfasis2 13" xfId="88" xr:uid="{C4BDFE1C-DC7E-4582-9EB3-1E7B9EDA4AEA}"/>
    <cellStyle name="20% - Énfasis2 13 2" xfId="597" xr:uid="{F85C5BE8-B695-4E69-8AAB-49202EAA9C65}"/>
    <cellStyle name="20% - Énfasis2 14" xfId="89" xr:uid="{6CA5B22D-5A4E-4ED4-ADA4-8C57D0A2EF19}"/>
    <cellStyle name="20% - Énfasis2 14 2" xfId="598" xr:uid="{851B6DB9-9679-4622-A6F3-5373B9F89F6E}"/>
    <cellStyle name="20% - Énfasis2 15" xfId="90" xr:uid="{3E3ECEAA-5293-4E36-A3C1-58881A2D03DB}"/>
    <cellStyle name="20% - Énfasis2 15 2" xfId="599" xr:uid="{9CFF757C-3C8F-4B25-A580-93DE49E9F805}"/>
    <cellStyle name="20% - Énfasis2 16" xfId="91" xr:uid="{54103093-F9A0-4F34-8990-341C761AC53F}"/>
    <cellStyle name="20% - Énfasis2 16 2" xfId="600" xr:uid="{55D1BFC9-1512-4EA7-B894-5F5A47607E9A}"/>
    <cellStyle name="20% - Énfasis2 17" xfId="92" xr:uid="{37C19A03-55C2-4509-9266-224C867E2342}"/>
    <cellStyle name="20% - Énfasis2 17 2" xfId="601" xr:uid="{40E58D40-EA39-45DA-A980-CC5A86F78B6B}"/>
    <cellStyle name="20% - Énfasis2 18" xfId="93" xr:uid="{AC24E7C8-DD1F-49D9-A4A4-DEFD445C3090}"/>
    <cellStyle name="20% - Énfasis2 18 2" xfId="602" xr:uid="{CDFE336C-11E3-4DC7-A67F-00141CD8484F}"/>
    <cellStyle name="20% - Énfasis2 19" xfId="94" xr:uid="{8C75138D-70D8-452A-830A-94F990CA2D59}"/>
    <cellStyle name="20% - Énfasis2 19 2" xfId="603" xr:uid="{F73D1CA3-55DF-4C8B-BEDB-1A0D2BD65C6E}"/>
    <cellStyle name="20% - Énfasis2 2" xfId="95" xr:uid="{364D1897-A01A-4CBF-9368-C84F8311FC9A}"/>
    <cellStyle name="20% - Énfasis2 2 2" xfId="604" xr:uid="{51F08B2A-916D-47A4-A8D4-E82EC61074DF}"/>
    <cellStyle name="20% - Énfasis2 20" xfId="96" xr:uid="{D6B1D002-7291-4FD0-AF42-8D2A7617E018}"/>
    <cellStyle name="20% - Énfasis2 20 2" xfId="605" xr:uid="{AE4661AA-37BF-4D7F-9F65-89CD476FFB43}"/>
    <cellStyle name="20% - Énfasis2 21" xfId="97" xr:uid="{B3C670B4-8F40-462D-B435-89402603A7F9}"/>
    <cellStyle name="20% - Énfasis2 21 2" xfId="606" xr:uid="{5F9981E5-4742-47E0-8059-A296CAA63886}"/>
    <cellStyle name="20% - Énfasis2 22" xfId="98" xr:uid="{ABCA2E84-FE62-4440-B091-864ECBE728D4}"/>
    <cellStyle name="20% - Énfasis2 22 2" xfId="607" xr:uid="{4BBE5B36-D6D7-4835-846F-E7A8DC515A62}"/>
    <cellStyle name="20% - Énfasis2 23" xfId="99" xr:uid="{E8F45FE4-F2AF-4154-9EC4-02CAA9D1D8DC}"/>
    <cellStyle name="20% - Énfasis2 23 2" xfId="608" xr:uid="{3023F47C-0140-4071-9211-B260CC2966B6}"/>
    <cellStyle name="20% - Énfasis2 24" xfId="100" xr:uid="{3D545493-5634-4C12-B54C-92C5011BB175}"/>
    <cellStyle name="20% - Énfasis2 24 2" xfId="609" xr:uid="{9D3B0A38-CED0-4C2D-BF3D-A63AF948BBBA}"/>
    <cellStyle name="20% - Énfasis2 25" xfId="101" xr:uid="{6B70A22A-D3B1-4D32-9459-DD000BDAA92E}"/>
    <cellStyle name="20% - Énfasis2 25 2" xfId="610" xr:uid="{173AB5EB-ECE5-47A4-AC6A-0E4C4E7DC417}"/>
    <cellStyle name="20% - Énfasis2 26" xfId="102" xr:uid="{340263FA-AD06-4504-A199-B7C1C8B2336E}"/>
    <cellStyle name="20% - Énfasis2 26 2" xfId="611" xr:uid="{8F297D16-F038-40FD-989A-F078184EC702}"/>
    <cellStyle name="20% - Énfasis2 27" xfId="103" xr:uid="{26ADF94E-E1DC-413A-82AB-DB58164EB2B4}"/>
    <cellStyle name="20% - Énfasis2 27 2" xfId="612" xr:uid="{F1E1587C-40F8-45A1-BF6B-FB0B1CD503A8}"/>
    <cellStyle name="20% - Énfasis2 28" xfId="104" xr:uid="{8C6EDDF1-B32E-40A8-9735-7A1E42DC39CC}"/>
    <cellStyle name="20% - Énfasis2 28 2" xfId="613" xr:uid="{452DFE16-3736-4DE3-B771-7B033E8E760A}"/>
    <cellStyle name="20% - Énfasis2 29" xfId="105" xr:uid="{93E7FB37-4176-40CC-9EF6-E81BF640B2BD}"/>
    <cellStyle name="20% - Énfasis2 29 2" xfId="614" xr:uid="{F7A9FD4B-AAFB-4A14-81C1-3EC54971FA15}"/>
    <cellStyle name="20% - Énfasis2 3" xfId="106" xr:uid="{768CCAF8-4550-4091-AEB8-FD119C9FABD1}"/>
    <cellStyle name="20% - Énfasis2 3 2" xfId="615" xr:uid="{9A238957-BFEC-4139-8D45-B506EEA77602}"/>
    <cellStyle name="20% - Énfasis2 30" xfId="107" xr:uid="{D266E19E-D43B-462F-A232-ABFBD7270AE5}"/>
    <cellStyle name="20% - Énfasis2 30 2" xfId="616" xr:uid="{4481D1F1-A38B-4970-94A5-F383E7BF7984}"/>
    <cellStyle name="20% - Énfasis2 31" xfId="108" xr:uid="{0704D215-DB09-4330-99C0-B3122860964F}"/>
    <cellStyle name="20% - Énfasis2 31 2" xfId="617" xr:uid="{8A39DDC9-A7C2-4DC4-B379-B688FFBE7B6A}"/>
    <cellStyle name="20% - Énfasis2 32" xfId="109" xr:uid="{F590A6D9-6386-4490-A9B0-D9FF256F01CD}"/>
    <cellStyle name="20% - Énfasis2 32 2" xfId="618" xr:uid="{4C37A887-F425-46C7-A519-50DC5A3D4E65}"/>
    <cellStyle name="20% - Énfasis2 33" xfId="110" xr:uid="{B5FB2DA9-D772-40B6-8B45-45B732125E60}"/>
    <cellStyle name="20% - Énfasis2 33 2" xfId="619" xr:uid="{E21E46F0-B831-43F6-9EFA-30D47AD055C4}"/>
    <cellStyle name="20% - Énfasis2 34" xfId="111" xr:uid="{932BA4A6-4AB8-4BED-89DB-1D82AA2C9AB6}"/>
    <cellStyle name="20% - Énfasis2 34 2" xfId="620" xr:uid="{634B5C46-5BEE-4ED4-916A-9C2CA3DAF59F}"/>
    <cellStyle name="20% - Énfasis2 4" xfId="112" xr:uid="{7602DB53-1B69-4A90-ADBD-5A77824074B4}"/>
    <cellStyle name="20% - Énfasis2 4 2" xfId="621" xr:uid="{DEEAD8C4-743F-4FD8-A82A-409E39C9D9C0}"/>
    <cellStyle name="20% - Énfasis2 5" xfId="113" xr:uid="{7F5E30B3-DC23-4579-9B9F-F8C60E50D573}"/>
    <cellStyle name="20% - Énfasis2 5 2" xfId="622" xr:uid="{093F4342-2AA9-4309-A2C6-A29EF4062C5A}"/>
    <cellStyle name="20% - Énfasis2 6" xfId="114" xr:uid="{07793B55-DCDC-4574-9123-8CCCA367C593}"/>
    <cellStyle name="20% - Énfasis2 6 2" xfId="623" xr:uid="{6C181970-05D5-47C8-BDAD-E11C3D82B7B6}"/>
    <cellStyle name="20% - Énfasis2 7" xfId="115" xr:uid="{7EC16126-A34D-40F8-9E7A-9D98666C173A}"/>
    <cellStyle name="20% - Énfasis2 7 2" xfId="624" xr:uid="{34B45B51-AE63-4F9D-8D96-36053835BEB6}"/>
    <cellStyle name="20% - Énfasis2 8" xfId="116" xr:uid="{B02361C4-C992-4334-AB02-0343E545B5CB}"/>
    <cellStyle name="20% - Énfasis2 8 2" xfId="625" xr:uid="{F2CE9968-C1D2-4580-A552-E46536B3C56F}"/>
    <cellStyle name="20% - Énfasis2 9" xfId="117" xr:uid="{ABDF1E15-BEAD-4CDE-8EA0-621E5F8F8700}"/>
    <cellStyle name="20% - Énfasis2 9 2" xfId="626" xr:uid="{47E51063-0E74-4E0C-9807-6AE8DAEEF15A}"/>
    <cellStyle name="20% - Énfasis3" xfId="27" builtinId="38" customBuiltin="1"/>
    <cellStyle name="20% - Énfasis3 10" xfId="118" xr:uid="{3DFE0DB5-EFC3-4A4B-90EA-DFE1B61AC7F3}"/>
    <cellStyle name="20% - Énfasis3 10 2" xfId="627" xr:uid="{20DAC8CB-ED09-4DEC-ACBA-873D961E5081}"/>
    <cellStyle name="20% - Énfasis3 11" xfId="119" xr:uid="{151D8C0C-FF20-47AC-89AE-38A77E90BE30}"/>
    <cellStyle name="20% - Énfasis3 11 2" xfId="628" xr:uid="{ABA32D7C-B94F-4CA2-BA01-3A9B910B5279}"/>
    <cellStyle name="20% - Énfasis3 12" xfId="120" xr:uid="{72C19E31-BDA4-4C21-96E5-B917622D40E9}"/>
    <cellStyle name="20% - Énfasis3 12 2" xfId="629" xr:uid="{71B39E55-4FAF-45EB-8FE8-BEE7AA19AA2E}"/>
    <cellStyle name="20% - Énfasis3 13" xfId="121" xr:uid="{23C363A3-0737-4722-8124-56BA1EF2585B}"/>
    <cellStyle name="20% - Énfasis3 13 2" xfId="630" xr:uid="{FBA8BAB0-5A06-4E25-8C06-DFA519C70A9A}"/>
    <cellStyle name="20% - Énfasis3 14" xfId="122" xr:uid="{C2DA123D-17E2-44D7-8C51-91559DB0A034}"/>
    <cellStyle name="20% - Énfasis3 14 2" xfId="631" xr:uid="{D2FCE591-F8DB-4942-998E-B01094CD8E78}"/>
    <cellStyle name="20% - Énfasis3 15" xfId="123" xr:uid="{6EA85254-375F-44C4-AA66-B853408B92B2}"/>
    <cellStyle name="20% - Énfasis3 15 2" xfId="632" xr:uid="{220AAB61-F114-4721-ADFF-8AA47380B4D4}"/>
    <cellStyle name="20% - Énfasis3 16" xfId="124" xr:uid="{40697B41-FB38-4B7A-8C7F-247137A7EF34}"/>
    <cellStyle name="20% - Énfasis3 16 2" xfId="633" xr:uid="{3F98ECF1-9ADA-4DBE-BFBF-2B712F285743}"/>
    <cellStyle name="20% - Énfasis3 17" xfId="125" xr:uid="{438B47C7-3D76-42E4-B876-A5E485DE0519}"/>
    <cellStyle name="20% - Énfasis3 17 2" xfId="634" xr:uid="{75C2185F-67D4-490A-801D-026B4D952DBE}"/>
    <cellStyle name="20% - Énfasis3 18" xfId="126" xr:uid="{B1823CAA-2D55-4819-90A7-8E21AD52B4BC}"/>
    <cellStyle name="20% - Énfasis3 18 2" xfId="635" xr:uid="{A1737273-B339-4B83-BD68-EE7D0B629F99}"/>
    <cellStyle name="20% - Énfasis3 19" xfId="127" xr:uid="{7C861855-4D67-4A03-A98D-AF4FE6BD039D}"/>
    <cellStyle name="20% - Énfasis3 19 2" xfId="636" xr:uid="{8AD5BEAB-64DD-4B50-A120-E123C18D15C3}"/>
    <cellStyle name="20% - Énfasis3 2" xfId="128" xr:uid="{384ED875-75BD-4642-AD82-F15ACC2D3086}"/>
    <cellStyle name="20% - Énfasis3 2 2" xfId="637" xr:uid="{7397F236-1B83-4282-B049-46ED47E1C4CD}"/>
    <cellStyle name="20% - Énfasis3 20" xfId="129" xr:uid="{AA990162-46CB-40BF-889B-1B196E706346}"/>
    <cellStyle name="20% - Énfasis3 20 2" xfId="638" xr:uid="{6E2E0860-FB82-488C-9F4A-999E091D5608}"/>
    <cellStyle name="20% - Énfasis3 21" xfId="130" xr:uid="{3401A68F-FF8F-4E98-A3BC-6FA0BA4FCEB2}"/>
    <cellStyle name="20% - Énfasis3 21 2" xfId="639" xr:uid="{D6749208-E3F3-4B1F-95C0-77969FD342F7}"/>
    <cellStyle name="20% - Énfasis3 22" xfId="131" xr:uid="{AEC9854A-F4A6-47A6-B29C-A592CD035A36}"/>
    <cellStyle name="20% - Énfasis3 22 2" xfId="640" xr:uid="{59067D25-EDA1-49A5-A699-F92AB81DE9C8}"/>
    <cellStyle name="20% - Énfasis3 23" xfId="132" xr:uid="{52C2D37E-C1DA-4CEC-BCBF-FA250C5F928D}"/>
    <cellStyle name="20% - Énfasis3 23 2" xfId="641" xr:uid="{DA5F2810-D15B-4F6A-8EB2-266927F09540}"/>
    <cellStyle name="20% - Énfasis3 24" xfId="133" xr:uid="{F08A6DCD-1F66-4480-8939-EFD435903175}"/>
    <cellStyle name="20% - Énfasis3 24 2" xfId="642" xr:uid="{39371DAF-FA38-462B-AC1E-C164F65D796F}"/>
    <cellStyle name="20% - Énfasis3 25" xfId="134" xr:uid="{DAF20E0A-C752-41CB-9E75-252F47070D20}"/>
    <cellStyle name="20% - Énfasis3 25 2" xfId="643" xr:uid="{BE3C2FEA-BCB6-4F0C-994A-48EB015B4F85}"/>
    <cellStyle name="20% - Énfasis3 26" xfId="135" xr:uid="{BD4F0F74-4E9A-4981-8539-9F4767E61984}"/>
    <cellStyle name="20% - Énfasis3 26 2" xfId="644" xr:uid="{74E165A8-CC03-4C36-9A1F-0D5BB9E7F7D1}"/>
    <cellStyle name="20% - Énfasis3 27" xfId="136" xr:uid="{C5A21A70-8EB3-4D06-8BAE-333ED88540CC}"/>
    <cellStyle name="20% - Énfasis3 27 2" xfId="645" xr:uid="{D0E6AD86-37A7-477A-9600-DAE280C7EF07}"/>
    <cellStyle name="20% - Énfasis3 28" xfId="137" xr:uid="{273540FC-370B-4838-9995-B996ECA13AD9}"/>
    <cellStyle name="20% - Énfasis3 28 2" xfId="646" xr:uid="{D6FC4478-0432-4AFE-BD70-D9E86A6AEE22}"/>
    <cellStyle name="20% - Énfasis3 29" xfId="138" xr:uid="{56E44011-C2AA-435C-ACF6-2CC3225CD729}"/>
    <cellStyle name="20% - Énfasis3 29 2" xfId="647" xr:uid="{A2A5ED90-6ED9-463D-BCE1-0C9B266DDDCB}"/>
    <cellStyle name="20% - Énfasis3 3" xfId="139" xr:uid="{0379578B-6A38-4377-AE5E-2AA4B71013AD}"/>
    <cellStyle name="20% - Énfasis3 3 2" xfId="648" xr:uid="{29FC4EE1-08DC-4A59-BF0E-29538936759C}"/>
    <cellStyle name="20% - Énfasis3 30" xfId="140" xr:uid="{F43B85D7-581C-461C-B386-DEDFE331F72E}"/>
    <cellStyle name="20% - Énfasis3 30 2" xfId="649" xr:uid="{AF7DC929-E736-42BF-B2F2-E696FE7856DC}"/>
    <cellStyle name="20% - Énfasis3 31" xfId="141" xr:uid="{FB74B425-AD06-416B-824E-D57C01988BFB}"/>
    <cellStyle name="20% - Énfasis3 31 2" xfId="650" xr:uid="{A65DEFEC-9CA7-4D43-A5FE-8C2BABC679E5}"/>
    <cellStyle name="20% - Énfasis3 32" xfId="142" xr:uid="{E3A5394E-07CA-4EA7-9490-DD29729D75D8}"/>
    <cellStyle name="20% - Énfasis3 32 2" xfId="651" xr:uid="{AED9B392-516B-4FF8-A490-3BFC352C97E8}"/>
    <cellStyle name="20% - Énfasis3 33" xfId="143" xr:uid="{230B87BD-9EC4-4C0C-912D-79D4CFD93C50}"/>
    <cellStyle name="20% - Énfasis3 33 2" xfId="652" xr:uid="{F7913852-CA1D-4511-8761-CF3534543228}"/>
    <cellStyle name="20% - Énfasis3 34" xfId="144" xr:uid="{5D414B41-4BBC-4803-9F04-B681DA8D5A01}"/>
    <cellStyle name="20% - Énfasis3 34 2" xfId="653" xr:uid="{A3FE1145-E8D9-4780-B445-2B03757F9E96}"/>
    <cellStyle name="20% - Énfasis3 4" xfId="145" xr:uid="{63782753-9F14-4344-AB0B-F3F0A1526E78}"/>
    <cellStyle name="20% - Énfasis3 4 2" xfId="654" xr:uid="{03EB943C-7096-4F96-91D4-636248AD3400}"/>
    <cellStyle name="20% - Énfasis3 5" xfId="146" xr:uid="{278A4968-A7D7-42D4-BB8B-1BECF5C258EA}"/>
    <cellStyle name="20% - Énfasis3 5 2" xfId="655" xr:uid="{A19E8E95-563F-4EB9-B871-7902186C3033}"/>
    <cellStyle name="20% - Énfasis3 6" xfId="147" xr:uid="{107E696C-D586-4EF6-AC2A-7F256A31D623}"/>
    <cellStyle name="20% - Énfasis3 6 2" xfId="656" xr:uid="{E417115B-6DBD-4DA4-9616-40A98DB82620}"/>
    <cellStyle name="20% - Énfasis3 7" xfId="148" xr:uid="{EC900214-941E-44BE-A374-3925BACE5E2B}"/>
    <cellStyle name="20% - Énfasis3 7 2" xfId="657" xr:uid="{EA33FDFD-33FB-43C2-BBDD-C814A7BF86E5}"/>
    <cellStyle name="20% - Énfasis3 8" xfId="149" xr:uid="{C9A402D3-87C0-4D48-A49D-800BD8928FF3}"/>
    <cellStyle name="20% - Énfasis3 8 2" xfId="658" xr:uid="{3522A7AC-3D8E-4A10-B2FF-ADAC6DC88AF1}"/>
    <cellStyle name="20% - Énfasis3 9" xfId="150" xr:uid="{041E47CE-08F4-400A-BF79-1727E3196422}"/>
    <cellStyle name="20% - Énfasis3 9 2" xfId="659" xr:uid="{D8FADCCF-CCBB-4BFF-ADD3-6C75B25318A8}"/>
    <cellStyle name="20% - Énfasis4" xfId="30" builtinId="42" customBuiltin="1"/>
    <cellStyle name="20% - Énfasis4 10" xfId="151" xr:uid="{2C2BEC14-BF0C-4842-8D1F-638F187D7931}"/>
    <cellStyle name="20% - Énfasis4 10 2" xfId="660" xr:uid="{3D2DCAF7-EF34-4B08-B610-B06CA0D11F6C}"/>
    <cellStyle name="20% - Énfasis4 11" xfId="152" xr:uid="{5BBF2711-F0CB-41AB-8F40-1C3D8708E489}"/>
    <cellStyle name="20% - Énfasis4 11 2" xfId="661" xr:uid="{140AEC38-7A52-41E9-8E3D-12ACCD8ACF3A}"/>
    <cellStyle name="20% - Énfasis4 12" xfId="153" xr:uid="{25882233-8BEF-45C8-84DD-7FA6360AAE8C}"/>
    <cellStyle name="20% - Énfasis4 12 2" xfId="662" xr:uid="{D8B7F57F-303F-4D59-AD37-D536C20A8A55}"/>
    <cellStyle name="20% - Énfasis4 13" xfId="154" xr:uid="{5F6706B1-F431-467C-8CA3-5BFDCFFCEA15}"/>
    <cellStyle name="20% - Énfasis4 13 2" xfId="663" xr:uid="{D1C046AA-F7FA-48FA-A553-EE6428DADEAA}"/>
    <cellStyle name="20% - Énfasis4 14" xfId="155" xr:uid="{649E56DB-C976-435B-869A-13174B0248F7}"/>
    <cellStyle name="20% - Énfasis4 14 2" xfId="664" xr:uid="{E714B101-5487-4529-B07F-DAFBC9622AEF}"/>
    <cellStyle name="20% - Énfasis4 15" xfId="156" xr:uid="{C7C431DB-FE99-4CE7-AC03-9B3ADCCA2E8D}"/>
    <cellStyle name="20% - Énfasis4 15 2" xfId="665" xr:uid="{0FF318C4-1424-4C63-9DD2-5BCD164B6493}"/>
    <cellStyle name="20% - Énfasis4 16" xfId="157" xr:uid="{FE3E29D6-EB23-4DA6-9137-709A2BD95C5C}"/>
    <cellStyle name="20% - Énfasis4 16 2" xfId="666" xr:uid="{B98F33AF-10F9-4059-8DCD-3DF5CC6537AC}"/>
    <cellStyle name="20% - Énfasis4 17" xfId="158" xr:uid="{EDCD35AF-8FFE-41D6-8250-4F3761BD82EA}"/>
    <cellStyle name="20% - Énfasis4 17 2" xfId="667" xr:uid="{6D4D17B4-EEA2-4F43-85BD-E83F6B6853AB}"/>
    <cellStyle name="20% - Énfasis4 18" xfId="159" xr:uid="{0C7430EA-94D7-408C-973A-8D86FAA000FE}"/>
    <cellStyle name="20% - Énfasis4 18 2" xfId="668" xr:uid="{6BF1AFB5-930A-4300-9E92-FF15E25322B4}"/>
    <cellStyle name="20% - Énfasis4 19" xfId="160" xr:uid="{B209E8D5-717D-4AE1-9108-00DF91602413}"/>
    <cellStyle name="20% - Énfasis4 19 2" xfId="669" xr:uid="{4AEE99D6-4A5C-459C-8DB6-9977914F9097}"/>
    <cellStyle name="20% - Énfasis4 2" xfId="161" xr:uid="{8489F2CF-2EEB-4600-8A33-A6A12D8B7350}"/>
    <cellStyle name="20% - Énfasis4 2 2" xfId="670" xr:uid="{CBF268EB-8717-4279-9BF0-C2A97299A453}"/>
    <cellStyle name="20% - Énfasis4 20" xfId="162" xr:uid="{D91D99FB-D70C-4B2B-A9A4-566983E0365C}"/>
    <cellStyle name="20% - Énfasis4 20 2" xfId="671" xr:uid="{EB773644-A9CC-4917-84F7-6001A9BD394F}"/>
    <cellStyle name="20% - Énfasis4 21" xfId="163" xr:uid="{B99D07E0-D1D7-4943-8EDF-DD678F47E5C7}"/>
    <cellStyle name="20% - Énfasis4 21 2" xfId="672" xr:uid="{0624C724-0B7C-41C4-9B82-E2007B587B20}"/>
    <cellStyle name="20% - Énfasis4 22" xfId="164" xr:uid="{69EDE82B-BD18-42C4-9C8F-2390D4F88AC2}"/>
    <cellStyle name="20% - Énfasis4 22 2" xfId="673" xr:uid="{6491D50E-8339-438B-B612-074BECB7B50F}"/>
    <cellStyle name="20% - Énfasis4 23" xfId="165" xr:uid="{D5D3E1D1-1435-4B33-99F2-7DC4F0B59D93}"/>
    <cellStyle name="20% - Énfasis4 23 2" xfId="674" xr:uid="{7D2F2F5A-9BDF-4DDA-9CBA-AC731FCF3AF0}"/>
    <cellStyle name="20% - Énfasis4 24" xfId="166" xr:uid="{81F12BBD-1882-49B2-BCDC-7F3239B3BAC6}"/>
    <cellStyle name="20% - Énfasis4 24 2" xfId="675" xr:uid="{7ACF0804-9CEF-48A7-A229-5EB3DC2C8660}"/>
    <cellStyle name="20% - Énfasis4 25" xfId="167" xr:uid="{D005964F-4356-41CE-A25F-44899C5273DE}"/>
    <cellStyle name="20% - Énfasis4 25 2" xfId="676" xr:uid="{0256BE96-F87C-4471-AF31-3FC3C3F67789}"/>
    <cellStyle name="20% - Énfasis4 26" xfId="168" xr:uid="{F7534679-4EAB-4014-A5A4-A15C6928E7A4}"/>
    <cellStyle name="20% - Énfasis4 26 2" xfId="677" xr:uid="{D2FF7B89-FFC5-446A-A597-4A2C48B2D174}"/>
    <cellStyle name="20% - Énfasis4 27" xfId="169" xr:uid="{D6901BD4-8EA6-4862-A41F-75FEDD61A29D}"/>
    <cellStyle name="20% - Énfasis4 27 2" xfId="678" xr:uid="{2E8893B2-F698-4AEC-8AD7-3ADD9101A813}"/>
    <cellStyle name="20% - Énfasis4 28" xfId="170" xr:uid="{AAB6C5F1-7347-4C9F-B99B-82B620A2177B}"/>
    <cellStyle name="20% - Énfasis4 28 2" xfId="679" xr:uid="{A0EB9EC5-98A7-4EEE-A73B-9BEBD2B0FC93}"/>
    <cellStyle name="20% - Énfasis4 29" xfId="171" xr:uid="{52FADD38-8E17-4328-9832-26CD75A84CD4}"/>
    <cellStyle name="20% - Énfasis4 29 2" xfId="680" xr:uid="{FA17B7E5-6C02-4725-A95D-3607F59CA78B}"/>
    <cellStyle name="20% - Énfasis4 3" xfId="172" xr:uid="{7D86C7D9-89EB-48CB-AF62-C995F328DD03}"/>
    <cellStyle name="20% - Énfasis4 3 2" xfId="681" xr:uid="{75664975-C56E-48D9-99BA-023F6C50F5AD}"/>
    <cellStyle name="20% - Énfasis4 30" xfId="173" xr:uid="{2E72A3E5-9F13-4276-B2A7-D53C65C23B5B}"/>
    <cellStyle name="20% - Énfasis4 30 2" xfId="682" xr:uid="{E4E806DF-2D38-4CDB-861D-E681C7EF6A12}"/>
    <cellStyle name="20% - Énfasis4 31" xfId="174" xr:uid="{00208FD8-4532-4A05-9235-21987DB957D1}"/>
    <cellStyle name="20% - Énfasis4 31 2" xfId="683" xr:uid="{0FFD6787-171D-41CD-AE31-DF8F79E39EDD}"/>
    <cellStyle name="20% - Énfasis4 32" xfId="175" xr:uid="{43C17D0A-F03B-4217-97B3-B26E6F7AEBA2}"/>
    <cellStyle name="20% - Énfasis4 32 2" xfId="684" xr:uid="{1F13CDA0-54F8-45C2-91A4-5BFCF948A5A9}"/>
    <cellStyle name="20% - Énfasis4 33" xfId="176" xr:uid="{E5B2C2BB-65FF-458E-AFEB-3A55D5CB8B9E}"/>
    <cellStyle name="20% - Énfasis4 33 2" xfId="685" xr:uid="{C03985A8-0B45-462B-AFAA-4AE9C5142FF6}"/>
    <cellStyle name="20% - Énfasis4 34" xfId="177" xr:uid="{CFD0AB2D-FDCB-42B9-BC1A-D166897C5CB2}"/>
    <cellStyle name="20% - Énfasis4 34 2" xfId="686" xr:uid="{180FC795-6442-49A4-B779-9F056A09BF29}"/>
    <cellStyle name="20% - Énfasis4 4" xfId="178" xr:uid="{33988D70-CDAC-43A7-AAAE-32238A492E1E}"/>
    <cellStyle name="20% - Énfasis4 4 2" xfId="687" xr:uid="{47DF9538-04E9-4B31-9A35-D2DF90E0028B}"/>
    <cellStyle name="20% - Énfasis4 5" xfId="179" xr:uid="{F2793D48-804B-451E-9287-6C531F65F74D}"/>
    <cellStyle name="20% - Énfasis4 5 2" xfId="688" xr:uid="{25EBD67B-7213-454D-8D42-7A7F462F9658}"/>
    <cellStyle name="20% - Énfasis4 6" xfId="180" xr:uid="{55C8A315-E3A2-448A-B24B-95E712CAD11B}"/>
    <cellStyle name="20% - Énfasis4 6 2" xfId="689" xr:uid="{5541C8C4-6DB7-4117-951B-8BFC3A0D4630}"/>
    <cellStyle name="20% - Énfasis4 7" xfId="181" xr:uid="{3BF27A77-33E3-4C40-87C6-BBFDF4205284}"/>
    <cellStyle name="20% - Énfasis4 7 2" xfId="690" xr:uid="{DD703047-4FF0-4789-B39D-29C33EF9E39B}"/>
    <cellStyle name="20% - Énfasis4 8" xfId="182" xr:uid="{53B3EDFC-7632-45D2-882F-0143828288F2}"/>
    <cellStyle name="20% - Énfasis4 8 2" xfId="691" xr:uid="{6A291DEB-3A61-4DB4-9740-92E79A6A6BE0}"/>
    <cellStyle name="20% - Énfasis4 9" xfId="183" xr:uid="{92AFDC7D-73FF-4A4F-B4D9-2B44C23AFDCA}"/>
    <cellStyle name="20% - Énfasis4 9 2" xfId="692" xr:uid="{DF29D0D1-E311-43F8-840A-E1AA29AFCEF3}"/>
    <cellStyle name="20% - Énfasis5" xfId="33" builtinId="46" customBuiltin="1"/>
    <cellStyle name="20% - Énfasis5 10" xfId="184" xr:uid="{63E829B8-91EF-4D10-A561-19C319BDC3C3}"/>
    <cellStyle name="20% - Énfasis5 10 2" xfId="693" xr:uid="{7F87F78C-DE13-4A77-A5B6-EC16019BD0B0}"/>
    <cellStyle name="20% - Énfasis5 11" xfId="185" xr:uid="{94D43CEC-A5DB-4D0B-8CD9-E0944D32159E}"/>
    <cellStyle name="20% - Énfasis5 11 2" xfId="694" xr:uid="{F8C21937-93CE-46BB-A441-F91748847BED}"/>
    <cellStyle name="20% - Énfasis5 12" xfId="186" xr:uid="{11F2A03A-E4AC-4E4F-BDF1-F2E8604CA7B2}"/>
    <cellStyle name="20% - Énfasis5 12 2" xfId="695" xr:uid="{C73E3BE5-61C4-4D22-9C74-289CE1036FB1}"/>
    <cellStyle name="20% - Énfasis5 13" xfId="187" xr:uid="{8F26A86C-C5EE-4C36-B9E0-00E6A36EDE84}"/>
    <cellStyle name="20% - Énfasis5 13 2" xfId="696" xr:uid="{38E3BBB0-D799-4BE8-9EF5-621BDE402DDE}"/>
    <cellStyle name="20% - Énfasis5 14" xfId="188" xr:uid="{E61A8C6A-68B6-4C2E-82C8-FD6E5A9151C8}"/>
    <cellStyle name="20% - Énfasis5 14 2" xfId="697" xr:uid="{975DAA95-2086-49BF-A828-09B9252D9930}"/>
    <cellStyle name="20% - Énfasis5 15" xfId="189" xr:uid="{651994B1-4096-41AD-A62C-6FA13184C257}"/>
    <cellStyle name="20% - Énfasis5 15 2" xfId="698" xr:uid="{A12FF55A-6659-4E77-B765-FF6491D53684}"/>
    <cellStyle name="20% - Énfasis5 16" xfId="190" xr:uid="{77DFBA36-D9EC-4CE8-B3B0-B7CE7D5A9D13}"/>
    <cellStyle name="20% - Énfasis5 16 2" xfId="699" xr:uid="{F9540E76-D143-4FCA-BAB8-AC54ED58F501}"/>
    <cellStyle name="20% - Énfasis5 17" xfId="191" xr:uid="{DD0D6DF2-9BFC-4213-B944-E83E4D991776}"/>
    <cellStyle name="20% - Énfasis5 17 2" xfId="700" xr:uid="{E9A37823-0CCD-49AE-B650-6AC7A80B0AC5}"/>
    <cellStyle name="20% - Énfasis5 18" xfId="192" xr:uid="{628480C0-C619-4E2E-9FD8-27AA256AF71F}"/>
    <cellStyle name="20% - Énfasis5 18 2" xfId="701" xr:uid="{A4A3BC35-1363-4491-9173-27877AFF04F1}"/>
    <cellStyle name="20% - Énfasis5 19" xfId="193" xr:uid="{6C8FF253-3C59-40C4-9654-8834C8039974}"/>
    <cellStyle name="20% - Énfasis5 19 2" xfId="702" xr:uid="{791BFE6F-8C06-428E-AA5B-1DB3E87B9FB5}"/>
    <cellStyle name="20% - Énfasis5 2" xfId="194" xr:uid="{6518FB3D-2C79-4F6E-B5D3-A2CC2385E90C}"/>
    <cellStyle name="20% - Énfasis5 2 2" xfId="703" xr:uid="{7133102A-47BD-468D-AFE5-40A750ED140C}"/>
    <cellStyle name="20% - Énfasis5 20" xfId="195" xr:uid="{57ED68B3-C82F-4DB1-97A4-35922ABF9A46}"/>
    <cellStyle name="20% - Énfasis5 20 2" xfId="704" xr:uid="{0558423A-946A-4410-B777-B7B0590AB2BA}"/>
    <cellStyle name="20% - Énfasis5 21" xfId="196" xr:uid="{811D383B-6A37-4315-AE8A-45CCAD313C8E}"/>
    <cellStyle name="20% - Énfasis5 21 2" xfId="705" xr:uid="{060CCFC5-8601-409E-BB91-0AA6A87C61AD}"/>
    <cellStyle name="20% - Énfasis5 22" xfId="197" xr:uid="{E1904EB9-B981-4FF4-9787-8B5C08ED5E38}"/>
    <cellStyle name="20% - Énfasis5 22 2" xfId="706" xr:uid="{DEC64152-6CF2-443B-8B7A-3DF2A2EE7D97}"/>
    <cellStyle name="20% - Énfasis5 23" xfId="198" xr:uid="{101CD9FF-B5F9-4570-AEED-CE007EDF0558}"/>
    <cellStyle name="20% - Énfasis5 23 2" xfId="707" xr:uid="{4D522E62-8932-4889-A723-6B1DCBF6FC32}"/>
    <cellStyle name="20% - Énfasis5 24" xfId="199" xr:uid="{9724BBB4-56FE-4EE8-BDBC-78EE29DAA164}"/>
    <cellStyle name="20% - Énfasis5 24 2" xfId="708" xr:uid="{32A47ABE-B3A6-485B-AAE5-6C3801B69691}"/>
    <cellStyle name="20% - Énfasis5 25" xfId="200" xr:uid="{A5715805-3B17-4A68-A473-A620C9B076A7}"/>
    <cellStyle name="20% - Énfasis5 25 2" xfId="709" xr:uid="{C6EAC54E-2B61-4FE0-A848-63445330105A}"/>
    <cellStyle name="20% - Énfasis5 26" xfId="201" xr:uid="{BDD3E4EF-53BA-4BBB-B82B-56084FD069CA}"/>
    <cellStyle name="20% - Énfasis5 26 2" xfId="710" xr:uid="{EA651D0C-5A15-4790-9381-6D81FF7463C1}"/>
    <cellStyle name="20% - Énfasis5 27" xfId="202" xr:uid="{CBFB29DC-3C28-4192-87CB-B84C32943722}"/>
    <cellStyle name="20% - Énfasis5 27 2" xfId="711" xr:uid="{975AB23E-A0D4-4E76-96AF-97612A720478}"/>
    <cellStyle name="20% - Énfasis5 28" xfId="203" xr:uid="{DBB92D8B-5AC6-4A39-B1F4-EFDECCCF05E8}"/>
    <cellStyle name="20% - Énfasis5 28 2" xfId="712" xr:uid="{599A38DF-8F1F-4D2B-9C87-38E8624368C7}"/>
    <cellStyle name="20% - Énfasis5 29" xfId="204" xr:uid="{EACF627B-B4D6-485E-A9C3-EA600BC485D2}"/>
    <cellStyle name="20% - Énfasis5 29 2" xfId="713" xr:uid="{F5E3CD6A-A624-47A0-9221-026E16B94F24}"/>
    <cellStyle name="20% - Énfasis5 3" xfId="205" xr:uid="{F02DFE78-80DC-4102-B4E7-F428154A991A}"/>
    <cellStyle name="20% - Énfasis5 3 2" xfId="714" xr:uid="{E0B939FF-BBD7-4303-A2DD-E020614AE9CF}"/>
    <cellStyle name="20% - Énfasis5 30" xfId="206" xr:uid="{15AF60A2-B4CE-40B7-81FB-2523D83D0E7E}"/>
    <cellStyle name="20% - Énfasis5 30 2" xfId="715" xr:uid="{46708F4C-FD4A-4332-8293-B22ECB8C918C}"/>
    <cellStyle name="20% - Énfasis5 31" xfId="207" xr:uid="{B517C471-D6D4-4D3E-B496-C5CF9421E738}"/>
    <cellStyle name="20% - Énfasis5 31 2" xfId="716" xr:uid="{2C8AC6A0-E6A1-48F1-A1D1-33697965D444}"/>
    <cellStyle name="20% - Énfasis5 32" xfId="208" xr:uid="{ECFEA868-30FC-4EDE-9D76-C4B1508AA0BE}"/>
    <cellStyle name="20% - Énfasis5 32 2" xfId="717" xr:uid="{204365B1-2DE3-4D8E-99B2-8637D107A3C1}"/>
    <cellStyle name="20% - Énfasis5 33" xfId="209" xr:uid="{25B40E70-4AC7-4BA7-AECA-4BFB371828A2}"/>
    <cellStyle name="20% - Énfasis5 33 2" xfId="718" xr:uid="{77B55110-3430-459A-8FE9-AD6800ECB58E}"/>
    <cellStyle name="20% - Énfasis5 34" xfId="210" xr:uid="{EAA5A252-70D2-4E31-9066-FA0F2D2A4D6A}"/>
    <cellStyle name="20% - Énfasis5 34 2" xfId="719" xr:uid="{CB915A11-2852-4CEC-AFFC-88C9FFAC2B95}"/>
    <cellStyle name="20% - Énfasis5 4" xfId="211" xr:uid="{CCBB37C9-BCE7-4145-B7C1-D71D4AE5A52E}"/>
    <cellStyle name="20% - Énfasis5 4 2" xfId="720" xr:uid="{590306A9-5F72-41BB-80F0-C0605C267D8F}"/>
    <cellStyle name="20% - Énfasis5 5" xfId="212" xr:uid="{CE09CADE-AECF-461B-83AB-F4B50E196305}"/>
    <cellStyle name="20% - Énfasis5 5 2" xfId="721" xr:uid="{06AB73B1-690F-4B0D-AE64-2D0E0B2FF7F4}"/>
    <cellStyle name="20% - Énfasis5 6" xfId="213" xr:uid="{B0E45FA0-8BA2-4F50-9107-E9C6541319F7}"/>
    <cellStyle name="20% - Énfasis5 6 2" xfId="722" xr:uid="{F173BEFD-D76D-44BC-B92C-CDEDF15E5E79}"/>
    <cellStyle name="20% - Énfasis5 7" xfId="214" xr:uid="{696179DA-A84B-4F90-BF5C-8007096BACED}"/>
    <cellStyle name="20% - Énfasis5 7 2" xfId="723" xr:uid="{2DF43E35-A988-46DF-8D6E-5A9FAE37081F}"/>
    <cellStyle name="20% - Énfasis5 8" xfId="215" xr:uid="{6F0538B3-3D61-4584-A76B-DA90099C57F4}"/>
    <cellStyle name="20% - Énfasis5 8 2" xfId="724" xr:uid="{887A46CB-96B7-4DF2-BD80-57A6211871C3}"/>
    <cellStyle name="20% - Énfasis5 9" xfId="216" xr:uid="{F3A556B8-4C9E-49F9-A3ED-DF8848D81EB4}"/>
    <cellStyle name="20% - Énfasis5 9 2" xfId="725" xr:uid="{5FD573DF-A0E3-4225-965C-7C25D1CA3405}"/>
    <cellStyle name="20% - Énfasis6" xfId="36" builtinId="50" customBuiltin="1"/>
    <cellStyle name="20% - Énfasis6 10" xfId="217" xr:uid="{BBC398F4-E194-49A0-86F1-C2EF1667CD2F}"/>
    <cellStyle name="20% - Énfasis6 10 2" xfId="726" xr:uid="{7F10D5D5-DE38-4AF6-9B2C-E5A77575C0E5}"/>
    <cellStyle name="20% - Énfasis6 11" xfId="218" xr:uid="{2A3FE8AF-B869-4269-9FB5-8C9F64137138}"/>
    <cellStyle name="20% - Énfasis6 11 2" xfId="727" xr:uid="{EDBC44D4-42E9-46C8-AD61-858D9E3FB91D}"/>
    <cellStyle name="20% - Énfasis6 12" xfId="219" xr:uid="{CBDF5D3D-7713-4358-B850-7A68D9BC0F77}"/>
    <cellStyle name="20% - Énfasis6 12 2" xfId="728" xr:uid="{F85D3A96-AB6D-4C1E-83BF-1A417DAFA36B}"/>
    <cellStyle name="20% - Énfasis6 13" xfId="220" xr:uid="{2243BF39-47A7-4F18-BC22-8202D773A5B5}"/>
    <cellStyle name="20% - Énfasis6 13 2" xfId="729" xr:uid="{F12192A5-9585-4B2D-AFB0-8F8BDE3A6DBD}"/>
    <cellStyle name="20% - Énfasis6 14" xfId="221" xr:uid="{AFF2A7A6-F7B1-4AC6-8F69-2F3FA44AB7D7}"/>
    <cellStyle name="20% - Énfasis6 14 2" xfId="730" xr:uid="{7B351B89-B24C-421D-A722-FD6DC42AB3A4}"/>
    <cellStyle name="20% - Énfasis6 15" xfId="222" xr:uid="{23A8D7B0-EA1A-4BEB-984E-81C558153D4B}"/>
    <cellStyle name="20% - Énfasis6 15 2" xfId="731" xr:uid="{9586174B-CF3E-4800-B143-441DA3870151}"/>
    <cellStyle name="20% - Énfasis6 16" xfId="223" xr:uid="{19FDA49E-7981-4294-AE9C-2D4242673FA1}"/>
    <cellStyle name="20% - Énfasis6 16 2" xfId="732" xr:uid="{9A55D907-50AD-4C92-9D9E-977780A558C2}"/>
    <cellStyle name="20% - Énfasis6 17" xfId="224" xr:uid="{4881CC1E-91B3-46A9-9DF2-57BAEBE2638F}"/>
    <cellStyle name="20% - Énfasis6 17 2" xfId="733" xr:uid="{296B54FD-95AB-4DCA-8084-2DAF9092D21A}"/>
    <cellStyle name="20% - Énfasis6 18" xfId="225" xr:uid="{AFA6A6AE-8DB8-407D-BCC4-90090FD8BDD3}"/>
    <cellStyle name="20% - Énfasis6 18 2" xfId="734" xr:uid="{FF3457A5-0AC6-4656-A427-7881506E7706}"/>
    <cellStyle name="20% - Énfasis6 19" xfId="226" xr:uid="{F11C6EAC-9AF0-4E5B-9D50-A8F28BDA2EE0}"/>
    <cellStyle name="20% - Énfasis6 19 2" xfId="735" xr:uid="{05430CE5-3C05-43DF-8CA5-0E96A171DD85}"/>
    <cellStyle name="20% - Énfasis6 2" xfId="227" xr:uid="{94EB544E-5560-4011-B25F-DC5D43816D3F}"/>
    <cellStyle name="20% - Énfasis6 2 2" xfId="736" xr:uid="{9198496E-5C9B-490C-9710-5789A2150A42}"/>
    <cellStyle name="20% - Énfasis6 20" xfId="228" xr:uid="{B5A6A259-6864-4850-8FAA-D03C630ECD76}"/>
    <cellStyle name="20% - Énfasis6 20 2" xfId="737" xr:uid="{3E2EFF0C-8C1B-45A2-9FCB-EFBC903F9CB6}"/>
    <cellStyle name="20% - Énfasis6 21" xfId="229" xr:uid="{C8543B83-3EFB-4A11-9002-DB16AF52C3B3}"/>
    <cellStyle name="20% - Énfasis6 21 2" xfId="738" xr:uid="{AD660CB9-CE37-4A1B-864B-1EC7C898D6A1}"/>
    <cellStyle name="20% - Énfasis6 22" xfId="230" xr:uid="{CA5BE957-6F10-4D7A-B21C-7EC873094361}"/>
    <cellStyle name="20% - Énfasis6 22 2" xfId="739" xr:uid="{D227E38F-948C-466D-9665-102498B5BACC}"/>
    <cellStyle name="20% - Énfasis6 23" xfId="231" xr:uid="{8B4922A4-0F86-4DBB-80AA-FB34425A7D82}"/>
    <cellStyle name="20% - Énfasis6 23 2" xfId="740" xr:uid="{A744AE94-2277-4EC3-B2D7-7E7349B54135}"/>
    <cellStyle name="20% - Énfasis6 24" xfId="232" xr:uid="{7D0D54E6-578C-4A75-948B-E9B7BB507FD4}"/>
    <cellStyle name="20% - Énfasis6 24 2" xfId="741" xr:uid="{2A98B207-3762-4815-8382-54B3ED2C6EC9}"/>
    <cellStyle name="20% - Énfasis6 25" xfId="233" xr:uid="{CE6F4EB7-D608-4B06-BD0F-24B84D9FD53F}"/>
    <cellStyle name="20% - Énfasis6 25 2" xfId="742" xr:uid="{8260A731-04BF-49C0-8785-2D264442E1B2}"/>
    <cellStyle name="20% - Énfasis6 26" xfId="234" xr:uid="{E249A967-1146-4C0B-BFB2-4DDE65A77E32}"/>
    <cellStyle name="20% - Énfasis6 26 2" xfId="743" xr:uid="{1ED5BA83-A7D7-4663-A07C-1EE5850EF75E}"/>
    <cellStyle name="20% - Énfasis6 27" xfId="235" xr:uid="{4757A47E-BFE0-4B57-98A8-B20E17444270}"/>
    <cellStyle name="20% - Énfasis6 27 2" xfId="744" xr:uid="{25687CCC-6592-4DE8-A244-9C7D4319255E}"/>
    <cellStyle name="20% - Énfasis6 28" xfId="236" xr:uid="{63D23474-9B1D-41CD-906C-6593EA5A32AB}"/>
    <cellStyle name="20% - Énfasis6 28 2" xfId="745" xr:uid="{A97D30F4-4B5B-409B-B61A-8D0EF3D90A79}"/>
    <cellStyle name="20% - Énfasis6 29" xfId="237" xr:uid="{2A025061-6D1F-41D8-8A6C-BF94BDEDD2DA}"/>
    <cellStyle name="20% - Énfasis6 29 2" xfId="746" xr:uid="{511EB6C8-276B-4FD2-A34B-1B8CEEA36D35}"/>
    <cellStyle name="20% - Énfasis6 3" xfId="238" xr:uid="{DB82EC63-E850-4D14-9B54-119A2A6FBB1C}"/>
    <cellStyle name="20% - Énfasis6 3 2" xfId="747" xr:uid="{8FCE45E6-4DE1-408D-BF96-42141183BA9A}"/>
    <cellStyle name="20% - Énfasis6 30" xfId="239" xr:uid="{F73F762C-0FA8-4EA6-AC6A-026B39B89A94}"/>
    <cellStyle name="20% - Énfasis6 30 2" xfId="748" xr:uid="{3C8480CD-2539-4468-B83A-6EFAD2105045}"/>
    <cellStyle name="20% - Énfasis6 31" xfId="240" xr:uid="{969A91D7-D2A2-4F53-B88D-7DDC9EE0CB37}"/>
    <cellStyle name="20% - Énfasis6 31 2" xfId="749" xr:uid="{1EE1585F-7A0B-4079-B237-DF1C60B56CAC}"/>
    <cellStyle name="20% - Énfasis6 32" xfId="241" xr:uid="{C7D80595-79CB-4FBA-B690-1B8CEC5C8B30}"/>
    <cellStyle name="20% - Énfasis6 32 2" xfId="750" xr:uid="{DE108EDE-85E3-4B42-B216-EE1B37847EE3}"/>
    <cellStyle name="20% - Énfasis6 33" xfId="242" xr:uid="{43D260A5-A6AA-4696-8152-17B4DC53BB10}"/>
    <cellStyle name="20% - Énfasis6 33 2" xfId="751" xr:uid="{9B2E96F8-3875-40D6-B3FB-655B53A327E3}"/>
    <cellStyle name="20% - Énfasis6 34" xfId="243" xr:uid="{37ABFEFB-3178-4DC6-B180-B9BDA18D6CFE}"/>
    <cellStyle name="20% - Énfasis6 34 2" xfId="752" xr:uid="{7F92C811-841F-4140-956C-A6348572093F}"/>
    <cellStyle name="20% - Énfasis6 4" xfId="244" xr:uid="{25A0515A-FAD9-441E-9287-7C85ACC8E414}"/>
    <cellStyle name="20% - Énfasis6 4 2" xfId="753" xr:uid="{F61A2872-19FB-490E-9289-CBCC752A1680}"/>
    <cellStyle name="20% - Énfasis6 5" xfId="245" xr:uid="{3C64AB79-942D-43AB-B228-FCB0A46C2C07}"/>
    <cellStyle name="20% - Énfasis6 5 2" xfId="754" xr:uid="{4821A10D-30C5-4E5D-8376-0826BED68388}"/>
    <cellStyle name="20% - Énfasis6 6" xfId="246" xr:uid="{2B139803-0215-4347-89DC-16EC831CA36A}"/>
    <cellStyle name="20% - Énfasis6 6 2" xfId="755" xr:uid="{A74A4E44-4A39-4AAD-A0BD-048C21F47FF0}"/>
    <cellStyle name="20% - Énfasis6 7" xfId="247" xr:uid="{CA1465ED-5DD2-4341-8513-1FD8A6E74D6F}"/>
    <cellStyle name="20% - Énfasis6 7 2" xfId="756" xr:uid="{DDE4C3F2-AF4B-470F-93CD-B03054E6FF33}"/>
    <cellStyle name="20% - Énfasis6 8" xfId="248" xr:uid="{F9019379-5D50-4B9F-A03D-CE2D84F780AB}"/>
    <cellStyle name="20% - Énfasis6 8 2" xfId="757" xr:uid="{EECCF842-9456-4A18-8A9C-0E29ECF41D80}"/>
    <cellStyle name="20% - Énfasis6 9" xfId="249" xr:uid="{9C2101F1-665B-46D5-9E26-907B4321CCF0}"/>
    <cellStyle name="20% - Énfasis6 9 2" xfId="758" xr:uid="{43899F0F-5ACE-4B3F-8B57-0F7342CEA500}"/>
    <cellStyle name="40% - Énfasis1" xfId="22" builtinId="31" customBuiltin="1"/>
    <cellStyle name="40% - Énfasis1 10" xfId="250" xr:uid="{E5E95703-8606-48E4-A696-DAC1AD56F1D5}"/>
    <cellStyle name="40% - Énfasis1 10 2" xfId="759" xr:uid="{276D4ED0-F0E4-462C-B7C2-FA3C42D51AF9}"/>
    <cellStyle name="40% - Énfasis1 11" xfId="251" xr:uid="{A29277D3-1DB4-4388-B639-D6AE9C43E55F}"/>
    <cellStyle name="40% - Énfasis1 11 2" xfId="760" xr:uid="{48F1C909-D426-4EAB-9509-61174B6B2889}"/>
    <cellStyle name="40% - Énfasis1 12" xfId="252" xr:uid="{293CE2B6-F8E6-4654-9A6D-C7B012E82991}"/>
    <cellStyle name="40% - Énfasis1 12 2" xfId="761" xr:uid="{560F201F-DA1B-459A-9F15-22BF7155CC73}"/>
    <cellStyle name="40% - Énfasis1 13" xfId="253" xr:uid="{F0324030-360A-4C64-8551-A71B212C442B}"/>
    <cellStyle name="40% - Énfasis1 13 2" xfId="762" xr:uid="{5695B67D-2543-4FEC-8193-B57B1B0B5850}"/>
    <cellStyle name="40% - Énfasis1 14" xfId="254" xr:uid="{FD16441D-6E55-4EC0-BEB2-BAF18C3C8A34}"/>
    <cellStyle name="40% - Énfasis1 14 2" xfId="763" xr:uid="{73223185-008E-4DB6-8F51-5968498E8AC7}"/>
    <cellStyle name="40% - Énfasis1 15" xfId="255" xr:uid="{1BD2D7ED-6EA6-4293-9F77-F15D8E302393}"/>
    <cellStyle name="40% - Énfasis1 15 2" xfId="764" xr:uid="{A7D250B3-D403-4C34-8B8F-EFC4DAEF9928}"/>
    <cellStyle name="40% - Énfasis1 16" xfId="256" xr:uid="{FDB2FD73-5BD4-4E14-ACAD-056362772BF0}"/>
    <cellStyle name="40% - Énfasis1 16 2" xfId="765" xr:uid="{08794899-8BF4-4D8C-9B91-4287C6D04E40}"/>
    <cellStyle name="40% - Énfasis1 17" xfId="257" xr:uid="{E3035733-2510-4C8B-8530-7391ACADF5C8}"/>
    <cellStyle name="40% - Énfasis1 17 2" xfId="766" xr:uid="{D135D7BB-47DE-48A4-BBB0-B887426E195F}"/>
    <cellStyle name="40% - Énfasis1 18" xfId="258" xr:uid="{5ED9737F-88A8-4F0C-9CD1-DFD5A3271738}"/>
    <cellStyle name="40% - Énfasis1 18 2" xfId="767" xr:uid="{6CAE6B2A-24B4-4CDB-9070-026E0EAA21E1}"/>
    <cellStyle name="40% - Énfasis1 19" xfId="259" xr:uid="{9F43971A-C745-49AF-927D-7C35EA17F94C}"/>
    <cellStyle name="40% - Énfasis1 19 2" xfId="768" xr:uid="{4A7773EE-0635-483E-BE4B-88370B07CA1C}"/>
    <cellStyle name="40% - Énfasis1 2" xfId="260" xr:uid="{6376B962-0EF8-4221-80F3-BA6113B39103}"/>
    <cellStyle name="40% - Énfasis1 2 2" xfId="769" xr:uid="{86DD95C5-9E4B-4A1D-8717-F846E903F81E}"/>
    <cellStyle name="40% - Énfasis1 20" xfId="261" xr:uid="{73744ECF-A0EA-4B10-93A9-EA5F620D8EB0}"/>
    <cellStyle name="40% - Énfasis1 20 2" xfId="770" xr:uid="{CF1887F6-ADF9-4E15-A0F1-DF9CAA2EDEE9}"/>
    <cellStyle name="40% - Énfasis1 21" xfId="262" xr:uid="{CB646A23-B2A8-45A8-B81D-40DCA662CA5D}"/>
    <cellStyle name="40% - Énfasis1 21 2" xfId="771" xr:uid="{31B115D3-617F-4562-87C1-6134D87D7903}"/>
    <cellStyle name="40% - Énfasis1 22" xfId="263" xr:uid="{567033B9-6335-4BA2-B037-CDA66CF97599}"/>
    <cellStyle name="40% - Énfasis1 22 2" xfId="772" xr:uid="{5B69FAB3-957A-4861-8A97-0C627ED88FCE}"/>
    <cellStyle name="40% - Énfasis1 23" xfId="264" xr:uid="{57831967-04B1-4773-AD38-C60B1042DF6D}"/>
    <cellStyle name="40% - Énfasis1 23 2" xfId="773" xr:uid="{1A1E2C2D-8044-4D01-A865-015EAC1BE42A}"/>
    <cellStyle name="40% - Énfasis1 24" xfId="265" xr:uid="{D3CA717B-73EC-4B14-8E35-0943F3D82211}"/>
    <cellStyle name="40% - Énfasis1 24 2" xfId="774" xr:uid="{38DF923B-624F-4319-B99D-17F637D9BD48}"/>
    <cellStyle name="40% - Énfasis1 25" xfId="266" xr:uid="{1EE31DBE-826C-4FA9-A677-93D53140A6A8}"/>
    <cellStyle name="40% - Énfasis1 25 2" xfId="775" xr:uid="{45BD6F0F-BF3D-4847-AF90-066294B01ADA}"/>
    <cellStyle name="40% - Énfasis1 26" xfId="267" xr:uid="{6AED8769-7D24-420A-AEA3-177F60C3BDAE}"/>
    <cellStyle name="40% - Énfasis1 26 2" xfId="776" xr:uid="{DA91491C-0AD7-4899-9508-73F196B1C0E3}"/>
    <cellStyle name="40% - Énfasis1 27" xfId="268" xr:uid="{FC3B62E9-6242-4A8A-A0EE-2042C1049EC7}"/>
    <cellStyle name="40% - Énfasis1 27 2" xfId="777" xr:uid="{E8BC2604-3978-450F-A55D-67640FED6816}"/>
    <cellStyle name="40% - Énfasis1 28" xfId="269" xr:uid="{47DA0545-FC6C-4C97-AC38-764BA97F0F61}"/>
    <cellStyle name="40% - Énfasis1 28 2" xfId="778" xr:uid="{C86C15CA-2DCC-4F9A-A805-861A9EED6E68}"/>
    <cellStyle name="40% - Énfasis1 29" xfId="270" xr:uid="{799AB56B-3474-4BE1-950A-FF4F8DB2B4DE}"/>
    <cellStyle name="40% - Énfasis1 29 2" xfId="779" xr:uid="{4CBDFC69-B78B-4789-8A56-6932B92C6D3A}"/>
    <cellStyle name="40% - Énfasis1 3" xfId="271" xr:uid="{D4547018-765A-4E0C-A230-CF41EB6D02F0}"/>
    <cellStyle name="40% - Énfasis1 3 2" xfId="780" xr:uid="{2ADB8438-C1DF-488C-93F0-63A5A513D68C}"/>
    <cellStyle name="40% - Énfasis1 30" xfId="272" xr:uid="{CA5B04A5-2A80-4C39-B9B2-562C6FE1D244}"/>
    <cellStyle name="40% - Énfasis1 30 2" xfId="781" xr:uid="{1EF1D306-2E9F-4AF8-BBC3-9CF43553A494}"/>
    <cellStyle name="40% - Énfasis1 31" xfId="273" xr:uid="{C6F79B08-9227-4DC7-B294-A236AFD088B5}"/>
    <cellStyle name="40% - Énfasis1 31 2" xfId="782" xr:uid="{D9322FA5-2FD9-41AB-B5BE-0C8E3CF59B4B}"/>
    <cellStyle name="40% - Énfasis1 32" xfId="274" xr:uid="{FD4FE614-8F9E-433B-B19F-17479E67F73F}"/>
    <cellStyle name="40% - Énfasis1 32 2" xfId="783" xr:uid="{909FE846-F37A-4418-8758-2A60C4567349}"/>
    <cellStyle name="40% - Énfasis1 33" xfId="275" xr:uid="{C0FC9F6D-9682-4C75-B9FC-C7E057B93C78}"/>
    <cellStyle name="40% - Énfasis1 33 2" xfId="784" xr:uid="{94A9C2C3-5E59-4326-9DB8-282DBB37EBB5}"/>
    <cellStyle name="40% - Énfasis1 34" xfId="276" xr:uid="{ADF8C038-5BA4-4DE5-A7CE-DE64A9E42786}"/>
    <cellStyle name="40% - Énfasis1 34 2" xfId="785" xr:uid="{187A0C30-9DC3-4463-B924-44459BBDA94B}"/>
    <cellStyle name="40% - Énfasis1 4" xfId="277" xr:uid="{7516AE3B-90B6-4AB1-A090-225B31715F72}"/>
    <cellStyle name="40% - Énfasis1 4 2" xfId="786" xr:uid="{75ED863A-5793-4865-8266-CCBDAC16C79A}"/>
    <cellStyle name="40% - Énfasis1 5" xfId="278" xr:uid="{F98F255B-85C6-4AA9-BD0E-A5ACB127DC68}"/>
    <cellStyle name="40% - Énfasis1 5 2" xfId="787" xr:uid="{6655EE10-DA91-4FF0-AA3B-E12388A662E2}"/>
    <cellStyle name="40% - Énfasis1 6" xfId="279" xr:uid="{ED59144F-0024-4D16-B78D-09AAB8EAB92A}"/>
    <cellStyle name="40% - Énfasis1 6 2" xfId="788" xr:uid="{592AA405-669B-4DAF-AC53-835FEA3EA474}"/>
    <cellStyle name="40% - Énfasis1 7" xfId="280" xr:uid="{F03473F7-9E1B-469F-9B8B-E015C58EB191}"/>
    <cellStyle name="40% - Énfasis1 7 2" xfId="789" xr:uid="{972C8BB5-B05D-498A-A09E-31FC80235464}"/>
    <cellStyle name="40% - Énfasis1 8" xfId="281" xr:uid="{73EDA1F9-79B1-4DC7-AEAA-8BB79359651D}"/>
    <cellStyle name="40% - Énfasis1 8 2" xfId="790" xr:uid="{A6A508B7-C010-4560-9BD0-D0F133204677}"/>
    <cellStyle name="40% - Énfasis1 9" xfId="282" xr:uid="{DB15C2D4-89D2-4AFC-A012-0908008705F4}"/>
    <cellStyle name="40% - Énfasis1 9 2" xfId="791" xr:uid="{0ECA7B80-FB17-4C9F-8EAB-1793DDFAA77E}"/>
    <cellStyle name="40% - Énfasis2" xfId="25" builtinId="35" customBuiltin="1"/>
    <cellStyle name="40% - Énfasis2 10" xfId="283" xr:uid="{20FCB522-2114-4042-985B-9CD0FCAA3AED}"/>
    <cellStyle name="40% - Énfasis2 10 2" xfId="792" xr:uid="{834BE6D4-5E32-4246-B047-2B2A241F8358}"/>
    <cellStyle name="40% - Énfasis2 11" xfId="284" xr:uid="{E2564672-35B3-4E00-9537-5B8A323E8D5D}"/>
    <cellStyle name="40% - Énfasis2 11 2" xfId="793" xr:uid="{F8DEA580-F6A7-445F-AF0F-D12408C7B1B2}"/>
    <cellStyle name="40% - Énfasis2 12" xfId="285" xr:uid="{9C0AFE30-82C8-43F0-804B-48FEB659E5A0}"/>
    <cellStyle name="40% - Énfasis2 12 2" xfId="794" xr:uid="{19546A92-6903-4B73-94B0-61AFB8C882F1}"/>
    <cellStyle name="40% - Énfasis2 13" xfId="286" xr:uid="{BFEA9468-9C2C-4112-8E77-24E38BBA7A09}"/>
    <cellStyle name="40% - Énfasis2 13 2" xfId="795" xr:uid="{06426FD7-C23F-4B65-9403-55E7E168AF59}"/>
    <cellStyle name="40% - Énfasis2 14" xfId="287" xr:uid="{5B6FDEC8-23F4-4CA0-A8A9-8D97D3E7774E}"/>
    <cellStyle name="40% - Énfasis2 14 2" xfId="796" xr:uid="{315BD3D6-54F7-43D1-BF5A-ED5016639651}"/>
    <cellStyle name="40% - Énfasis2 15" xfId="288" xr:uid="{8EB77E51-3B9B-42B1-A7B2-5E8DDCC8169B}"/>
    <cellStyle name="40% - Énfasis2 15 2" xfId="797" xr:uid="{12A75201-BB16-4473-B69A-18508059AC32}"/>
    <cellStyle name="40% - Énfasis2 16" xfId="289" xr:uid="{D79AC813-376F-4B0C-B70F-C53DBDA35527}"/>
    <cellStyle name="40% - Énfasis2 16 2" xfId="798" xr:uid="{D7099EBE-B532-441B-ACEA-7FCA97F09CDB}"/>
    <cellStyle name="40% - Énfasis2 17" xfId="290" xr:uid="{AD35FA74-CB38-4238-B60D-E2482AF211C7}"/>
    <cellStyle name="40% - Énfasis2 17 2" xfId="799" xr:uid="{F13C3722-27AC-493C-B13B-7A4F4EF3D073}"/>
    <cellStyle name="40% - Énfasis2 18" xfId="291" xr:uid="{F57FD0B2-A927-493E-AA1C-146A14430D85}"/>
    <cellStyle name="40% - Énfasis2 18 2" xfId="800" xr:uid="{9C62126B-2B1F-43E1-9AA1-2CB81747E2FC}"/>
    <cellStyle name="40% - Énfasis2 19" xfId="292" xr:uid="{FA4D934D-D405-4B1C-BD07-F97E01DC4D86}"/>
    <cellStyle name="40% - Énfasis2 19 2" xfId="801" xr:uid="{466007DF-BA51-41FD-AB4D-9E0E42CDA7CB}"/>
    <cellStyle name="40% - Énfasis2 2" xfId="293" xr:uid="{F75F594C-9046-4739-B980-A1148177165A}"/>
    <cellStyle name="40% - Énfasis2 2 2" xfId="802" xr:uid="{521E9665-2388-4C1D-999D-ABF76C21C017}"/>
    <cellStyle name="40% - Énfasis2 20" xfId="294" xr:uid="{546A4E18-1F1F-47A1-B560-C437A3E67D99}"/>
    <cellStyle name="40% - Énfasis2 20 2" xfId="803" xr:uid="{CE404D38-8E90-4956-AA0D-A219DFB8AB59}"/>
    <cellStyle name="40% - Énfasis2 21" xfId="295" xr:uid="{DF74A9B9-336B-43AD-8168-95DC86401F12}"/>
    <cellStyle name="40% - Énfasis2 21 2" xfId="804" xr:uid="{E47E258E-AC60-4558-9ED2-43C32502DDA1}"/>
    <cellStyle name="40% - Énfasis2 22" xfId="296" xr:uid="{644DEC69-B6BB-494C-B07D-112E1825C1F7}"/>
    <cellStyle name="40% - Énfasis2 22 2" xfId="805" xr:uid="{51537833-A10C-4301-900A-D14A9E726332}"/>
    <cellStyle name="40% - Énfasis2 23" xfId="297" xr:uid="{9A666B15-1377-4372-9B56-E49C3B167B42}"/>
    <cellStyle name="40% - Énfasis2 23 2" xfId="806" xr:uid="{9F1EFBCB-4853-463C-89B8-7B36672DBD53}"/>
    <cellStyle name="40% - Énfasis2 24" xfId="298" xr:uid="{4A30E372-EFD5-4C2A-8559-B62EBACD64F2}"/>
    <cellStyle name="40% - Énfasis2 24 2" xfId="807" xr:uid="{E8C7717C-6132-4BED-897E-C4B0193F4D7D}"/>
    <cellStyle name="40% - Énfasis2 25" xfId="299" xr:uid="{675ACF10-3379-4B42-A561-18C4C3F1C111}"/>
    <cellStyle name="40% - Énfasis2 25 2" xfId="808" xr:uid="{B9F19C4D-DCCC-4569-B36E-FEF1B19F93BC}"/>
    <cellStyle name="40% - Énfasis2 26" xfId="300" xr:uid="{7AFF0845-49A3-47AE-BF7E-4B6D4BCB287E}"/>
    <cellStyle name="40% - Énfasis2 26 2" xfId="809" xr:uid="{7B329E6B-BBD8-4F1B-8E0B-49E676A69869}"/>
    <cellStyle name="40% - Énfasis2 27" xfId="301" xr:uid="{EC2D35E1-70D5-460F-9F19-F8FF386CE2C9}"/>
    <cellStyle name="40% - Énfasis2 27 2" xfId="810" xr:uid="{7EDF81EF-B74E-4C64-8EDF-6F09869AC938}"/>
    <cellStyle name="40% - Énfasis2 28" xfId="302" xr:uid="{EF178BCD-CD36-412E-BAA8-6E16EF185974}"/>
    <cellStyle name="40% - Énfasis2 28 2" xfId="811" xr:uid="{9E8D767F-3573-460F-9EEC-1738FCC059F6}"/>
    <cellStyle name="40% - Énfasis2 29" xfId="303" xr:uid="{65B83162-89E7-494C-BC4F-B1B2E8200AF4}"/>
    <cellStyle name="40% - Énfasis2 29 2" xfId="812" xr:uid="{73F3FAC5-FD05-426D-B424-C6A924A9C355}"/>
    <cellStyle name="40% - Énfasis2 3" xfId="304" xr:uid="{702571F4-0C93-41EA-A7DF-CBF737A1CEA0}"/>
    <cellStyle name="40% - Énfasis2 3 2" xfId="813" xr:uid="{36C4260B-9878-476D-8343-C143ABDC39D3}"/>
    <cellStyle name="40% - Énfasis2 30" xfId="305" xr:uid="{E3D032EC-708E-4085-A94E-E380E0A30E1C}"/>
    <cellStyle name="40% - Énfasis2 30 2" xfId="814" xr:uid="{2426C755-6E5E-4E57-B5CD-FBDFB4D9C1D9}"/>
    <cellStyle name="40% - Énfasis2 31" xfId="306" xr:uid="{01E0D856-FF21-483D-BDF2-101E6AD523C3}"/>
    <cellStyle name="40% - Énfasis2 31 2" xfId="815" xr:uid="{69583CE4-549C-4042-8A20-D81050BD3637}"/>
    <cellStyle name="40% - Énfasis2 32" xfId="307" xr:uid="{79E15694-0A86-4F95-AEA7-FF14067D3197}"/>
    <cellStyle name="40% - Énfasis2 32 2" xfId="816" xr:uid="{BE658C92-DE3E-4E7D-905D-065780B1DF55}"/>
    <cellStyle name="40% - Énfasis2 33" xfId="308" xr:uid="{A24C3B32-54C9-4D35-9874-15661A625302}"/>
    <cellStyle name="40% - Énfasis2 33 2" xfId="817" xr:uid="{91CD7CAD-25CB-4C59-814F-8BE5C8AC465F}"/>
    <cellStyle name="40% - Énfasis2 34" xfId="309" xr:uid="{0FD0F93A-9BAA-4139-99A4-67D52F73A8F9}"/>
    <cellStyle name="40% - Énfasis2 34 2" xfId="818" xr:uid="{9D1BF4EB-588D-4ADA-AE93-BA3F76F9EFE1}"/>
    <cellStyle name="40% - Énfasis2 4" xfId="310" xr:uid="{ED53BCB8-9DE7-466E-A5A9-94C1697FD74F}"/>
    <cellStyle name="40% - Énfasis2 4 2" xfId="819" xr:uid="{81CF931E-2880-4198-A374-3101D4677933}"/>
    <cellStyle name="40% - Énfasis2 5" xfId="311" xr:uid="{26C0FA14-465B-4322-AF6B-D1FD8AEE4F69}"/>
    <cellStyle name="40% - Énfasis2 5 2" xfId="820" xr:uid="{111D8CA6-3027-431C-87A6-62BAB04C1D20}"/>
    <cellStyle name="40% - Énfasis2 6" xfId="312" xr:uid="{5052FCE2-8197-4CF9-AFF0-9BE1A7F2B6A9}"/>
    <cellStyle name="40% - Énfasis2 6 2" xfId="821" xr:uid="{D58FE501-2168-47E8-A855-9239CFB3478E}"/>
    <cellStyle name="40% - Énfasis2 7" xfId="313" xr:uid="{D9BF2B7F-F5A5-4096-909B-42CB2983E90D}"/>
    <cellStyle name="40% - Énfasis2 7 2" xfId="822" xr:uid="{5AF921E0-3104-42DC-88B7-4CD29079F279}"/>
    <cellStyle name="40% - Énfasis2 8" xfId="314" xr:uid="{3CE5B394-5ADC-4282-A7AB-BDBF6DB08BB1}"/>
    <cellStyle name="40% - Énfasis2 8 2" xfId="823" xr:uid="{2C6C9D16-DBC6-4538-9920-89292C75CF13}"/>
    <cellStyle name="40% - Énfasis2 9" xfId="315" xr:uid="{177924E8-845C-49E5-960D-CE1A08901649}"/>
    <cellStyle name="40% - Énfasis2 9 2" xfId="824" xr:uid="{3F5BFEE0-C8B5-4B4F-BB87-A0BBADC6C13B}"/>
    <cellStyle name="40% - Énfasis3" xfId="28" builtinId="39" customBuiltin="1"/>
    <cellStyle name="40% - Énfasis3 10" xfId="316" xr:uid="{FD495BF6-0223-4DD6-9544-A05514532FF0}"/>
    <cellStyle name="40% - Énfasis3 10 2" xfId="825" xr:uid="{76A0D133-D042-49EB-92A4-D10108B32509}"/>
    <cellStyle name="40% - Énfasis3 11" xfId="317" xr:uid="{FAB807A3-363E-4218-A81A-576AABA65C37}"/>
    <cellStyle name="40% - Énfasis3 11 2" xfId="826" xr:uid="{C68BB9BA-38EB-4191-BD54-45AF5E059FAA}"/>
    <cellStyle name="40% - Énfasis3 12" xfId="318" xr:uid="{B3FC15EC-1C0D-4FBF-A446-73824E4499E7}"/>
    <cellStyle name="40% - Énfasis3 12 2" xfId="827" xr:uid="{C9E6F1DE-CFD5-4AFC-97A6-EED063D63F20}"/>
    <cellStyle name="40% - Énfasis3 13" xfId="319" xr:uid="{D24036EF-FDF9-4CEA-A5D3-9C8B4720339A}"/>
    <cellStyle name="40% - Énfasis3 13 2" xfId="828" xr:uid="{C84090B3-3BD9-4874-B6E0-59FE4BB20263}"/>
    <cellStyle name="40% - Énfasis3 14" xfId="320" xr:uid="{04913CF5-5D07-4E9D-9669-A457351999F2}"/>
    <cellStyle name="40% - Énfasis3 14 2" xfId="829" xr:uid="{E7DB6B66-510C-48ED-AB1F-4F8C5B35D4DF}"/>
    <cellStyle name="40% - Énfasis3 15" xfId="321" xr:uid="{988E0238-A2DF-4904-A070-6891F0A5D51B}"/>
    <cellStyle name="40% - Énfasis3 15 2" xfId="830" xr:uid="{D5555B58-ACBF-4C66-836B-C9D3E22D10FD}"/>
    <cellStyle name="40% - Énfasis3 16" xfId="322" xr:uid="{FA5F1DD1-2E27-4F41-A56B-08F8F3F5126A}"/>
    <cellStyle name="40% - Énfasis3 16 2" xfId="831" xr:uid="{3EDEF7CE-B3A1-4C45-B6DE-9EA79A1F6389}"/>
    <cellStyle name="40% - Énfasis3 17" xfId="323" xr:uid="{E7BC0C3C-786E-4AE9-9013-4F46195B4F65}"/>
    <cellStyle name="40% - Énfasis3 17 2" xfId="832" xr:uid="{5281AC53-44DE-4775-8D76-5A1436FFD818}"/>
    <cellStyle name="40% - Énfasis3 18" xfId="324" xr:uid="{11855A99-BDBB-4B51-B9F0-4F7122F1AAE1}"/>
    <cellStyle name="40% - Énfasis3 18 2" xfId="833" xr:uid="{7E55F2AA-A5AF-49DF-B607-36F237796301}"/>
    <cellStyle name="40% - Énfasis3 19" xfId="325" xr:uid="{F4D11992-8C79-4E14-BB13-DA8A8CC16412}"/>
    <cellStyle name="40% - Énfasis3 19 2" xfId="834" xr:uid="{E06F9622-17EB-46E0-B2FB-8D92B2F4B178}"/>
    <cellStyle name="40% - Énfasis3 2" xfId="326" xr:uid="{DD8D8167-8CF4-4D34-895E-0C5116819C6B}"/>
    <cellStyle name="40% - Énfasis3 2 2" xfId="835" xr:uid="{703188E1-F90D-46C9-B373-D1E18C8C43FC}"/>
    <cellStyle name="40% - Énfasis3 20" xfId="327" xr:uid="{2C6A1A2D-AD37-4674-A328-566C5747A621}"/>
    <cellStyle name="40% - Énfasis3 20 2" xfId="836" xr:uid="{0A24CA05-6968-48E9-BDCE-46F207387BF8}"/>
    <cellStyle name="40% - Énfasis3 21" xfId="328" xr:uid="{40E7EC2A-B265-471D-85F9-878EAE151530}"/>
    <cellStyle name="40% - Énfasis3 21 2" xfId="837" xr:uid="{4EEB0548-FAC2-4DD4-B4BC-C6968997C5E0}"/>
    <cellStyle name="40% - Énfasis3 22" xfId="329" xr:uid="{8C08C7C0-9923-4809-ACFB-8315B38F8AE4}"/>
    <cellStyle name="40% - Énfasis3 22 2" xfId="838" xr:uid="{36A7AB4E-2B16-420A-89D4-BCD20A744BD5}"/>
    <cellStyle name="40% - Énfasis3 23" xfId="330" xr:uid="{EC8B2D5F-A058-439F-B451-2747C35D532E}"/>
    <cellStyle name="40% - Énfasis3 23 2" xfId="839" xr:uid="{F55FEF39-4253-4BF4-B982-07254F62AA11}"/>
    <cellStyle name="40% - Énfasis3 24" xfId="331" xr:uid="{54BFA9A6-46E9-408E-8414-CE635F08E09A}"/>
    <cellStyle name="40% - Énfasis3 24 2" xfId="840" xr:uid="{53A49C26-0F99-44CA-9C8B-6711F7AA1978}"/>
    <cellStyle name="40% - Énfasis3 25" xfId="332" xr:uid="{B3D46240-D8BA-46A9-8493-450DECCD17C7}"/>
    <cellStyle name="40% - Énfasis3 25 2" xfId="841" xr:uid="{D4161F08-F013-43A0-8909-08F366293644}"/>
    <cellStyle name="40% - Énfasis3 26" xfId="333" xr:uid="{8B13E3DE-08EA-42C5-8E26-2EF5B74AE426}"/>
    <cellStyle name="40% - Énfasis3 26 2" xfId="842" xr:uid="{2A7FDBF9-F88D-4CD2-8DD3-1FF925EE10C5}"/>
    <cellStyle name="40% - Énfasis3 27" xfId="334" xr:uid="{77C170C7-A09E-44A1-8D5E-965D8C195AB2}"/>
    <cellStyle name="40% - Énfasis3 27 2" xfId="843" xr:uid="{5B302858-E00D-4FC4-86C6-878E273CA265}"/>
    <cellStyle name="40% - Énfasis3 28" xfId="335" xr:uid="{BF93330D-9E14-478A-ABC0-8BC54C4D6C68}"/>
    <cellStyle name="40% - Énfasis3 28 2" xfId="844" xr:uid="{FD162951-3D88-4443-A155-663B73C27ECB}"/>
    <cellStyle name="40% - Énfasis3 29" xfId="336" xr:uid="{E20F31A8-C4DF-43A3-8E13-281A6D1D00E4}"/>
    <cellStyle name="40% - Énfasis3 29 2" xfId="845" xr:uid="{39D2E388-6321-4DE2-AF0B-24B2AAD30612}"/>
    <cellStyle name="40% - Énfasis3 3" xfId="337" xr:uid="{03E17042-699C-4B4E-A72D-1B160F07A78C}"/>
    <cellStyle name="40% - Énfasis3 3 2" xfId="846" xr:uid="{9A7B4F56-9992-4193-B7AA-70B5AE95B8FA}"/>
    <cellStyle name="40% - Énfasis3 30" xfId="338" xr:uid="{A0DF7A12-9921-441C-A8D6-62857EC6212E}"/>
    <cellStyle name="40% - Énfasis3 30 2" xfId="847" xr:uid="{5B9405D8-7F7B-4B6C-9F33-E5AFCCA645C7}"/>
    <cellStyle name="40% - Énfasis3 31" xfId="339" xr:uid="{8618DCA5-43FF-40C8-A146-C233BC096A04}"/>
    <cellStyle name="40% - Énfasis3 31 2" xfId="848" xr:uid="{6933A1A1-43C9-493B-A99E-2A039769EB11}"/>
    <cellStyle name="40% - Énfasis3 32" xfId="340" xr:uid="{3DAA90D4-B582-4A5E-9BFA-58E8ABFD7EAF}"/>
    <cellStyle name="40% - Énfasis3 32 2" xfId="849" xr:uid="{34CCFA0F-4D72-4D1C-AF37-4F868488721B}"/>
    <cellStyle name="40% - Énfasis3 33" xfId="341" xr:uid="{273EDF99-2446-46BC-9667-FB58FDC5D40D}"/>
    <cellStyle name="40% - Énfasis3 33 2" xfId="850" xr:uid="{AC6EC4E5-D254-475C-801E-91FCBAD665B8}"/>
    <cellStyle name="40% - Énfasis3 34" xfId="342" xr:uid="{B1365C33-0497-4EAF-B14E-8DCCABDFBBF7}"/>
    <cellStyle name="40% - Énfasis3 34 2" xfId="851" xr:uid="{400B706D-074E-4497-A6C7-98F066909D54}"/>
    <cellStyle name="40% - Énfasis3 4" xfId="343" xr:uid="{29EF08B6-1F83-4CE1-937B-4C5C1221484B}"/>
    <cellStyle name="40% - Énfasis3 4 2" xfId="852" xr:uid="{34BAC6D1-281C-44A2-A802-2C28572D5EFB}"/>
    <cellStyle name="40% - Énfasis3 5" xfId="344" xr:uid="{E2117C35-80D7-4C18-BB33-93D5B3C39859}"/>
    <cellStyle name="40% - Énfasis3 5 2" xfId="853" xr:uid="{E8F62D8E-B484-4AA7-B111-EF1DB352EB35}"/>
    <cellStyle name="40% - Énfasis3 6" xfId="345" xr:uid="{25B68F3F-04B5-4B84-BCDC-33FEE05EB500}"/>
    <cellStyle name="40% - Énfasis3 6 2" xfId="854" xr:uid="{A78DA881-1A5A-40D0-A551-4C2261196833}"/>
    <cellStyle name="40% - Énfasis3 7" xfId="346" xr:uid="{157285A0-070E-4B8F-8FA9-C77031DA55AC}"/>
    <cellStyle name="40% - Énfasis3 7 2" xfId="855" xr:uid="{F6597855-89B3-4CDF-A5B1-E397B2EB4A9A}"/>
    <cellStyle name="40% - Énfasis3 8" xfId="347" xr:uid="{3871BEB2-347B-4059-913F-287AE34CBD4C}"/>
    <cellStyle name="40% - Énfasis3 8 2" xfId="856" xr:uid="{C327CC47-F20E-4DF1-BC2F-3A2894B186B6}"/>
    <cellStyle name="40% - Énfasis3 9" xfId="348" xr:uid="{116254D2-3FFD-4F2C-ADAD-2C3137F8268E}"/>
    <cellStyle name="40% - Énfasis3 9 2" xfId="857" xr:uid="{0CF47047-B32D-4299-87F9-779CA17787F5}"/>
    <cellStyle name="40% - Énfasis4" xfId="31" builtinId="43" customBuiltin="1"/>
    <cellStyle name="40% - Énfasis4 10" xfId="349" xr:uid="{1B243840-B490-40A8-AD22-8C430E6AC93E}"/>
    <cellStyle name="40% - Énfasis4 10 2" xfId="858" xr:uid="{5A0134C0-7E51-487D-83F5-21D02B81BA0F}"/>
    <cellStyle name="40% - Énfasis4 11" xfId="350" xr:uid="{6C8DA8A0-1D56-42C8-962C-240A4B3569E7}"/>
    <cellStyle name="40% - Énfasis4 11 2" xfId="859" xr:uid="{3B65575D-F32F-407F-95FB-1B3B8B590757}"/>
    <cellStyle name="40% - Énfasis4 12" xfId="351" xr:uid="{6056D33F-1BCA-4A8B-80CB-B31D7609CE0B}"/>
    <cellStyle name="40% - Énfasis4 12 2" xfId="860" xr:uid="{CFB9D23F-4FBE-4E41-A638-D1835FD47F6B}"/>
    <cellStyle name="40% - Énfasis4 13" xfId="352" xr:uid="{23CD0544-1249-4F0D-B401-127B65425569}"/>
    <cellStyle name="40% - Énfasis4 13 2" xfId="861" xr:uid="{0413431C-6926-4B47-B116-065FD0378768}"/>
    <cellStyle name="40% - Énfasis4 14" xfId="353" xr:uid="{9C63C018-7FBA-4792-B8F3-6D9001EDB821}"/>
    <cellStyle name="40% - Énfasis4 14 2" xfId="862" xr:uid="{ABF78351-8849-45C0-972C-F7D2220F7C9D}"/>
    <cellStyle name="40% - Énfasis4 15" xfId="354" xr:uid="{D048A403-D292-423A-9BEC-CA4FA951255F}"/>
    <cellStyle name="40% - Énfasis4 15 2" xfId="863" xr:uid="{4AD720A8-7583-41BB-AAA5-982350769349}"/>
    <cellStyle name="40% - Énfasis4 16" xfId="355" xr:uid="{2D41092D-ED26-477B-82D7-449682792114}"/>
    <cellStyle name="40% - Énfasis4 16 2" xfId="864" xr:uid="{62D0D1F8-AA1F-4A12-9591-3794DD2B70FE}"/>
    <cellStyle name="40% - Énfasis4 17" xfId="356" xr:uid="{FA1A1CC2-DC50-4363-931E-CE856A3FD344}"/>
    <cellStyle name="40% - Énfasis4 17 2" xfId="865" xr:uid="{C45729DA-6874-4401-90A5-63321CE4DA61}"/>
    <cellStyle name="40% - Énfasis4 18" xfId="357" xr:uid="{001FC373-2E2E-4BEF-A50E-07FC0E1F67EB}"/>
    <cellStyle name="40% - Énfasis4 18 2" xfId="866" xr:uid="{DADE01E0-D85B-4D9D-8EC8-8DA497A34E63}"/>
    <cellStyle name="40% - Énfasis4 19" xfId="358" xr:uid="{45F42B12-AC3C-493C-808D-F3FE3E33F00B}"/>
    <cellStyle name="40% - Énfasis4 19 2" xfId="867" xr:uid="{E98DE1E6-8BA3-460A-B3A6-51D64EDC1509}"/>
    <cellStyle name="40% - Énfasis4 2" xfId="359" xr:uid="{150A5201-91F8-4D20-B0E2-ADF5A4A585A9}"/>
    <cellStyle name="40% - Énfasis4 2 2" xfId="868" xr:uid="{5B618725-067F-45F0-95AB-CE7BFF581A29}"/>
    <cellStyle name="40% - Énfasis4 20" xfId="360" xr:uid="{993C36AF-F9D2-43C2-AF9E-68727876FD1F}"/>
    <cellStyle name="40% - Énfasis4 20 2" xfId="869" xr:uid="{4DF8ADC8-FC8B-4450-870E-DC8FD9F2ED26}"/>
    <cellStyle name="40% - Énfasis4 21" xfId="361" xr:uid="{83EB880D-ED15-45A5-AE5F-3FBE4AB19DB3}"/>
    <cellStyle name="40% - Énfasis4 21 2" xfId="870" xr:uid="{B6A237A8-700E-42D1-8E90-B92FC9A54DED}"/>
    <cellStyle name="40% - Énfasis4 22" xfId="362" xr:uid="{D2C3A96C-A898-41F5-8BB6-EC9B82535ECE}"/>
    <cellStyle name="40% - Énfasis4 22 2" xfId="871" xr:uid="{7F154593-A730-4011-9994-2E6CCD3EA4FD}"/>
    <cellStyle name="40% - Énfasis4 23" xfId="363" xr:uid="{37844D20-C028-4502-ADAC-F4360F1E1F1C}"/>
    <cellStyle name="40% - Énfasis4 23 2" xfId="872" xr:uid="{1B1D733A-4082-4ED7-B84B-932C4135C4F0}"/>
    <cellStyle name="40% - Énfasis4 24" xfId="364" xr:uid="{68713605-71AC-4A1E-ACD1-8E8CD500F982}"/>
    <cellStyle name="40% - Énfasis4 24 2" xfId="873" xr:uid="{8A2B6B2B-8AEB-4E21-A4F2-451CAD6E0325}"/>
    <cellStyle name="40% - Énfasis4 25" xfId="365" xr:uid="{CFD20454-54BA-431C-9635-1E911ACEDA73}"/>
    <cellStyle name="40% - Énfasis4 25 2" xfId="874" xr:uid="{4CEF9719-AC5F-487F-9A1E-B819A9047C99}"/>
    <cellStyle name="40% - Énfasis4 26" xfId="366" xr:uid="{B1273AC1-D706-4435-A075-F3FAC2FAD398}"/>
    <cellStyle name="40% - Énfasis4 26 2" xfId="875" xr:uid="{29191728-AD61-4D41-8C79-96429BEA22FC}"/>
    <cellStyle name="40% - Énfasis4 27" xfId="367" xr:uid="{04E43B7B-5C79-4129-99C0-015221FBFFFF}"/>
    <cellStyle name="40% - Énfasis4 27 2" xfId="876" xr:uid="{F780164F-696B-4A49-A261-346EEEDA9A6A}"/>
    <cellStyle name="40% - Énfasis4 28" xfId="368" xr:uid="{BAEE88EE-0FA5-4FAE-9229-1F5F7C0B62A2}"/>
    <cellStyle name="40% - Énfasis4 28 2" xfId="877" xr:uid="{7E4DA304-C312-4445-9757-98871074C41C}"/>
    <cellStyle name="40% - Énfasis4 29" xfId="369" xr:uid="{AFC3C353-51C9-495C-898E-39F50B516328}"/>
    <cellStyle name="40% - Énfasis4 29 2" xfId="878" xr:uid="{5F04A3E9-1D8F-4594-8C83-44B6A939A95C}"/>
    <cellStyle name="40% - Énfasis4 3" xfId="370" xr:uid="{C2DE40FD-8A20-499A-8E4C-4B3A63E32FC0}"/>
    <cellStyle name="40% - Énfasis4 3 2" xfId="879" xr:uid="{C285F689-6D81-4BC0-8D9D-17DB1C1084E7}"/>
    <cellStyle name="40% - Énfasis4 30" xfId="371" xr:uid="{9097E167-658E-4F06-AB45-AF5F20C39714}"/>
    <cellStyle name="40% - Énfasis4 30 2" xfId="880" xr:uid="{055F5ACC-E251-4386-BB82-EF77A4E47396}"/>
    <cellStyle name="40% - Énfasis4 31" xfId="372" xr:uid="{FA8CC4DE-8E22-4E55-9EDD-DD91F2A6BEE7}"/>
    <cellStyle name="40% - Énfasis4 31 2" xfId="881" xr:uid="{9ECB9A9F-9ED8-4895-AD54-90CEAE4DCE58}"/>
    <cellStyle name="40% - Énfasis4 32" xfId="373" xr:uid="{F369B59B-2A62-499B-BAFC-692A60D0AE48}"/>
    <cellStyle name="40% - Énfasis4 32 2" xfId="882" xr:uid="{5A7D2C53-DBF6-4215-9CDB-0ADF53EA7C65}"/>
    <cellStyle name="40% - Énfasis4 33" xfId="374" xr:uid="{030162EC-C6FE-4978-BEBE-B2FCD04E9CDA}"/>
    <cellStyle name="40% - Énfasis4 33 2" xfId="883" xr:uid="{A41EBA46-5669-4DB5-AB28-402EF3C171F0}"/>
    <cellStyle name="40% - Énfasis4 34" xfId="375" xr:uid="{C7E54356-3DD5-411B-822A-8ADA60A896BE}"/>
    <cellStyle name="40% - Énfasis4 34 2" xfId="884" xr:uid="{64666196-AF35-4B2D-8EE4-5D15679468BC}"/>
    <cellStyle name="40% - Énfasis4 4" xfId="376" xr:uid="{71BC84B9-1676-44DF-BDF6-FE9F8BCABDED}"/>
    <cellStyle name="40% - Énfasis4 4 2" xfId="885" xr:uid="{2D9C54AB-FBB6-4ACA-92F1-F11C48A245FA}"/>
    <cellStyle name="40% - Énfasis4 5" xfId="377" xr:uid="{E683196B-3FF4-406E-B49C-52ED20A5D150}"/>
    <cellStyle name="40% - Énfasis4 5 2" xfId="886" xr:uid="{7CC7E1A3-37BB-4C00-BC49-17909E185B83}"/>
    <cellStyle name="40% - Énfasis4 6" xfId="378" xr:uid="{62088EDA-1C98-45D3-9DAF-75EEDE5527F9}"/>
    <cellStyle name="40% - Énfasis4 6 2" xfId="887" xr:uid="{74700555-F6C7-481B-AA2D-0E816B8B41D9}"/>
    <cellStyle name="40% - Énfasis4 7" xfId="379" xr:uid="{CE295E21-FDF5-48AE-84FC-FB76CA2ACFC5}"/>
    <cellStyle name="40% - Énfasis4 7 2" xfId="888" xr:uid="{0D463047-6125-4B31-A787-D311E1B42CDB}"/>
    <cellStyle name="40% - Énfasis4 8" xfId="380" xr:uid="{D163EDF3-5A7E-4204-835C-2D92ACD726FF}"/>
    <cellStyle name="40% - Énfasis4 8 2" xfId="889" xr:uid="{46D0B618-D223-4BBD-A502-48173F8C262D}"/>
    <cellStyle name="40% - Énfasis4 9" xfId="381" xr:uid="{B327D349-8C17-43C2-AE42-A6C48532BC8D}"/>
    <cellStyle name="40% - Énfasis4 9 2" xfId="890" xr:uid="{8C2C8205-60A7-4B60-9BB4-8ABB4D9448DA}"/>
    <cellStyle name="40% - Énfasis5" xfId="34" builtinId="47" customBuiltin="1"/>
    <cellStyle name="40% - Énfasis5 10" xfId="382" xr:uid="{5AD184F9-7D6E-401C-8A3A-FA4CF1B7D99D}"/>
    <cellStyle name="40% - Énfasis5 10 2" xfId="891" xr:uid="{1664A957-5127-4107-BF90-F21F89E8548E}"/>
    <cellStyle name="40% - Énfasis5 11" xfId="383" xr:uid="{F6B6F151-D999-4D04-907F-CB926D84469A}"/>
    <cellStyle name="40% - Énfasis5 11 2" xfId="892" xr:uid="{DC240EB8-0F21-4587-B8DD-F5C0F32DB214}"/>
    <cellStyle name="40% - Énfasis5 12" xfId="384" xr:uid="{174D21E4-4C37-4443-9F11-854DCA3E7535}"/>
    <cellStyle name="40% - Énfasis5 12 2" xfId="893" xr:uid="{A290B582-7DB6-455D-8DBB-152CAB50CFC2}"/>
    <cellStyle name="40% - Énfasis5 13" xfId="385" xr:uid="{331B0839-246C-44F0-84D5-291E577F712D}"/>
    <cellStyle name="40% - Énfasis5 13 2" xfId="894" xr:uid="{BF69EC67-9213-4936-9355-F53B85AD15C9}"/>
    <cellStyle name="40% - Énfasis5 14" xfId="386" xr:uid="{802EB037-175B-41EB-819F-AD6A017FEA7D}"/>
    <cellStyle name="40% - Énfasis5 14 2" xfId="895" xr:uid="{D2A7EE4F-4480-454A-BA98-4ECCBEC78C3D}"/>
    <cellStyle name="40% - Énfasis5 15" xfId="387" xr:uid="{024C55B0-3C18-459B-9B5B-97579A65B0A2}"/>
    <cellStyle name="40% - Énfasis5 15 2" xfId="896" xr:uid="{BC4DC78C-E7FD-41B7-BBB4-FDA58575040B}"/>
    <cellStyle name="40% - Énfasis5 16" xfId="388" xr:uid="{FEE27167-17C2-4699-8B0C-2EB1D15A85E2}"/>
    <cellStyle name="40% - Énfasis5 16 2" xfId="897" xr:uid="{8B715B44-BC8B-49E2-81DD-7F2A98ABBEA4}"/>
    <cellStyle name="40% - Énfasis5 17" xfId="389" xr:uid="{E1225C03-50F5-4811-BDB8-BA722A65C296}"/>
    <cellStyle name="40% - Énfasis5 17 2" xfId="898" xr:uid="{56A9E71E-0471-428A-AE5F-62D854F4EE58}"/>
    <cellStyle name="40% - Énfasis5 18" xfId="390" xr:uid="{004B93BF-8CFE-42AE-89FE-CF9D47670354}"/>
    <cellStyle name="40% - Énfasis5 18 2" xfId="899" xr:uid="{F611F7BE-3893-4FD4-B218-6A47071029E0}"/>
    <cellStyle name="40% - Énfasis5 19" xfId="391" xr:uid="{7945DAB4-47C0-4498-B2DB-15FC29BFC4F4}"/>
    <cellStyle name="40% - Énfasis5 19 2" xfId="900" xr:uid="{07044323-0F67-40DF-8572-3E83AF1B17F5}"/>
    <cellStyle name="40% - Énfasis5 2" xfId="392" xr:uid="{5DA6CAA1-A114-4BB0-BCD0-A4198F15C6AE}"/>
    <cellStyle name="40% - Énfasis5 2 2" xfId="901" xr:uid="{3551FD14-2E6B-476E-8CF9-22346BB10DF6}"/>
    <cellStyle name="40% - Énfasis5 20" xfId="393" xr:uid="{E020D97D-3B02-48E5-8498-AF7E563E822C}"/>
    <cellStyle name="40% - Énfasis5 20 2" xfId="902" xr:uid="{87CE7595-35E2-457A-98FD-45D2F14F31F0}"/>
    <cellStyle name="40% - Énfasis5 21" xfId="394" xr:uid="{BFD188ED-A0C6-4FAF-B980-5328565A220D}"/>
    <cellStyle name="40% - Énfasis5 21 2" xfId="903" xr:uid="{8CE08939-10FF-45C6-B9FE-00E4A55DAA1D}"/>
    <cellStyle name="40% - Énfasis5 22" xfId="395" xr:uid="{94F5A08B-2332-420B-957D-3099B13B0C11}"/>
    <cellStyle name="40% - Énfasis5 22 2" xfId="904" xr:uid="{4E986C7B-F6D8-4795-B0BD-BB22880838B8}"/>
    <cellStyle name="40% - Énfasis5 23" xfId="396" xr:uid="{31690F1D-4E83-4027-93DE-25C5C61779ED}"/>
    <cellStyle name="40% - Énfasis5 23 2" xfId="905" xr:uid="{54FE45D9-AC5E-4310-90CF-362EE19E6492}"/>
    <cellStyle name="40% - Énfasis5 24" xfId="397" xr:uid="{86F3008B-5CAA-4BC9-8CAB-E8ADA5163F45}"/>
    <cellStyle name="40% - Énfasis5 24 2" xfId="906" xr:uid="{DDCCDFC8-58FB-4E91-BDDE-7AAA1B967413}"/>
    <cellStyle name="40% - Énfasis5 25" xfId="398" xr:uid="{0CB65FAC-E260-4456-BB90-12A6B21BCBDC}"/>
    <cellStyle name="40% - Énfasis5 25 2" xfId="907" xr:uid="{9D6E3284-723B-43AF-B6EC-893143B02E88}"/>
    <cellStyle name="40% - Énfasis5 26" xfId="399" xr:uid="{3B3288F1-B1C8-496E-A707-587BB09C4105}"/>
    <cellStyle name="40% - Énfasis5 26 2" xfId="908" xr:uid="{611E0880-B8B5-49B2-8BFB-A91B9A65B327}"/>
    <cellStyle name="40% - Énfasis5 27" xfId="400" xr:uid="{E906D279-B904-4D35-9364-51F7412FBDDE}"/>
    <cellStyle name="40% - Énfasis5 27 2" xfId="909" xr:uid="{BED640A3-151D-4F55-AE7F-160D148B1CFE}"/>
    <cellStyle name="40% - Énfasis5 28" xfId="401" xr:uid="{591E254D-B237-48E5-88A3-4A766B151AAD}"/>
    <cellStyle name="40% - Énfasis5 28 2" xfId="910" xr:uid="{F95B127F-2E67-4A9A-BE9F-D5D19C354552}"/>
    <cellStyle name="40% - Énfasis5 29" xfId="402" xr:uid="{00D9A1E2-5C0E-43BB-8590-133908055B7E}"/>
    <cellStyle name="40% - Énfasis5 29 2" xfId="911" xr:uid="{AC302E37-EF8F-48AB-907C-E5BDC413FD25}"/>
    <cellStyle name="40% - Énfasis5 3" xfId="403" xr:uid="{6AD80F59-9BCC-48D8-A9B0-115E0A487B7D}"/>
    <cellStyle name="40% - Énfasis5 3 2" xfId="912" xr:uid="{8BAC4269-EC97-4721-8CA2-3BF5DF7AF58F}"/>
    <cellStyle name="40% - Énfasis5 30" xfId="404" xr:uid="{C4D8168F-CB6B-4E40-9EC7-0F544B13D04C}"/>
    <cellStyle name="40% - Énfasis5 30 2" xfId="913" xr:uid="{9525E806-F6DA-45D1-B748-CDC9B533FB8A}"/>
    <cellStyle name="40% - Énfasis5 31" xfId="405" xr:uid="{722E3195-A4A3-4E40-A810-7BCA8E420024}"/>
    <cellStyle name="40% - Énfasis5 31 2" xfId="914" xr:uid="{B17D1343-F92A-452B-B3C1-CD495A9B91B6}"/>
    <cellStyle name="40% - Énfasis5 32" xfId="406" xr:uid="{7EF7908D-95A5-48BE-A229-83581D91CA95}"/>
    <cellStyle name="40% - Énfasis5 32 2" xfId="915" xr:uid="{0AD4EF85-7050-495E-9DF1-941F767BE619}"/>
    <cellStyle name="40% - Énfasis5 33" xfId="407" xr:uid="{A7C8DFCB-BB15-4FD7-BCB7-77333A0EA742}"/>
    <cellStyle name="40% - Énfasis5 33 2" xfId="916" xr:uid="{BE6B039A-6C6D-4FD9-9377-611BB4563519}"/>
    <cellStyle name="40% - Énfasis5 34" xfId="408" xr:uid="{229AEE1A-9D60-4F69-AAD3-38F984CCA4D7}"/>
    <cellStyle name="40% - Énfasis5 34 2" xfId="917" xr:uid="{9AB83254-C248-468E-8E3D-86B3CDBA4E8C}"/>
    <cellStyle name="40% - Énfasis5 4" xfId="409" xr:uid="{AB0ABC46-E1B5-4BDD-BD06-C73D05DBD8CD}"/>
    <cellStyle name="40% - Énfasis5 4 2" xfId="918" xr:uid="{DBD001A6-349A-485A-BC93-47383CB81DCF}"/>
    <cellStyle name="40% - Énfasis5 5" xfId="410" xr:uid="{050AFA40-8D93-4152-B9B2-25372B083BA0}"/>
    <cellStyle name="40% - Énfasis5 5 2" xfId="919" xr:uid="{EA09B0B2-3FBC-4313-9E71-31525511C35A}"/>
    <cellStyle name="40% - Énfasis5 6" xfId="411" xr:uid="{303686B9-394C-46DA-B512-E3B20E0FFB3B}"/>
    <cellStyle name="40% - Énfasis5 6 2" xfId="920" xr:uid="{EE8EF3D5-760C-4A0D-9CB5-96B8ECA629CB}"/>
    <cellStyle name="40% - Énfasis5 7" xfId="412" xr:uid="{68BACAC7-8567-4FB8-A131-E93A53A27B09}"/>
    <cellStyle name="40% - Énfasis5 7 2" xfId="921" xr:uid="{9FAFBF80-A523-4F03-BD53-FF7292C88182}"/>
    <cellStyle name="40% - Énfasis5 8" xfId="413" xr:uid="{4F9A3D73-E3A5-43A9-9ADB-05B3A2DBAB83}"/>
    <cellStyle name="40% - Énfasis5 8 2" xfId="922" xr:uid="{4CA23445-C3FC-4204-84A3-CEAD0F55E264}"/>
    <cellStyle name="40% - Énfasis5 9" xfId="414" xr:uid="{A5E81FAA-49C4-406C-8470-B756D06A3F3B}"/>
    <cellStyle name="40% - Énfasis5 9 2" xfId="923" xr:uid="{E334F094-9D64-451A-902C-0EFE0020E023}"/>
    <cellStyle name="40% - Énfasis6" xfId="37" builtinId="51" customBuiltin="1"/>
    <cellStyle name="40% - Énfasis6 10" xfId="415" xr:uid="{FA3A4B7B-2EA0-42A8-B185-F1F0890FFA1B}"/>
    <cellStyle name="40% - Énfasis6 10 2" xfId="924" xr:uid="{DD941E73-0073-475D-8DA3-6F9AE6ACBCD5}"/>
    <cellStyle name="40% - Énfasis6 11" xfId="416" xr:uid="{74E490CF-748A-44D3-8449-6DA155C81A63}"/>
    <cellStyle name="40% - Énfasis6 11 2" xfId="925" xr:uid="{179CA611-DAE1-4FC9-B256-EED6ACE28C3B}"/>
    <cellStyle name="40% - Énfasis6 12" xfId="417" xr:uid="{C5383D53-1FBE-4FA0-87B3-7C676D1E36CE}"/>
    <cellStyle name="40% - Énfasis6 12 2" xfId="926" xr:uid="{43184192-290D-4462-8093-3986F20A8A53}"/>
    <cellStyle name="40% - Énfasis6 13" xfId="418" xr:uid="{6A66AA7A-4C7B-4A6B-93E1-2A78AED549BC}"/>
    <cellStyle name="40% - Énfasis6 13 2" xfId="927" xr:uid="{2EE30C39-4A2F-4A7C-88EA-5ED9852FC472}"/>
    <cellStyle name="40% - Énfasis6 14" xfId="419" xr:uid="{BDE16584-0765-4F47-A970-387197E7BA3F}"/>
    <cellStyle name="40% - Énfasis6 14 2" xfId="928" xr:uid="{C3883EA3-7ABF-4211-8738-B6776E9A331A}"/>
    <cellStyle name="40% - Énfasis6 15" xfId="420" xr:uid="{307949D1-2E53-4837-8997-5E7A4461B46B}"/>
    <cellStyle name="40% - Énfasis6 15 2" xfId="929" xr:uid="{E8454682-2B08-4D6E-918C-80EA3E2EE034}"/>
    <cellStyle name="40% - Énfasis6 16" xfId="421" xr:uid="{18E767E1-E69D-4AAD-A01A-B5BE8081FEBC}"/>
    <cellStyle name="40% - Énfasis6 16 2" xfId="930" xr:uid="{B385822C-6D99-443B-BA7C-AD1E394607FA}"/>
    <cellStyle name="40% - Énfasis6 17" xfId="422" xr:uid="{77AA750E-25BC-4F5D-827A-9004F5B32236}"/>
    <cellStyle name="40% - Énfasis6 17 2" xfId="931" xr:uid="{16F39E74-03C5-4F01-92AB-10B803ACCDD8}"/>
    <cellStyle name="40% - Énfasis6 18" xfId="423" xr:uid="{A5C8B192-D1DB-4BE7-9034-E54AEC106A80}"/>
    <cellStyle name="40% - Énfasis6 18 2" xfId="932" xr:uid="{B2C7413F-2FFF-4F70-890F-78C0FE28E7B6}"/>
    <cellStyle name="40% - Énfasis6 19" xfId="424" xr:uid="{0F6DFD85-6E08-4DF8-8DBE-15BF21E6252E}"/>
    <cellStyle name="40% - Énfasis6 19 2" xfId="933" xr:uid="{7CC82439-C26A-4940-91BE-4A5B4DF1211B}"/>
    <cellStyle name="40% - Énfasis6 2" xfId="425" xr:uid="{5295FF9C-E354-4975-A44F-90DBF7B4B3A3}"/>
    <cellStyle name="40% - Énfasis6 2 2" xfId="934" xr:uid="{9767944B-40F1-459A-83D8-A7B9B853A83B}"/>
    <cellStyle name="40% - Énfasis6 20" xfId="426" xr:uid="{4D4D5A7C-6998-4BD8-A33A-F9830A55201A}"/>
    <cellStyle name="40% - Énfasis6 20 2" xfId="935" xr:uid="{DF2F5D23-0712-483F-8245-073810D7F908}"/>
    <cellStyle name="40% - Énfasis6 21" xfId="427" xr:uid="{14F5B6C8-90D1-4222-B365-05F59F7A3010}"/>
    <cellStyle name="40% - Énfasis6 21 2" xfId="936" xr:uid="{A6A54895-9B35-420F-BF97-0A21732231E9}"/>
    <cellStyle name="40% - Énfasis6 22" xfId="428" xr:uid="{52834639-FDC4-474C-A4B5-D5AEBC90D701}"/>
    <cellStyle name="40% - Énfasis6 22 2" xfId="937" xr:uid="{C7EBFC11-E53B-454C-B08C-646D98A59107}"/>
    <cellStyle name="40% - Énfasis6 23" xfId="429" xr:uid="{E396AA94-8BC2-44B2-B879-0179CB9967B9}"/>
    <cellStyle name="40% - Énfasis6 23 2" xfId="938" xr:uid="{CF9B7921-8DA2-47CB-948E-27D631BCFC2C}"/>
    <cellStyle name="40% - Énfasis6 24" xfId="430" xr:uid="{D58965A1-6387-4D48-BFBB-0CF34D9DDCED}"/>
    <cellStyle name="40% - Énfasis6 24 2" xfId="939" xr:uid="{FE8281C5-772F-43DD-841C-28AF201BC5D1}"/>
    <cellStyle name="40% - Énfasis6 25" xfId="431" xr:uid="{601EDFD0-8F1A-421F-A23B-A29FB396506B}"/>
    <cellStyle name="40% - Énfasis6 25 2" xfId="940" xr:uid="{55A33284-E5AF-4F48-B9FC-686E3B9CA657}"/>
    <cellStyle name="40% - Énfasis6 26" xfId="432" xr:uid="{4411E012-3170-4420-B75F-48F0547818CA}"/>
    <cellStyle name="40% - Énfasis6 26 2" xfId="941" xr:uid="{08BAD700-3BFB-4453-8326-1C2E1F7D8903}"/>
    <cellStyle name="40% - Énfasis6 27" xfId="433" xr:uid="{FBBF13D3-EFB6-4404-B8B1-3FAE7D9B332C}"/>
    <cellStyle name="40% - Énfasis6 27 2" xfId="942" xr:uid="{032E3593-5133-48A8-B041-655290DCAF4B}"/>
    <cellStyle name="40% - Énfasis6 28" xfId="434" xr:uid="{17CFEFAF-CBD2-4739-9A60-009FEE19D3EC}"/>
    <cellStyle name="40% - Énfasis6 28 2" xfId="943" xr:uid="{F068AA51-FFCB-4978-BCB8-A6258FE8C99B}"/>
    <cellStyle name="40% - Énfasis6 29" xfId="435" xr:uid="{5366C3D8-3C1D-4660-8E8C-9692009C08DB}"/>
    <cellStyle name="40% - Énfasis6 29 2" xfId="944" xr:uid="{E891F424-A209-412A-A61D-4C408036D4B4}"/>
    <cellStyle name="40% - Énfasis6 3" xfId="436" xr:uid="{2C9885F4-B411-4B79-B60D-5C8C89EEE7C4}"/>
    <cellStyle name="40% - Énfasis6 3 2" xfId="945" xr:uid="{EB5C0EC3-589F-47D5-AF32-F0E8BAB68DFA}"/>
    <cellStyle name="40% - Énfasis6 30" xfId="437" xr:uid="{80ED12A3-0653-4A62-8BC3-6AA068D18F98}"/>
    <cellStyle name="40% - Énfasis6 30 2" xfId="946" xr:uid="{A1192D9A-90C1-431B-87E1-56BD993216FB}"/>
    <cellStyle name="40% - Énfasis6 31" xfId="438" xr:uid="{C8DF6087-BD9D-43C6-82C4-94F66713E33F}"/>
    <cellStyle name="40% - Énfasis6 31 2" xfId="947" xr:uid="{C3D63DD7-12BE-495B-9231-F60F9A4BB0EE}"/>
    <cellStyle name="40% - Énfasis6 32" xfId="439" xr:uid="{300DD857-82D4-42F2-B988-DF2C3DE4856B}"/>
    <cellStyle name="40% - Énfasis6 32 2" xfId="948" xr:uid="{70F4E500-690A-4DC6-A72D-D2667C15ACED}"/>
    <cellStyle name="40% - Énfasis6 33" xfId="440" xr:uid="{444D4EBB-93BB-4D4D-9B5D-98B37217A71A}"/>
    <cellStyle name="40% - Énfasis6 33 2" xfId="949" xr:uid="{9086502E-1CEF-445E-AEC5-C2C7B51CB15E}"/>
    <cellStyle name="40% - Énfasis6 34" xfId="441" xr:uid="{BF9D8BE9-E6AB-442E-861A-73ED64CFB1EA}"/>
    <cellStyle name="40% - Énfasis6 34 2" xfId="950" xr:uid="{1B93B01D-6DB8-47CD-B988-6684403EDFE8}"/>
    <cellStyle name="40% - Énfasis6 4" xfId="442" xr:uid="{2D6A243A-BF64-417C-99EE-A677FEECE568}"/>
    <cellStyle name="40% - Énfasis6 4 2" xfId="951" xr:uid="{07017AD6-20F0-4CB6-8B6D-E655CD7CDA35}"/>
    <cellStyle name="40% - Énfasis6 5" xfId="443" xr:uid="{2B87D3DC-4AAB-4909-8DD2-3E0362270020}"/>
    <cellStyle name="40% - Énfasis6 5 2" xfId="952" xr:uid="{966AC557-6E9A-480F-B653-ED15CB1942B0}"/>
    <cellStyle name="40% - Énfasis6 6" xfId="444" xr:uid="{3CB69042-E5CA-4CB9-9F34-AFA11C258061}"/>
    <cellStyle name="40% - Énfasis6 6 2" xfId="953" xr:uid="{C67B6010-0969-418D-B6F1-C5E0A19FED22}"/>
    <cellStyle name="40% - Énfasis6 7" xfId="445" xr:uid="{99EED6BE-2D89-4C8D-9ABE-F86C142BC7C2}"/>
    <cellStyle name="40% - Énfasis6 7 2" xfId="954" xr:uid="{1618BFC0-9384-450F-A487-3437B4AF226F}"/>
    <cellStyle name="40% - Énfasis6 8" xfId="446" xr:uid="{09F038C7-6322-42A5-B1CA-A4DD4CF66A61}"/>
    <cellStyle name="40% - Énfasis6 8 2" xfId="955" xr:uid="{309A3306-1702-4267-9E71-1E1BF050A120}"/>
    <cellStyle name="40% - Énfasis6 9" xfId="447" xr:uid="{265E7B41-C439-481F-83E1-AD356D7C61E6}"/>
    <cellStyle name="40% - Énfasis6 9 2" xfId="956" xr:uid="{681B9B16-7799-480F-9863-2AE3D315BE69}"/>
    <cellStyle name="60% - Énfasis1 2" xfId="46" xr:uid="{B5E3E4E8-6930-4862-B63C-31F7B30B52CD}"/>
    <cellStyle name="60% - Énfasis2 2" xfId="47" xr:uid="{ABFE835F-45B3-4F31-AE35-41DA0F06649F}"/>
    <cellStyle name="60% - Énfasis3 2" xfId="48" xr:uid="{17FAD928-232F-4963-851A-33A7F0D0132F}"/>
    <cellStyle name="60% - Énfasis4 2" xfId="49" xr:uid="{82322546-9D29-4BF5-A3DB-5B589A01ADD8}"/>
    <cellStyle name="60% - Énfasis5 2" xfId="50" xr:uid="{A47A5BFF-B000-4A4E-99B9-E37EF77D6FAE}"/>
    <cellStyle name="60% - Énfasis6 2" xfId="51" xr:uid="{799515F3-6688-4169-8EBD-F73D168A9AA4}"/>
    <cellStyle name="Bueno" xfId="10" builtinId="26" customBuiltin="1"/>
    <cellStyle name="Cabecera 1" xfId="1001" xr:uid="{A1DF67EE-193D-4ECE-8B56-86F8046BD39C}"/>
    <cellStyle name="Cabecera 1 2" xfId="1011" xr:uid="{033B9BA1-BBF1-4127-9BBC-8EC557E24124}"/>
    <cellStyle name="Cabecera 2" xfId="1002" xr:uid="{B994AD6F-85BF-4BAB-B3B7-12DBF92E7A3B}"/>
    <cellStyle name="Cabecera 2 2" xfId="1012" xr:uid="{594E1400-E804-4019-BBE5-0FBF0680AE8A}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6" builtinId="16" customBuiltin="1"/>
    <cellStyle name="Encabezado 4" xfId="9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2" builtinId="20" customBuiltin="1"/>
    <cellStyle name="Euro" xfId="39" xr:uid="{547DDA3E-F51B-4C2B-A913-1D1B7ECFB463}"/>
    <cellStyle name="Fecha" xfId="1003" xr:uid="{7EDD7C2B-E52F-4954-A7CB-823483730E10}"/>
    <cellStyle name="Fecha 2" xfId="1013" xr:uid="{39D24876-9410-4825-97AA-0E4D677A85E8}"/>
    <cellStyle name="Fijo" xfId="1004" xr:uid="{593BE7E7-CB76-41FE-B422-692FDC6509AD}"/>
    <cellStyle name="Fijo 2" xfId="1014" xr:uid="{63C534E9-1FD4-40BA-9844-D50DD2C11053}"/>
    <cellStyle name="Incorrecto" xfId="11" builtinId="27" customBuiltin="1"/>
    <cellStyle name="Millares" xfId="4" builtinId="3"/>
    <cellStyle name="Millares 2" xfId="5" xr:uid="{D1A48433-F93C-4C9B-AB7D-B3CBFEFE91C7}"/>
    <cellStyle name="Millares 2 2" xfId="448" xr:uid="{C7A6E7B4-E98F-4273-8FBB-483ADF27525C}"/>
    <cellStyle name="Millares 2 3" xfId="957" xr:uid="{45126DAD-1145-4D75-BD27-484184AAA8F5}"/>
    <cellStyle name="Millares 2 4" xfId="41" xr:uid="{56BE60F3-53EC-44D5-B55F-052C03BB6154}"/>
    <cellStyle name="Millares 2 5" xfId="997" xr:uid="{8E054613-9875-4A99-9A66-093A2ECA0734}"/>
    <cellStyle name="Millares 3" xfId="449" xr:uid="{46925267-D4D9-443A-8A1C-C1CD7C68D4D5}"/>
    <cellStyle name="Millares 3 2" xfId="958" xr:uid="{16C0ABE9-0281-48DB-A082-94BDAD7BB63C}"/>
    <cellStyle name="Millares 4" xfId="450" xr:uid="{B9C5F3E3-0366-4EED-8615-A08B19A9807C}"/>
    <cellStyle name="Millares 4 2" xfId="451" xr:uid="{F5295A2D-6D41-407D-B4D3-336EE9E6A6E0}"/>
    <cellStyle name="Millares 4 2 2" xfId="999" xr:uid="{40B4F073-35B0-4E98-A3C1-D9B1A8C2711C}"/>
    <cellStyle name="Millares 4 3" xfId="998" xr:uid="{8DF373D7-E36C-41DA-B033-A2BBBCB255D2}"/>
    <cellStyle name="Millares 5" xfId="452" xr:uid="{C63124B4-5AF0-4C45-88BD-4C0B569FA2EC}"/>
    <cellStyle name="Millares 5 2" xfId="959" xr:uid="{1F1F2BAC-2DE6-4A80-85DF-41BCC1A44DDD}"/>
    <cellStyle name="Millares 6" xfId="40" xr:uid="{B430104F-BD00-4450-AF7E-4F5286E41570}"/>
    <cellStyle name="Millares 7" xfId="996" xr:uid="{C66D53B9-5D2B-41CB-B18E-90F51397A405}"/>
    <cellStyle name="Millares 8" xfId="1005" xr:uid="{D63CCED8-A752-4A8C-A162-43BEDAC682E3}"/>
    <cellStyle name="Monetario0" xfId="1006" xr:uid="{7737AE4C-15F8-4862-8973-155409E34C76}"/>
    <cellStyle name="Monetario0 2" xfId="1015" xr:uid="{06438B54-8FA0-4A01-BC66-DE2DBA63D87C}"/>
    <cellStyle name="Neutral 2" xfId="45" xr:uid="{3D3FD369-D3C3-49B3-BF4A-1D03AE8D0544}"/>
    <cellStyle name="Normal" xfId="0" builtinId="0"/>
    <cellStyle name="Normal 10" xfId="453" xr:uid="{37AC8134-9D0E-469A-BFC3-A12513D38430}"/>
    <cellStyle name="Normal 10 2" xfId="960" xr:uid="{3521D7BC-5B70-4061-B6D3-FAE36FAC5472}"/>
    <cellStyle name="Normal 11" xfId="454" xr:uid="{E66A2A6E-6652-4608-AA56-CAF28DA68F9E}"/>
    <cellStyle name="Normal 11 2" xfId="961" xr:uid="{E1C0820B-1A66-4FBE-AB57-E367BBB5B8E2}"/>
    <cellStyle name="Normal 12" xfId="455" xr:uid="{63FC6A5F-D1CE-4B74-A709-F7D5792FE844}"/>
    <cellStyle name="Normal 12 2" xfId="962" xr:uid="{C2B65187-B7F9-4707-808C-67E1B0ABB7D0}"/>
    <cellStyle name="Normal 13" xfId="456" xr:uid="{929822F4-D729-4A4B-93EB-21B7C67497BD}"/>
    <cellStyle name="Normal 13 2" xfId="963" xr:uid="{F588E250-8A63-44D4-ADF2-1E6CD0F165AC}"/>
    <cellStyle name="Normal 14" xfId="457" xr:uid="{88396949-F131-4FAB-A78D-EB1C7640D8CE}"/>
    <cellStyle name="Normal 14 2" xfId="964" xr:uid="{8B545F80-7A3A-4DFF-862C-5D162158D3FF}"/>
    <cellStyle name="Normal 15" xfId="458" xr:uid="{E69EC972-90FA-4FAF-8DD3-F9221A2AACB3}"/>
    <cellStyle name="Normal 15 2" xfId="965" xr:uid="{077A372E-935A-4D96-A858-AF5649A584F7}"/>
    <cellStyle name="Normal 16" xfId="459" xr:uid="{85EC9614-5E66-4549-9B90-49CFEF17493D}"/>
    <cellStyle name="Normal 16 2" xfId="966" xr:uid="{5E19B22C-90C2-4E45-A211-CADBFA9DFEF8}"/>
    <cellStyle name="Normal 17" xfId="460" xr:uid="{91E2E580-83E2-4ECF-A551-07E18DAC5D2B}"/>
    <cellStyle name="Normal 17 2" xfId="967" xr:uid="{651730A7-8B34-4514-A471-40E13F49B44D}"/>
    <cellStyle name="Normal 18" xfId="461" xr:uid="{54FDE9E3-169E-453C-BFF5-51E0B8D81B5A}"/>
    <cellStyle name="Normal 18 2" xfId="968" xr:uid="{E3564ACD-88AF-4224-A451-4FC31ECB3591}"/>
    <cellStyle name="Normal 19" xfId="462" xr:uid="{B70C9792-C718-45A8-A8C8-4B04EB8E19B1}"/>
    <cellStyle name="Normal 19 2" xfId="969" xr:uid="{51B9645E-947C-401C-8360-AC4D64DB6D06}"/>
    <cellStyle name="Normal 2" xfId="42" xr:uid="{3238EACB-177B-432F-8F54-63F5D6B6CBB3}"/>
    <cellStyle name="Normal 2 2" xfId="464" xr:uid="{B7A558C6-BF1E-4E9D-986A-549BAF11E8B2}"/>
    <cellStyle name="Normal 2 2 2" xfId="2" xr:uid="{66B70D95-8718-4DC3-928C-E6B737B4B295}"/>
    <cellStyle name="Normal 2 2 3" xfId="465" xr:uid="{FA8BB8F5-6984-4456-8EFF-8A2482C24136}"/>
    <cellStyle name="Normal 2 3" xfId="466" xr:uid="{00A87580-1188-41E9-A403-66997E0E7B60}"/>
    <cellStyle name="Normal 2 4" xfId="467" xr:uid="{2F949AD6-6F15-4CD1-87A2-73B61C048A20}"/>
    <cellStyle name="Normal 2 4 2" xfId="970" xr:uid="{1CF9EB25-EFB3-4A4B-B8A1-F7FBAECDB598}"/>
    <cellStyle name="Normal 2 5" xfId="463" xr:uid="{01A406A2-B68A-43B3-B311-88C079B9FC2A}"/>
    <cellStyle name="Normal 20" xfId="468" xr:uid="{7D8BC834-6614-4120-B6BD-77CD2F4DF70B}"/>
    <cellStyle name="Normal 20 2" xfId="971" xr:uid="{379A0D55-B54D-4888-902E-5C072C0B2F33}"/>
    <cellStyle name="Normal 21" xfId="469" xr:uid="{E677B392-6AF9-4B0C-957B-9173D12CE28E}"/>
    <cellStyle name="Normal 21 2" xfId="972" xr:uid="{B271D492-D1DD-4BF7-B21D-C6845018610C}"/>
    <cellStyle name="Normal 22" xfId="470" xr:uid="{6EFED9BD-3E57-4FC3-ACCE-2C98249ABC8A}"/>
    <cellStyle name="Normal 22 2" xfId="973" xr:uid="{E28371A7-B050-4C2F-9445-D621E07B3298}"/>
    <cellStyle name="Normal 23" xfId="471" xr:uid="{60C3BE50-3C44-4B51-8744-B6B115B1530A}"/>
    <cellStyle name="Normal 23 2" xfId="974" xr:uid="{57451434-DE2A-4645-B61A-EEDB63309DAF}"/>
    <cellStyle name="Normal 24" xfId="472" xr:uid="{D52AC785-3937-485A-8423-797C7222366A}"/>
    <cellStyle name="Normal 24 2" xfId="975" xr:uid="{C548C76D-56C5-4C8D-A6D6-8FD9519D18C2}"/>
    <cellStyle name="Normal 25" xfId="473" xr:uid="{DA37BFCD-D0E8-4BF9-A901-8CA63571D4E7}"/>
    <cellStyle name="Normal 25 2" xfId="976" xr:uid="{3E242F41-6BA3-4B9E-8E0B-B8C2C63879D0}"/>
    <cellStyle name="Normal 26" xfId="474" xr:uid="{0489882A-8CCA-4BA5-9C1B-87A544CB9BED}"/>
    <cellStyle name="Normal 26 2" xfId="977" xr:uid="{2235FAFD-92D0-4850-8F3E-4407344BBE93}"/>
    <cellStyle name="Normal 27" xfId="475" xr:uid="{A035EA33-995C-4940-9426-38F05931E97D}"/>
    <cellStyle name="Normal 27 2" xfId="978" xr:uid="{0A2AED1C-0AA4-47A4-B92F-E05F2A759ABA}"/>
    <cellStyle name="Normal 28" xfId="476" xr:uid="{FCD1E520-BCB5-4C74-B4C1-03693F630641}"/>
    <cellStyle name="Normal 28 2" xfId="979" xr:uid="{5CE8C338-02C0-4A7C-8DFA-2DCFF9E4FE9E}"/>
    <cellStyle name="Normal 29" xfId="477" xr:uid="{A9251D06-08FA-42AD-A792-0F7712C614D5}"/>
    <cellStyle name="Normal 29 2" xfId="980" xr:uid="{FE26898F-7D64-48CC-8A46-E80C1E45274E}"/>
    <cellStyle name="Normal 3" xfId="43" xr:uid="{9F16CD71-B241-430A-8C0D-1D197234B985}"/>
    <cellStyle name="Normal 3 2" xfId="479" xr:uid="{F236DB55-7280-4F8B-B618-89DB93DBF420}"/>
    <cellStyle name="Normal 3 3" xfId="478" xr:uid="{9D38BAAD-EF61-47FD-810E-402567A7847A}"/>
    <cellStyle name="Normal 3 4" xfId="981" xr:uid="{16762563-1910-458A-A4DA-97E01C754D5C}"/>
    <cellStyle name="Normal 30" xfId="480" xr:uid="{B294C320-2A87-4197-860E-CDF0C23EC5EC}"/>
    <cellStyle name="Normal 30 2" xfId="982" xr:uid="{18942834-1814-4AE0-8610-A2D906965BFB}"/>
    <cellStyle name="Normal 31" xfId="481" xr:uid="{1DBAE051-DD6C-4670-8F29-4F54C33754C0}"/>
    <cellStyle name="Normal 31 2" xfId="983" xr:uid="{D4EAD73D-5CAB-471F-B17A-ACB303825C53}"/>
    <cellStyle name="Normal 32" xfId="482" xr:uid="{019F2E71-6FA3-4DFE-96E5-E5AF385648E7}"/>
    <cellStyle name="Normal 32 2" xfId="984" xr:uid="{C7BF4115-9CA6-4A57-9F51-52FFCA8BB486}"/>
    <cellStyle name="Normal 33" xfId="483" xr:uid="{565DF46A-0EE4-4D35-BBAA-7F7A8C092DA0}"/>
    <cellStyle name="Normal 33 2" xfId="985" xr:uid="{CDCE4476-D2A5-4857-8588-CE9A15C96994}"/>
    <cellStyle name="Normal 34" xfId="484" xr:uid="{C46421E7-DEE6-4E46-B076-D7EE4DA2728E}"/>
    <cellStyle name="Normal 34 2" xfId="986" xr:uid="{E8FA17AB-D350-421E-82E0-C74D10D25901}"/>
    <cellStyle name="Normal 35" xfId="485" xr:uid="{312A3004-F9EC-4126-A0EF-0EAA890B820B}"/>
    <cellStyle name="Normal 35 2" xfId="987" xr:uid="{0FB922AD-F601-446E-BC14-337942D3DC1F}"/>
    <cellStyle name="Normal 36" xfId="486" xr:uid="{F9E4EFBF-A547-4E7B-8272-3FFC05EA3F88}"/>
    <cellStyle name="Normal 36 2" xfId="988" xr:uid="{1D358A5D-F987-4B77-AF51-20A67BE3A82B}"/>
    <cellStyle name="Normal 37" xfId="38" xr:uid="{6EA01273-1612-496D-BDC3-225D2F55F499}"/>
    <cellStyle name="Normal 38" xfId="995" xr:uid="{9D1DED5F-014A-4C77-A944-9C65805FD16C}"/>
    <cellStyle name="Normal 39" xfId="1000" xr:uid="{6D727CD4-C02E-485D-851B-DB128ADE06A4}"/>
    <cellStyle name="Normal 4" xfId="487" xr:uid="{A5D7D637-BF02-4D09-B1C2-8EE2B79374F7}"/>
    <cellStyle name="Normal 4 2" xfId="3" xr:uid="{311EB4F5-F7D2-4BBF-9D9E-8538E94C61E4}"/>
    <cellStyle name="Normal 4 2 2" xfId="989" xr:uid="{18F6FCD0-78FB-4CA4-A80D-089D2D5C3146}"/>
    <cellStyle name="Normal 40" xfId="1009" xr:uid="{D4DEDEB2-F19F-4E29-8EC5-E364D25273D2}"/>
    <cellStyle name="Normal 5" xfId="488" xr:uid="{54D42A7B-B874-4D60-BA73-C3CCBFC3A90E}"/>
    <cellStyle name="Normal 5 2" xfId="990" xr:uid="{0FE5FB3A-81AC-4449-8797-B1C99C97424F}"/>
    <cellStyle name="Normal 6" xfId="489" xr:uid="{7B52791A-29C3-4E50-BF83-6C5E59B6DBD4}"/>
    <cellStyle name="Normal 6 2" xfId="991" xr:uid="{939FD20C-132B-4B26-AE69-184941087D76}"/>
    <cellStyle name="Normal 7" xfId="490" xr:uid="{A972D553-213F-4B6F-AD75-1B9EF1D7E83E}"/>
    <cellStyle name="Normal 7 2" xfId="992" xr:uid="{418F4B9B-433F-4AAD-9D79-F8CDCD62DF58}"/>
    <cellStyle name="Normal 8" xfId="491" xr:uid="{13E55566-720C-4E48-826A-FB7BE3213F15}"/>
    <cellStyle name="Normal 8 2" xfId="993" xr:uid="{4F335A6B-6263-4086-9570-257DD55AD5EC}"/>
    <cellStyle name="Normal 9" xfId="492" xr:uid="{3586E8D0-7B88-4399-BD25-99709F84DAF6}"/>
    <cellStyle name="Normal 9 2" xfId="994" xr:uid="{E870B53D-9A33-4096-8CB9-65AC18F79AC8}"/>
    <cellStyle name="Notas 10" xfId="493" xr:uid="{5A620728-346F-4969-851F-821EC1083010}"/>
    <cellStyle name="Notas 10 2" xfId="494" xr:uid="{3DAB751E-1DB4-45B3-8106-75479CA56186}"/>
    <cellStyle name="Notas 11" xfId="495" xr:uid="{56DD75D2-29F6-467B-8C50-7BC943448DDC}"/>
    <cellStyle name="Notas 11 2" xfId="496" xr:uid="{8F536773-7A24-4E4D-A498-643C588B5A14}"/>
    <cellStyle name="Notas 12" xfId="497" xr:uid="{FF2D4501-05FF-49A5-94D3-48A58E65143A}"/>
    <cellStyle name="Notas 12 2" xfId="498" xr:uid="{B5436FDB-B119-4AB2-8A0C-5C88582C1A57}"/>
    <cellStyle name="Notas 13" xfId="499" xr:uid="{E02D2F9D-59F2-4F54-97B4-E9979A24957B}"/>
    <cellStyle name="Notas 13 2" xfId="500" xr:uid="{AC1D85C3-227D-46DC-BF53-2556EF612852}"/>
    <cellStyle name="Notas 14" xfId="501" xr:uid="{AE92D678-203C-4ACA-B6B2-BCBD0D6BCA43}"/>
    <cellStyle name="Notas 14 2" xfId="502" xr:uid="{98F19E1D-5789-47EE-9169-6683B4C5EDA6}"/>
    <cellStyle name="Notas 15" xfId="503" xr:uid="{82DCBA13-16B4-4E8F-95C5-BD1906DB482A}"/>
    <cellStyle name="Notas 15 2" xfId="504" xr:uid="{B4900FB7-A576-4314-93AA-C3EDC0345B6D}"/>
    <cellStyle name="Notas 16" xfId="505" xr:uid="{A9BA6AF0-CB74-480A-B889-2F6D7D884B0D}"/>
    <cellStyle name="Notas 16 2" xfId="506" xr:uid="{CD4F18EF-73A3-4E66-830A-00A59219570A}"/>
    <cellStyle name="Notas 17" xfId="507" xr:uid="{3CE56AD8-238A-4ADB-94AB-A1DD6AAD9FB7}"/>
    <cellStyle name="Notas 17 2" xfId="508" xr:uid="{3D8976B0-61EC-4D93-B343-245D52D7E991}"/>
    <cellStyle name="Notas 18" xfId="509" xr:uid="{A3838B05-564D-4E43-84E5-9D62E961AA40}"/>
    <cellStyle name="Notas 18 2" xfId="510" xr:uid="{9FDCBF9A-A9C0-4B97-A78B-AB235346A632}"/>
    <cellStyle name="Notas 19" xfId="511" xr:uid="{20C18EEC-69E6-404A-AC27-26D735BCECE6}"/>
    <cellStyle name="Notas 19 2" xfId="512" xr:uid="{B41B2C05-3456-45B7-81B4-24753BA5E641}"/>
    <cellStyle name="Notas 2" xfId="513" xr:uid="{CF9E3315-0322-4EAD-8F12-2ADA9A68405D}"/>
    <cellStyle name="Notas 2 2" xfId="514" xr:uid="{0E3774F2-AC05-4C52-8C3C-926565254FEB}"/>
    <cellStyle name="Notas 20" xfId="515" xr:uid="{0D30AD98-2CE1-416D-BF49-1A21EE64FCB5}"/>
    <cellStyle name="Notas 20 2" xfId="516" xr:uid="{E3ECAE06-1900-4E7F-9357-09E90755BE35}"/>
    <cellStyle name="Notas 21" xfId="517" xr:uid="{7D130A4A-2DA6-4B19-A2A7-C8BDD0F2C75B}"/>
    <cellStyle name="Notas 21 2" xfId="518" xr:uid="{2191A378-37FE-4FE7-A15B-AC2C3445D4F1}"/>
    <cellStyle name="Notas 22" xfId="519" xr:uid="{CC343DCD-40AC-4BF2-91DC-93CB1DBF5F04}"/>
    <cellStyle name="Notas 22 2" xfId="520" xr:uid="{71CBBA74-15BA-4A4B-B597-DA33C65D82F8}"/>
    <cellStyle name="Notas 23" xfId="521" xr:uid="{5BD23367-F5B9-47EC-AED3-443E83B252B2}"/>
    <cellStyle name="Notas 23 2" xfId="522" xr:uid="{B8DC1237-1A6A-43DF-9F9D-26DD5774AA11}"/>
    <cellStyle name="Notas 24" xfId="523" xr:uid="{C738EF3F-95CD-4D19-8F67-E13F39B35774}"/>
    <cellStyle name="Notas 24 2" xfId="524" xr:uid="{CAABCF27-C1FF-43C2-8511-77D7C70F5C0D}"/>
    <cellStyle name="Notas 25" xfId="525" xr:uid="{CEEB2A4C-FA5E-439A-BE8D-EDB8685A58E2}"/>
    <cellStyle name="Notas 25 2" xfId="526" xr:uid="{DE43D50B-58A0-4BEB-8852-B5DE77825367}"/>
    <cellStyle name="Notas 26" xfId="527" xr:uid="{9F5E5A41-90C0-404E-9551-C6A913D470E4}"/>
    <cellStyle name="Notas 26 2" xfId="528" xr:uid="{3BF26052-1E70-47D7-A557-19CC85539A74}"/>
    <cellStyle name="Notas 27" xfId="529" xr:uid="{C38F1B3C-485D-4F00-8C1D-12AF096EA165}"/>
    <cellStyle name="Notas 27 2" xfId="530" xr:uid="{6916B2BC-EAAD-4E1A-8B4E-356CC6947CA8}"/>
    <cellStyle name="Notas 28" xfId="531" xr:uid="{5F2211C3-E191-448C-B3DE-C5B2CC36743C}"/>
    <cellStyle name="Notas 28 2" xfId="532" xr:uid="{A0CB2B13-10E2-46E2-AA09-F247D04F969C}"/>
    <cellStyle name="Notas 29" xfId="533" xr:uid="{98EFFF4C-D55D-4EBA-B0C8-3B7B16894D4C}"/>
    <cellStyle name="Notas 29 2" xfId="534" xr:uid="{5F7B9A8C-EBE4-4F68-B130-9DB85D8F9890}"/>
    <cellStyle name="Notas 3" xfId="535" xr:uid="{6C34E9B1-0812-4961-816B-8D68C4695857}"/>
    <cellStyle name="Notas 3 2" xfId="536" xr:uid="{51031583-AA06-46C6-AF18-2EB62A2AFD54}"/>
    <cellStyle name="Notas 30" xfId="537" xr:uid="{CC312378-62F7-43BB-BF21-EDCF7802448F}"/>
    <cellStyle name="Notas 30 2" xfId="538" xr:uid="{8A1AF10A-80B3-43C4-ACFB-6CEBF2FA3DFB}"/>
    <cellStyle name="Notas 31" xfId="539" xr:uid="{66C468B6-EF83-4FD1-8C55-3678E8419A63}"/>
    <cellStyle name="Notas 31 2" xfId="540" xr:uid="{B3245931-3495-44E7-9FC3-35FE7C3AFF4E}"/>
    <cellStyle name="Notas 32" xfId="541" xr:uid="{40B3B69F-DE28-4552-95B5-CB2044ABB4E2}"/>
    <cellStyle name="Notas 32 2" xfId="542" xr:uid="{EB088816-F4C6-482F-AE02-0FFDCE121F38}"/>
    <cellStyle name="Notas 33" xfId="543" xr:uid="{B317DF99-81EC-4F87-857F-998BF1CEA3E5}"/>
    <cellStyle name="Notas 33 2" xfId="544" xr:uid="{64F507B5-71B4-431D-B313-0D6D0D0D3A71}"/>
    <cellStyle name="Notas 34" xfId="545" xr:uid="{8BA58E9E-CC9E-4DEC-9BA7-56913EFB8ABF}"/>
    <cellStyle name="Notas 34 2" xfId="546" xr:uid="{56DC6F90-6300-4583-ABD1-6B1D5C262E62}"/>
    <cellStyle name="Notas 35" xfId="547" xr:uid="{7BA040BC-DC18-441B-B4F4-E83F8B31BE38}"/>
    <cellStyle name="Notas 35 2" xfId="548" xr:uid="{D617B8C5-4487-48B4-983D-B97AB5AECBF5}"/>
    <cellStyle name="Notas 4" xfId="549" xr:uid="{0E95BA7A-B847-4099-97E2-E04105E3E951}"/>
    <cellStyle name="Notas 4 2" xfId="550" xr:uid="{BA33277F-BC32-48ED-8F2E-562576722203}"/>
    <cellStyle name="Notas 5" xfId="551" xr:uid="{B821CCDC-5770-4B38-8DDA-8D7F8CAEE8E6}"/>
    <cellStyle name="Notas 5 2" xfId="552" xr:uid="{1CE8ECC1-177D-4D9F-A7D1-F9E2E7814D15}"/>
    <cellStyle name="Notas 6" xfId="553" xr:uid="{933073E0-0EFD-4178-AC33-C510DC069461}"/>
    <cellStyle name="Notas 6 2" xfId="554" xr:uid="{A8C35C36-E93D-412E-9D03-3CB93EFC9E8F}"/>
    <cellStyle name="Notas 7" xfId="555" xr:uid="{D73FD302-AD36-4033-AD77-C3052DB36C51}"/>
    <cellStyle name="Notas 7 2" xfId="556" xr:uid="{D1A87E1C-6D02-420C-ADCF-489C0C5B4D28}"/>
    <cellStyle name="Notas 8" xfId="557" xr:uid="{D2A98527-F760-46E1-A573-8ED06E9ABDBF}"/>
    <cellStyle name="Notas 8 2" xfId="558" xr:uid="{A5025769-B1DE-4857-A601-2DD4BC33AC11}"/>
    <cellStyle name="Notas 9" xfId="559" xr:uid="{7604CD44-BD9D-4DAF-8FB5-11F63AD97ED5}"/>
    <cellStyle name="Notas 9 2" xfId="560" xr:uid="{30861A25-EEE2-470E-B6A2-F11B87E36966}"/>
    <cellStyle name="Porcentaje" xfId="1" builtinId="5"/>
    <cellStyle name="Porcentaje 2" xfId="1010" xr:uid="{0330661D-9774-4384-A742-45CC8A35A81C}"/>
    <cellStyle name="Punto0" xfId="1007" xr:uid="{3A6BEE73-50DD-4EA7-B647-03C413970A26}"/>
    <cellStyle name="Punto0 2" xfId="1016" xr:uid="{41C81771-13A3-4DA5-88CD-D36B049CD73D}"/>
    <cellStyle name="Salida" xfId="13" builtinId="21" customBuiltin="1"/>
    <cellStyle name="Texto de advertencia" xfId="17" builtinId="11" customBuiltin="1"/>
    <cellStyle name="Texto explicativo" xfId="18" builtinId="53" customBuiltin="1"/>
    <cellStyle name="Título 2" xfId="7" builtinId="17" customBuiltin="1"/>
    <cellStyle name="Título 3" xfId="8" builtinId="18" customBuiltin="1"/>
    <cellStyle name="Título 4" xfId="44" xr:uid="{E2A6AD56-7ECC-41F4-99A3-3318C88AB4A6}"/>
    <cellStyle name="Total" xfId="19" builtinId="25" customBuiltin="1"/>
    <cellStyle name="Total 2" xfId="1008" xr:uid="{65FDC231-B948-4627-AD81-AE261FF4C789}"/>
    <cellStyle name="Total 3" xfId="1017" xr:uid="{AEB3D2F7-A024-44AA-BDC0-B13192E005BF}"/>
  </cellStyles>
  <dxfs count="40">
    <dxf>
      <numFmt numFmtId="19" formatCode="d/m/yyyy"/>
    </dxf>
    <dxf>
      <alignment horizontal="center" vertical="bottom" textRotation="0" wrapText="0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166" formatCode="0.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</dxf>
    <dxf>
      <numFmt numFmtId="165" formatCode="&quot;Bs.&quot;#,##0.00"/>
    </dxf>
    <dxf>
      <numFmt numFmtId="165" formatCode="&quot;Bs.&quot;#,##0.00"/>
    </dxf>
    <dxf>
      <numFmt numFmtId="0" formatCode="General"/>
    </dxf>
    <dxf>
      <numFmt numFmtId="1" formatCode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[Indicadores_abril_2026.xlsx]IND. PUNTUAL!TablaDinámica12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'IND. PUNTUAL'!$B$13</c:f>
              <c:strCache>
                <c:ptCount val="1"/>
                <c:pt idx="0">
                  <c:v>  INCREMENTOS 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'IND. PUNTUAL'!$A$14:$A$23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PUNTUAL'!$B$14:$B$23</c:f>
              <c:numCache>
                <c:formatCode>0%</c:formatCode>
                <c:ptCount val="8"/>
                <c:pt idx="0">
                  <c:v>0.4</c:v>
                </c:pt>
                <c:pt idx="1">
                  <c:v>0.4</c:v>
                </c:pt>
                <c:pt idx="2">
                  <c:v>0.16</c:v>
                </c:pt>
                <c:pt idx="3">
                  <c:v>0.09</c:v>
                </c:pt>
                <c:pt idx="4">
                  <c:v>0.13</c:v>
                </c:pt>
                <c:pt idx="5">
                  <c:v>0.05</c:v>
                </c:pt>
                <c:pt idx="6">
                  <c:v>0.06</c:v>
                </c:pt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4-4693-A32C-FE5110F12533}"/>
            </c:ext>
          </c:extLst>
        </c:ser>
        <c:ser>
          <c:idx val="1"/>
          <c:order val="1"/>
          <c:tx>
            <c:strRef>
              <c:f>'IND. PUNTUAL'!$C$13</c:f>
              <c:strCache>
                <c:ptCount val="1"/>
                <c:pt idx="0">
                  <c:v>  INGRESO MENSUAL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'IND. PUNTUAL'!$A$14:$A$23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PUNTUAL'!$C$14:$C$23</c:f>
              <c:numCache>
                <c:formatCode>0%</c:formatCode>
                <c:ptCount val="8"/>
                <c:pt idx="0">
                  <c:v>0.35</c:v>
                </c:pt>
                <c:pt idx="1">
                  <c:v>0.25</c:v>
                </c:pt>
                <c:pt idx="2">
                  <c:v>0.15</c:v>
                </c:pt>
                <c:pt idx="3">
                  <c:v>0.09</c:v>
                </c:pt>
                <c:pt idx="4">
                  <c:v>0.09</c:v>
                </c:pt>
                <c:pt idx="5">
                  <c:v>0.05</c:v>
                </c:pt>
                <c:pt idx="6">
                  <c:v>6.2E-2</c:v>
                </c:pt>
                <c:pt idx="7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4-4693-A32C-FE5110F12533}"/>
            </c:ext>
          </c:extLst>
        </c:ser>
        <c:ser>
          <c:idx val="2"/>
          <c:order val="2"/>
          <c:tx>
            <c:strRef>
              <c:f>'IND. PUNTUAL'!$D$13</c:f>
              <c:strCache>
                <c:ptCount val="1"/>
                <c:pt idx="0">
                  <c:v>  INFLACIÓN BCV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'IND. PUNTUAL'!$A$14:$A$23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PUNTUAL'!$D$14:$D$23</c:f>
              <c:numCache>
                <c:formatCode>0%</c:formatCode>
                <c:ptCount val="8"/>
                <c:pt idx="0">
                  <c:v>0.4214</c:v>
                </c:pt>
                <c:pt idx="1">
                  <c:v>0.193</c:v>
                </c:pt>
                <c:pt idx="2">
                  <c:v>6.0900000000000003E-2</c:v>
                </c:pt>
                <c:pt idx="3">
                  <c:v>3.7999999999999999E-2</c:v>
                </c:pt>
                <c:pt idx="4">
                  <c:v>5.0999999999999997E-2</c:v>
                </c:pt>
                <c:pt idx="5">
                  <c:v>6.2E-2</c:v>
                </c:pt>
                <c:pt idx="6">
                  <c:v>6.2E-2</c:v>
                </c:pt>
                <c:pt idx="7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4-4693-A32C-FE5110F12533}"/>
            </c:ext>
          </c:extLst>
        </c:ser>
        <c:ser>
          <c:idx val="3"/>
          <c:order val="3"/>
          <c:tx>
            <c:strRef>
              <c:f>'IND. PUNTUAL'!$E$13</c:f>
              <c:strCache>
                <c:ptCount val="1"/>
                <c:pt idx="0">
                  <c:v>  INFLACIÓN OVF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'IND. PUNTUAL'!$A$14:$A$23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PUNTUAL'!$E$14:$E$23</c:f>
              <c:numCache>
                <c:formatCode>0%</c:formatCode>
                <c:ptCount val="8"/>
                <c:pt idx="0">
                  <c:v>0.39400000000000002</c:v>
                </c:pt>
                <c:pt idx="1">
                  <c:v>0.154</c:v>
                </c:pt>
                <c:pt idx="2">
                  <c:v>4.2000000000000003E-2</c:v>
                </c:pt>
                <c:pt idx="3">
                  <c:v>2.5000000000000001E-2</c:v>
                </c:pt>
                <c:pt idx="4">
                  <c:v>7.5999999999999998E-2</c:v>
                </c:pt>
                <c:pt idx="5">
                  <c:v>8.5000000000000006E-2</c:v>
                </c:pt>
                <c:pt idx="6">
                  <c:v>7.1999999999999995E-2</c:v>
                </c:pt>
                <c:pt idx="7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74-4693-A32C-FE5110F12533}"/>
            </c:ext>
          </c:extLst>
        </c:ser>
        <c:ser>
          <c:idx val="4"/>
          <c:order val="4"/>
          <c:tx>
            <c:strRef>
              <c:f>'IND. PUNTUAL'!$F$13</c:f>
              <c:strCache>
                <c:ptCount val="1"/>
                <c:pt idx="0">
                  <c:v>  DEPRECIACIÓN BCV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'IND. PUNTUAL'!$A$14:$A$23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PUNTUAL'!$F$14:$F$23</c:f>
              <c:numCache>
                <c:formatCode>0%</c:formatCode>
                <c:ptCount val="8"/>
                <c:pt idx="0">
                  <c:v>0.27025462962962954</c:v>
                </c:pt>
                <c:pt idx="1">
                  <c:v>0.10979498861047832</c:v>
                </c:pt>
                <c:pt idx="2">
                  <c:v>4.9261083743843415E-3</c:v>
                </c:pt>
                <c:pt idx="3">
                  <c:v>1.1029411764705843E-2</c:v>
                </c:pt>
                <c:pt idx="4">
                  <c:v>5.6969696969696892E-2</c:v>
                </c:pt>
                <c:pt idx="5">
                  <c:v>6.4602446483180476E-2</c:v>
                </c:pt>
                <c:pt idx="6">
                  <c:v>5.2064631956912022E-2</c:v>
                </c:pt>
                <c:pt idx="7">
                  <c:v>0.1067713310580205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74-4693-A32C-FE5110F12533}"/>
            </c:ext>
          </c:extLst>
        </c:ser>
        <c:ser>
          <c:idx val="5"/>
          <c:order val="5"/>
          <c:tx>
            <c:strRef>
              <c:f>'IND. PUNTUAL'!$G$13</c:f>
              <c:strCache>
                <c:ptCount val="1"/>
                <c:pt idx="0">
                  <c:v>  DEPRECIACIÓN EP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'IND. PUNTUAL'!$A$14:$A$23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PUNTUAL'!$G$14:$G$23</c:f>
              <c:numCache>
                <c:formatCode>0%</c:formatCode>
                <c:ptCount val="8"/>
                <c:pt idx="0">
                  <c:v>0.23989218328840956</c:v>
                </c:pt>
                <c:pt idx="1">
                  <c:v>7.3913043478260887E-2</c:v>
                </c:pt>
                <c:pt idx="2">
                  <c:v>2.0242914979757831E-3</c:v>
                </c:pt>
                <c:pt idx="3">
                  <c:v>3.4747474747474749E-2</c:v>
                </c:pt>
                <c:pt idx="4">
                  <c:v>9.137055837563457E-2</c:v>
                </c:pt>
                <c:pt idx="5">
                  <c:v>5.2951699463327451E-2</c:v>
                </c:pt>
                <c:pt idx="6">
                  <c:v>7.0336391437308965E-2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74-4693-A32C-FE5110F1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295439"/>
        <c:axId val="1024288239"/>
      </c:lineChart>
      <c:catAx>
        <c:axId val="102429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24288239"/>
        <c:crosses val="autoZero"/>
        <c:auto val="1"/>
        <c:lblAlgn val="ctr"/>
        <c:lblOffset val="100"/>
        <c:noMultiLvlLbl val="0"/>
      </c:catAx>
      <c:valAx>
        <c:axId val="10242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2429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[Indicadores_abril_2026.xlsx]IND. YTD!TablaDinámica13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'IND. YTD'!$B$13</c:f>
              <c:strCache>
                <c:ptCount val="1"/>
                <c:pt idx="0">
                  <c:v>INCREMENTO YTD </c:v>
                </c:pt>
              </c:strCache>
            </c:strRef>
          </c:tx>
          <c:marker>
            <c:symbol val="none"/>
          </c:marker>
          <c:cat>
            <c:multiLvlStrRef>
              <c:f>'IND. YTD'!$A$14:$A$23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YTD'!$B$14:$B$23</c:f>
              <c:numCache>
                <c:formatCode>0%</c:formatCode>
                <c:ptCount val="8"/>
                <c:pt idx="0">
                  <c:v>0.4</c:v>
                </c:pt>
                <c:pt idx="1">
                  <c:v>0.95999999999999974</c:v>
                </c:pt>
                <c:pt idx="2">
                  <c:v>1.2735999999999996</c:v>
                </c:pt>
                <c:pt idx="3">
                  <c:v>1.478224</c:v>
                </c:pt>
                <c:pt idx="4">
                  <c:v>1.8003931199999998</c:v>
                </c:pt>
                <c:pt idx="5">
                  <c:v>1.9404127760000001</c:v>
                </c:pt>
                <c:pt idx="6">
                  <c:v>2.1168375425600003</c:v>
                </c:pt>
                <c:pt idx="7">
                  <c:v>2.2103426688368004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913-4108-AACB-F05FC0E2AEB2}"/>
            </c:ext>
          </c:extLst>
        </c:ser>
        <c:ser>
          <c:idx val="1"/>
          <c:order val="1"/>
          <c:tx>
            <c:strRef>
              <c:f>'IND. YTD'!$C$13</c:f>
              <c:strCache>
                <c:ptCount val="1"/>
                <c:pt idx="0">
                  <c:v> INFLACIÓN BCV YTD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'IND. YTD'!$A$14:$A$23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YTD'!$C$14:$C$23</c:f>
              <c:numCache>
                <c:formatCode>0%</c:formatCode>
                <c:ptCount val="8"/>
                <c:pt idx="0">
                  <c:v>0.4214</c:v>
                </c:pt>
                <c:pt idx="1">
                  <c:v>0.69573020000000008</c:v>
                </c:pt>
                <c:pt idx="2">
                  <c:v>0.79900016917999994</c:v>
                </c:pt>
                <c:pt idx="3">
                  <c:v>0.8673621756088401</c:v>
                </c:pt>
                <c:pt idx="4">
                  <c:v>0.96259764656489089</c:v>
                </c:pt>
                <c:pt idx="5">
                  <c:v>1.0842787006519141</c:v>
                </c:pt>
                <c:pt idx="6">
                  <c:v>1.2135039800923328</c:v>
                </c:pt>
                <c:pt idx="7">
                  <c:v>1.3773032746191656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913-4108-AACB-F05FC0E2AEB2}"/>
            </c:ext>
          </c:extLst>
        </c:ser>
        <c:ser>
          <c:idx val="2"/>
          <c:order val="2"/>
          <c:tx>
            <c:strRef>
              <c:f>'IND. YTD'!$D$13</c:f>
              <c:strCache>
                <c:ptCount val="1"/>
                <c:pt idx="0">
                  <c:v> INFLACIÓN OVF YTD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'IND. YTD'!$A$14:$A$23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YTD'!$D$14:$D$23</c:f>
              <c:numCache>
                <c:formatCode>0%</c:formatCode>
                <c:ptCount val="8"/>
                <c:pt idx="0">
                  <c:v>0.39400000000000002</c:v>
                </c:pt>
                <c:pt idx="1">
                  <c:v>0.60867599999999999</c:v>
                </c:pt>
                <c:pt idx="2">
                  <c:v>0.67624039199999997</c:v>
                </c:pt>
                <c:pt idx="3">
                  <c:v>0.71814640179999989</c:v>
                </c:pt>
                <c:pt idx="4">
                  <c:v>0.84872552833680004</c:v>
                </c:pt>
                <c:pt idx="5">
                  <c:v>1.0058671982454279</c:v>
                </c:pt>
                <c:pt idx="6">
                  <c:v>1.1502896365190987</c:v>
                </c:pt>
                <c:pt idx="7">
                  <c:v>1.4427290270856963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913-4108-AACB-F05FC0E2AEB2}"/>
            </c:ext>
          </c:extLst>
        </c:ser>
        <c:ser>
          <c:idx val="3"/>
          <c:order val="3"/>
          <c:tx>
            <c:strRef>
              <c:f>'IND. YTD'!$E$13</c:f>
              <c:strCache>
                <c:ptCount val="1"/>
                <c:pt idx="0">
                  <c:v> DEPRECIACIÓN BCV YTD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'IND. YTD'!$A$14:$A$23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YTD'!$E$14:$E$23</c:f>
              <c:numCache>
                <c:formatCode>0%</c:formatCode>
                <c:ptCount val="8"/>
                <c:pt idx="0">
                  <c:v>0.27025462962962954</c:v>
                </c:pt>
                <c:pt idx="1">
                  <c:v>0.4097222222222221</c:v>
                </c:pt>
                <c:pt idx="2">
                  <c:v>0.41666666666666674</c:v>
                </c:pt>
                <c:pt idx="3">
                  <c:v>0.43229166666666674</c:v>
                </c:pt>
                <c:pt idx="4">
                  <c:v>0.51388888888888884</c:v>
                </c:pt>
                <c:pt idx="5">
                  <c:v>0.61168981481481488</c:v>
                </c:pt>
                <c:pt idx="6">
                  <c:v>0.69560185185185186</c:v>
                </c:pt>
                <c:pt idx="7">
                  <c:v>0.87664351851851863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913-4108-AACB-F05FC0E2AEB2}"/>
            </c:ext>
          </c:extLst>
        </c:ser>
        <c:ser>
          <c:idx val="4"/>
          <c:order val="4"/>
          <c:tx>
            <c:strRef>
              <c:f>'IND. YTD'!$F$13</c:f>
              <c:strCache>
                <c:ptCount val="1"/>
                <c:pt idx="0">
                  <c:v>DEPRECIACIÓN EP YTD </c:v>
                </c:pt>
              </c:strCache>
            </c:strRef>
          </c:tx>
          <c:marker>
            <c:symbol val="none"/>
          </c:marker>
          <c:cat>
            <c:multiLvlStrRef>
              <c:f>'IND. YTD'!$A$14:$A$23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YTD'!$F$14:$F$23</c:f>
              <c:numCache>
                <c:formatCode>0%</c:formatCode>
                <c:ptCount val="8"/>
                <c:pt idx="0">
                  <c:v>0.23989218328840956</c:v>
                </c:pt>
                <c:pt idx="1">
                  <c:v>0.33153638814016162</c:v>
                </c:pt>
                <c:pt idx="2">
                  <c:v>0.33423180592991919</c:v>
                </c:pt>
                <c:pt idx="3">
                  <c:v>0.38059299191374674</c:v>
                </c:pt>
                <c:pt idx="4">
                  <c:v>0.5067385444743937</c:v>
                </c:pt>
                <c:pt idx="5">
                  <c:v>0.58652291105121335</c:v>
                </c:pt>
                <c:pt idx="6">
                  <c:v>0.69811320754717032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913-4108-AACB-F05FC0E2AEB2}"/>
            </c:ext>
          </c:extLst>
        </c:ser>
        <c:ser>
          <c:idx val="5"/>
          <c:order val="5"/>
          <c:tx>
            <c:strRef>
              <c:f>'IND. YTD'!$G$13</c:f>
              <c:strCache>
                <c:ptCount val="1"/>
                <c:pt idx="0">
                  <c:v>INGRESO MENSUAL YTD </c:v>
                </c:pt>
              </c:strCache>
            </c:strRef>
          </c:tx>
          <c:marker>
            <c:symbol val="none"/>
          </c:marker>
          <c:cat>
            <c:multiLvlStrRef>
              <c:f>'IND. YTD'!$A$14:$A$23</c:f>
              <c:multiLvlStrCache>
                <c:ptCount val="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 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'IND. YTD'!$G$14:$G$23</c:f>
              <c:numCache>
                <c:formatCode>0%</c:formatCode>
                <c:ptCount val="8"/>
                <c:pt idx="0">
                  <c:v>0.35</c:v>
                </c:pt>
                <c:pt idx="1">
                  <c:v>0.6875</c:v>
                </c:pt>
                <c:pt idx="2">
                  <c:v>0.94062499999999982</c:v>
                </c:pt>
                <c:pt idx="3">
                  <c:v>1.1152812499999998</c:v>
                </c:pt>
                <c:pt idx="4">
                  <c:v>1.3056565624999998</c:v>
                </c:pt>
                <c:pt idx="5">
                  <c:v>1.4209393906250001</c:v>
                </c:pt>
                <c:pt idx="6">
                  <c:v>1.5710376328437503</c:v>
                </c:pt>
                <c:pt idx="7">
                  <c:v>1.6713081005246564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6-423B-9885-A600D8666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280559"/>
        <c:axId val="1024307919"/>
      </c:lineChart>
      <c:catAx>
        <c:axId val="10242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24307919"/>
        <c:crosses val="autoZero"/>
        <c:auto val="1"/>
        <c:lblAlgn val="ctr"/>
        <c:lblOffset val="100"/>
        <c:noMultiLvlLbl val="0"/>
      </c:catAx>
      <c:valAx>
        <c:axId val="10243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2428055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677813064756474E-2"/>
          <c:y val="5.0925925925925923E-2"/>
          <c:w val="0.9793140201790793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3898017002885346E-17"/>
                  <c:y val="0.1388888888888889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B0-45FC-BA81-5564E24336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'Grafica de Contexto'!$B$62:$B$78</c:f>
              <c:numCache>
                <c:formatCode>mmm\-yy</c:formatCode>
                <c:ptCount val="1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</c:numCache>
            </c:numRef>
          </c:cat>
          <c:val>
            <c:numRef>
              <c:f>'Grafica de Contexto'!$D$62:$D$78</c:f>
              <c:numCache>
                <c:formatCode>0.0%</c:formatCode>
                <c:ptCount val="17"/>
                <c:pt idx="0">
                  <c:v>4.2000000000000003E-2</c:v>
                </c:pt>
                <c:pt idx="1">
                  <c:v>-5.0000000000000001E-3</c:v>
                </c:pt>
                <c:pt idx="2">
                  <c:v>3.9E-2</c:v>
                </c:pt>
                <c:pt idx="3">
                  <c:v>2.9000000000000001E-2</c:v>
                </c:pt>
                <c:pt idx="4">
                  <c:v>3.9E-2</c:v>
                </c:pt>
                <c:pt idx="5">
                  <c:v>2.4E-2</c:v>
                </c:pt>
                <c:pt idx="6">
                  <c:v>0.04</c:v>
                </c:pt>
                <c:pt idx="7">
                  <c:v>2.8000000000000001E-2</c:v>
                </c:pt>
                <c:pt idx="8">
                  <c:v>3.4000000000000002E-2</c:v>
                </c:pt>
                <c:pt idx="9">
                  <c:v>9.6000000000000002E-2</c:v>
                </c:pt>
                <c:pt idx="10">
                  <c:v>0.125</c:v>
                </c:pt>
                <c:pt idx="11">
                  <c:v>0.14799999999999999</c:v>
                </c:pt>
                <c:pt idx="12">
                  <c:v>7.9000000000000001E-2</c:v>
                </c:pt>
                <c:pt idx="13">
                  <c:v>0.128</c:v>
                </c:pt>
                <c:pt idx="14">
                  <c:v>0.13100000000000001</c:v>
                </c:pt>
                <c:pt idx="15">
                  <c:v>0.184</c:v>
                </c:pt>
                <c:pt idx="16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9-4735-8FC4-D8954953FB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9733983"/>
        <c:axId val="1592695775"/>
      </c:barChart>
      <c:dateAx>
        <c:axId val="15897339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92695775"/>
        <c:crosses val="autoZero"/>
        <c:auto val="1"/>
        <c:lblOffset val="100"/>
        <c:baseTimeUnit val="months"/>
      </c:dateAx>
      <c:valAx>
        <c:axId val="1592695775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58973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Comportamiento de</a:t>
            </a:r>
            <a:r>
              <a:rPr lang="es-VE" baseline="0"/>
              <a:t> las tasas de cambio</a:t>
            </a:r>
          </a:p>
          <a:p>
            <a:pPr>
              <a:defRPr/>
            </a:pPr>
            <a:r>
              <a:rPr lang="es-VE" baseline="0"/>
              <a:t>BCV vs USDT (Pago Móvil)</a:t>
            </a:r>
            <a:endParaRPr lang="es-V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'Tasa_BCVUSDT Grafico1'!$E$2</c:f>
              <c:strCache>
                <c:ptCount val="1"/>
                <c:pt idx="0">
                  <c:v>TASA USDT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'Tasa_BCVUSDT Grafico1'!$B$3:$B$540</c:f>
              <c:numCache>
                <c:formatCode>m/d/yyyy</c:formatCode>
                <c:ptCount val="538"/>
                <c:pt idx="0">
                  <c:v>45582</c:v>
                </c:pt>
                <c:pt idx="1">
                  <c:v>45583</c:v>
                </c:pt>
                <c:pt idx="2">
                  <c:v>45584</c:v>
                </c:pt>
                <c:pt idx="3">
                  <c:v>45585</c:v>
                </c:pt>
                <c:pt idx="4">
                  <c:v>45586</c:v>
                </c:pt>
                <c:pt idx="5">
                  <c:v>45587</c:v>
                </c:pt>
                <c:pt idx="6">
                  <c:v>45588</c:v>
                </c:pt>
                <c:pt idx="7">
                  <c:v>45589</c:v>
                </c:pt>
                <c:pt idx="8">
                  <c:v>45590</c:v>
                </c:pt>
                <c:pt idx="9">
                  <c:v>45591</c:v>
                </c:pt>
                <c:pt idx="10">
                  <c:v>45592</c:v>
                </c:pt>
                <c:pt idx="11">
                  <c:v>45593</c:v>
                </c:pt>
                <c:pt idx="12">
                  <c:v>45594</c:v>
                </c:pt>
                <c:pt idx="13">
                  <c:v>45595</c:v>
                </c:pt>
                <c:pt idx="14">
                  <c:v>45596</c:v>
                </c:pt>
                <c:pt idx="15">
                  <c:v>45597</c:v>
                </c:pt>
                <c:pt idx="16">
                  <c:v>45598</c:v>
                </c:pt>
                <c:pt idx="17">
                  <c:v>45599</c:v>
                </c:pt>
                <c:pt idx="18">
                  <c:v>45600</c:v>
                </c:pt>
                <c:pt idx="19">
                  <c:v>45601</c:v>
                </c:pt>
                <c:pt idx="20">
                  <c:v>45602</c:v>
                </c:pt>
                <c:pt idx="21">
                  <c:v>45603</c:v>
                </c:pt>
                <c:pt idx="22">
                  <c:v>45604</c:v>
                </c:pt>
                <c:pt idx="23">
                  <c:v>45605</c:v>
                </c:pt>
                <c:pt idx="24">
                  <c:v>45606</c:v>
                </c:pt>
                <c:pt idx="25">
                  <c:v>45607</c:v>
                </c:pt>
                <c:pt idx="26">
                  <c:v>45608</c:v>
                </c:pt>
                <c:pt idx="27">
                  <c:v>45609</c:v>
                </c:pt>
                <c:pt idx="28">
                  <c:v>45610</c:v>
                </c:pt>
                <c:pt idx="29">
                  <c:v>45611</c:v>
                </c:pt>
                <c:pt idx="30">
                  <c:v>45612</c:v>
                </c:pt>
                <c:pt idx="31">
                  <c:v>45613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45619</c:v>
                </c:pt>
                <c:pt idx="38">
                  <c:v>45620</c:v>
                </c:pt>
                <c:pt idx="39">
                  <c:v>45621</c:v>
                </c:pt>
                <c:pt idx="40">
                  <c:v>45622</c:v>
                </c:pt>
                <c:pt idx="41">
                  <c:v>45623</c:v>
                </c:pt>
                <c:pt idx="42">
                  <c:v>45624</c:v>
                </c:pt>
                <c:pt idx="43">
                  <c:v>45625</c:v>
                </c:pt>
                <c:pt idx="44">
                  <c:v>45626</c:v>
                </c:pt>
                <c:pt idx="45">
                  <c:v>45627</c:v>
                </c:pt>
                <c:pt idx="46">
                  <c:v>45628</c:v>
                </c:pt>
                <c:pt idx="47">
                  <c:v>45629</c:v>
                </c:pt>
                <c:pt idx="48">
                  <c:v>45630</c:v>
                </c:pt>
                <c:pt idx="49">
                  <c:v>45631</c:v>
                </c:pt>
                <c:pt idx="50">
                  <c:v>45632</c:v>
                </c:pt>
                <c:pt idx="51">
                  <c:v>45633</c:v>
                </c:pt>
                <c:pt idx="52">
                  <c:v>45634</c:v>
                </c:pt>
                <c:pt idx="53">
                  <c:v>45635</c:v>
                </c:pt>
                <c:pt idx="54">
                  <c:v>45636</c:v>
                </c:pt>
                <c:pt idx="55">
                  <c:v>45637</c:v>
                </c:pt>
                <c:pt idx="56">
                  <c:v>45638</c:v>
                </c:pt>
                <c:pt idx="57">
                  <c:v>45639</c:v>
                </c:pt>
                <c:pt idx="58">
                  <c:v>45640</c:v>
                </c:pt>
                <c:pt idx="59">
                  <c:v>45641</c:v>
                </c:pt>
                <c:pt idx="60">
                  <c:v>45642</c:v>
                </c:pt>
                <c:pt idx="61">
                  <c:v>45643</c:v>
                </c:pt>
                <c:pt idx="62">
                  <c:v>45644</c:v>
                </c:pt>
                <c:pt idx="63">
                  <c:v>45645</c:v>
                </c:pt>
                <c:pt idx="64">
                  <c:v>45646</c:v>
                </c:pt>
                <c:pt idx="65">
                  <c:v>45647</c:v>
                </c:pt>
                <c:pt idx="66">
                  <c:v>45648</c:v>
                </c:pt>
                <c:pt idx="67">
                  <c:v>45649</c:v>
                </c:pt>
                <c:pt idx="68">
                  <c:v>45650</c:v>
                </c:pt>
                <c:pt idx="69">
                  <c:v>45651</c:v>
                </c:pt>
                <c:pt idx="70">
                  <c:v>45652</c:v>
                </c:pt>
                <c:pt idx="71">
                  <c:v>45653</c:v>
                </c:pt>
                <c:pt idx="72">
                  <c:v>45654</c:v>
                </c:pt>
                <c:pt idx="73">
                  <c:v>45655</c:v>
                </c:pt>
                <c:pt idx="74">
                  <c:v>45656</c:v>
                </c:pt>
                <c:pt idx="75">
                  <c:v>45657</c:v>
                </c:pt>
                <c:pt idx="76">
                  <c:v>45658</c:v>
                </c:pt>
                <c:pt idx="77">
                  <c:v>45659</c:v>
                </c:pt>
                <c:pt idx="78">
                  <c:v>45660</c:v>
                </c:pt>
                <c:pt idx="79">
                  <c:v>45661</c:v>
                </c:pt>
                <c:pt idx="80">
                  <c:v>45662</c:v>
                </c:pt>
                <c:pt idx="81">
                  <c:v>45663</c:v>
                </c:pt>
                <c:pt idx="82">
                  <c:v>45664</c:v>
                </c:pt>
                <c:pt idx="83">
                  <c:v>45665</c:v>
                </c:pt>
                <c:pt idx="84">
                  <c:v>45666</c:v>
                </c:pt>
                <c:pt idx="85">
                  <c:v>45667</c:v>
                </c:pt>
                <c:pt idx="86">
                  <c:v>45668</c:v>
                </c:pt>
                <c:pt idx="87">
                  <c:v>45669</c:v>
                </c:pt>
                <c:pt idx="88">
                  <c:v>45670</c:v>
                </c:pt>
                <c:pt idx="89">
                  <c:v>45671</c:v>
                </c:pt>
                <c:pt idx="90">
                  <c:v>45672</c:v>
                </c:pt>
                <c:pt idx="91">
                  <c:v>45673</c:v>
                </c:pt>
                <c:pt idx="92">
                  <c:v>45674</c:v>
                </c:pt>
                <c:pt idx="93">
                  <c:v>45675</c:v>
                </c:pt>
                <c:pt idx="94">
                  <c:v>45676</c:v>
                </c:pt>
                <c:pt idx="95">
                  <c:v>45677</c:v>
                </c:pt>
                <c:pt idx="96">
                  <c:v>45678</c:v>
                </c:pt>
                <c:pt idx="97">
                  <c:v>45679</c:v>
                </c:pt>
                <c:pt idx="98">
                  <c:v>45680</c:v>
                </c:pt>
                <c:pt idx="99">
                  <c:v>45681</c:v>
                </c:pt>
                <c:pt idx="100">
                  <c:v>45682</c:v>
                </c:pt>
                <c:pt idx="101">
                  <c:v>45683</c:v>
                </c:pt>
                <c:pt idx="102">
                  <c:v>45684</c:v>
                </c:pt>
                <c:pt idx="103">
                  <c:v>45685</c:v>
                </c:pt>
                <c:pt idx="104">
                  <c:v>45686</c:v>
                </c:pt>
                <c:pt idx="105">
                  <c:v>45687</c:v>
                </c:pt>
                <c:pt idx="106">
                  <c:v>45688</c:v>
                </c:pt>
                <c:pt idx="107">
                  <c:v>45689</c:v>
                </c:pt>
                <c:pt idx="108">
                  <c:v>45690</c:v>
                </c:pt>
                <c:pt idx="109">
                  <c:v>45691</c:v>
                </c:pt>
                <c:pt idx="110">
                  <c:v>45692</c:v>
                </c:pt>
                <c:pt idx="111">
                  <c:v>45693</c:v>
                </c:pt>
                <c:pt idx="112">
                  <c:v>45694</c:v>
                </c:pt>
                <c:pt idx="113">
                  <c:v>45695</c:v>
                </c:pt>
                <c:pt idx="114">
                  <c:v>45696</c:v>
                </c:pt>
                <c:pt idx="115">
                  <c:v>45697</c:v>
                </c:pt>
                <c:pt idx="116">
                  <c:v>45698</c:v>
                </c:pt>
                <c:pt idx="117">
                  <c:v>45699</c:v>
                </c:pt>
                <c:pt idx="118">
                  <c:v>45700</c:v>
                </c:pt>
                <c:pt idx="119">
                  <c:v>45701</c:v>
                </c:pt>
                <c:pt idx="120">
                  <c:v>45702</c:v>
                </c:pt>
                <c:pt idx="121">
                  <c:v>45703</c:v>
                </c:pt>
                <c:pt idx="122">
                  <c:v>45704</c:v>
                </c:pt>
                <c:pt idx="123">
                  <c:v>45705</c:v>
                </c:pt>
                <c:pt idx="124">
                  <c:v>45706</c:v>
                </c:pt>
                <c:pt idx="125">
                  <c:v>45707</c:v>
                </c:pt>
                <c:pt idx="126">
                  <c:v>45708</c:v>
                </c:pt>
                <c:pt idx="127">
                  <c:v>45709</c:v>
                </c:pt>
                <c:pt idx="128">
                  <c:v>45710</c:v>
                </c:pt>
                <c:pt idx="129">
                  <c:v>45711</c:v>
                </c:pt>
                <c:pt idx="130">
                  <c:v>45712</c:v>
                </c:pt>
                <c:pt idx="131">
                  <c:v>45713</c:v>
                </c:pt>
                <c:pt idx="132">
                  <c:v>45714</c:v>
                </c:pt>
                <c:pt idx="133">
                  <c:v>45715</c:v>
                </c:pt>
                <c:pt idx="134">
                  <c:v>45716</c:v>
                </c:pt>
                <c:pt idx="135">
                  <c:v>45717</c:v>
                </c:pt>
                <c:pt idx="136">
                  <c:v>45718</c:v>
                </c:pt>
                <c:pt idx="137">
                  <c:v>45719</c:v>
                </c:pt>
                <c:pt idx="138">
                  <c:v>45720</c:v>
                </c:pt>
                <c:pt idx="139">
                  <c:v>45721</c:v>
                </c:pt>
                <c:pt idx="140">
                  <c:v>45722</c:v>
                </c:pt>
                <c:pt idx="141">
                  <c:v>45723</c:v>
                </c:pt>
                <c:pt idx="142">
                  <c:v>45724</c:v>
                </c:pt>
                <c:pt idx="143">
                  <c:v>45725</c:v>
                </c:pt>
                <c:pt idx="144">
                  <c:v>45726</c:v>
                </c:pt>
                <c:pt idx="145">
                  <c:v>45727</c:v>
                </c:pt>
                <c:pt idx="146">
                  <c:v>45728</c:v>
                </c:pt>
                <c:pt idx="147">
                  <c:v>45729</c:v>
                </c:pt>
                <c:pt idx="148">
                  <c:v>45730</c:v>
                </c:pt>
                <c:pt idx="149">
                  <c:v>45731</c:v>
                </c:pt>
                <c:pt idx="150">
                  <c:v>45732</c:v>
                </c:pt>
                <c:pt idx="151">
                  <c:v>45733</c:v>
                </c:pt>
                <c:pt idx="152">
                  <c:v>45734</c:v>
                </c:pt>
                <c:pt idx="153">
                  <c:v>45735</c:v>
                </c:pt>
                <c:pt idx="154">
                  <c:v>45736</c:v>
                </c:pt>
                <c:pt idx="155">
                  <c:v>45737</c:v>
                </c:pt>
                <c:pt idx="156">
                  <c:v>45738</c:v>
                </c:pt>
                <c:pt idx="157">
                  <c:v>45739</c:v>
                </c:pt>
                <c:pt idx="158">
                  <c:v>45740</c:v>
                </c:pt>
                <c:pt idx="159">
                  <c:v>45741</c:v>
                </c:pt>
                <c:pt idx="160">
                  <c:v>45742</c:v>
                </c:pt>
                <c:pt idx="161">
                  <c:v>45743</c:v>
                </c:pt>
                <c:pt idx="162">
                  <c:v>45744</c:v>
                </c:pt>
                <c:pt idx="163">
                  <c:v>45745</c:v>
                </c:pt>
                <c:pt idx="164">
                  <c:v>45746</c:v>
                </c:pt>
                <c:pt idx="165">
                  <c:v>45747</c:v>
                </c:pt>
                <c:pt idx="166">
                  <c:v>45748</c:v>
                </c:pt>
                <c:pt idx="167">
                  <c:v>45749</c:v>
                </c:pt>
                <c:pt idx="168">
                  <c:v>45750</c:v>
                </c:pt>
                <c:pt idx="169">
                  <c:v>45751</c:v>
                </c:pt>
                <c:pt idx="170">
                  <c:v>45752</c:v>
                </c:pt>
                <c:pt idx="171">
                  <c:v>45753</c:v>
                </c:pt>
                <c:pt idx="172">
                  <c:v>45754</c:v>
                </c:pt>
                <c:pt idx="173">
                  <c:v>45755</c:v>
                </c:pt>
                <c:pt idx="174">
                  <c:v>45756</c:v>
                </c:pt>
                <c:pt idx="175">
                  <c:v>45757</c:v>
                </c:pt>
                <c:pt idx="176">
                  <c:v>45758</c:v>
                </c:pt>
                <c:pt idx="177">
                  <c:v>45759</c:v>
                </c:pt>
                <c:pt idx="178">
                  <c:v>45760</c:v>
                </c:pt>
                <c:pt idx="179">
                  <c:v>45761</c:v>
                </c:pt>
                <c:pt idx="180">
                  <c:v>45762</c:v>
                </c:pt>
                <c:pt idx="181">
                  <c:v>45763</c:v>
                </c:pt>
                <c:pt idx="182">
                  <c:v>45764</c:v>
                </c:pt>
                <c:pt idx="183">
                  <c:v>45765</c:v>
                </c:pt>
                <c:pt idx="184">
                  <c:v>45766</c:v>
                </c:pt>
                <c:pt idx="185">
                  <c:v>45767</c:v>
                </c:pt>
                <c:pt idx="186">
                  <c:v>45768</c:v>
                </c:pt>
                <c:pt idx="187">
                  <c:v>45769</c:v>
                </c:pt>
                <c:pt idx="188">
                  <c:v>45770</c:v>
                </c:pt>
                <c:pt idx="189">
                  <c:v>45771</c:v>
                </c:pt>
                <c:pt idx="190">
                  <c:v>45772</c:v>
                </c:pt>
                <c:pt idx="191">
                  <c:v>45773</c:v>
                </c:pt>
                <c:pt idx="192">
                  <c:v>45774</c:v>
                </c:pt>
                <c:pt idx="193">
                  <c:v>45775</c:v>
                </c:pt>
                <c:pt idx="194">
                  <c:v>45776</c:v>
                </c:pt>
                <c:pt idx="195">
                  <c:v>45777</c:v>
                </c:pt>
                <c:pt idx="196">
                  <c:v>45778</c:v>
                </c:pt>
                <c:pt idx="197">
                  <c:v>45779</c:v>
                </c:pt>
                <c:pt idx="198">
                  <c:v>45780</c:v>
                </c:pt>
                <c:pt idx="199">
                  <c:v>45781</c:v>
                </c:pt>
                <c:pt idx="200">
                  <c:v>45782</c:v>
                </c:pt>
                <c:pt idx="201">
                  <c:v>45783</c:v>
                </c:pt>
                <c:pt idx="202">
                  <c:v>45784</c:v>
                </c:pt>
                <c:pt idx="203">
                  <c:v>45785</c:v>
                </c:pt>
                <c:pt idx="204">
                  <c:v>45786</c:v>
                </c:pt>
                <c:pt idx="205">
                  <c:v>45787</c:v>
                </c:pt>
                <c:pt idx="206">
                  <c:v>45788</c:v>
                </c:pt>
                <c:pt idx="207">
                  <c:v>45789</c:v>
                </c:pt>
                <c:pt idx="208">
                  <c:v>45790</c:v>
                </c:pt>
                <c:pt idx="209">
                  <c:v>45791</c:v>
                </c:pt>
                <c:pt idx="210">
                  <c:v>45792</c:v>
                </c:pt>
                <c:pt idx="211">
                  <c:v>45793</c:v>
                </c:pt>
                <c:pt idx="212">
                  <c:v>45794</c:v>
                </c:pt>
                <c:pt idx="213">
                  <c:v>45795</c:v>
                </c:pt>
                <c:pt idx="214">
                  <c:v>45796</c:v>
                </c:pt>
                <c:pt idx="215">
                  <c:v>45797</c:v>
                </c:pt>
                <c:pt idx="216">
                  <c:v>45798</c:v>
                </c:pt>
                <c:pt idx="217">
                  <c:v>45799</c:v>
                </c:pt>
                <c:pt idx="218">
                  <c:v>45800</c:v>
                </c:pt>
                <c:pt idx="219">
                  <c:v>45801</c:v>
                </c:pt>
                <c:pt idx="220">
                  <c:v>45802</c:v>
                </c:pt>
                <c:pt idx="221">
                  <c:v>45803</c:v>
                </c:pt>
                <c:pt idx="222">
                  <c:v>45804</c:v>
                </c:pt>
                <c:pt idx="223">
                  <c:v>45805</c:v>
                </c:pt>
                <c:pt idx="224">
                  <c:v>45806</c:v>
                </c:pt>
                <c:pt idx="225">
                  <c:v>45807</c:v>
                </c:pt>
                <c:pt idx="226">
                  <c:v>45808</c:v>
                </c:pt>
                <c:pt idx="227">
                  <c:v>45809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45815</c:v>
                </c:pt>
                <c:pt idx="234">
                  <c:v>45816</c:v>
                </c:pt>
                <c:pt idx="235">
                  <c:v>45817</c:v>
                </c:pt>
                <c:pt idx="236">
                  <c:v>45818</c:v>
                </c:pt>
                <c:pt idx="237">
                  <c:v>45819</c:v>
                </c:pt>
                <c:pt idx="238">
                  <c:v>45820</c:v>
                </c:pt>
                <c:pt idx="239">
                  <c:v>45821</c:v>
                </c:pt>
                <c:pt idx="240">
                  <c:v>45822</c:v>
                </c:pt>
                <c:pt idx="241">
                  <c:v>45823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45829</c:v>
                </c:pt>
                <c:pt idx="248">
                  <c:v>45830</c:v>
                </c:pt>
                <c:pt idx="249">
                  <c:v>45831</c:v>
                </c:pt>
                <c:pt idx="250">
                  <c:v>45832</c:v>
                </c:pt>
                <c:pt idx="251">
                  <c:v>45833</c:v>
                </c:pt>
                <c:pt idx="252">
                  <c:v>45834</c:v>
                </c:pt>
                <c:pt idx="253">
                  <c:v>45835</c:v>
                </c:pt>
                <c:pt idx="254">
                  <c:v>45836</c:v>
                </c:pt>
                <c:pt idx="255">
                  <c:v>45837</c:v>
                </c:pt>
                <c:pt idx="256">
                  <c:v>45838</c:v>
                </c:pt>
                <c:pt idx="257">
                  <c:v>45839</c:v>
                </c:pt>
                <c:pt idx="258">
                  <c:v>45840</c:v>
                </c:pt>
                <c:pt idx="259">
                  <c:v>45841</c:v>
                </c:pt>
                <c:pt idx="260">
                  <c:v>45842</c:v>
                </c:pt>
                <c:pt idx="261">
                  <c:v>45843</c:v>
                </c:pt>
                <c:pt idx="262">
                  <c:v>45844</c:v>
                </c:pt>
                <c:pt idx="263">
                  <c:v>45845</c:v>
                </c:pt>
                <c:pt idx="264">
                  <c:v>45846</c:v>
                </c:pt>
                <c:pt idx="265">
                  <c:v>45847</c:v>
                </c:pt>
                <c:pt idx="266">
                  <c:v>45848</c:v>
                </c:pt>
                <c:pt idx="267">
                  <c:v>45849</c:v>
                </c:pt>
                <c:pt idx="268">
                  <c:v>45850</c:v>
                </c:pt>
                <c:pt idx="269">
                  <c:v>45851</c:v>
                </c:pt>
                <c:pt idx="270">
                  <c:v>45852</c:v>
                </c:pt>
                <c:pt idx="271">
                  <c:v>45853</c:v>
                </c:pt>
                <c:pt idx="272">
                  <c:v>45854</c:v>
                </c:pt>
                <c:pt idx="273">
                  <c:v>45855</c:v>
                </c:pt>
                <c:pt idx="274">
                  <c:v>45856</c:v>
                </c:pt>
                <c:pt idx="275">
                  <c:v>45857</c:v>
                </c:pt>
                <c:pt idx="276">
                  <c:v>45858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45864</c:v>
                </c:pt>
                <c:pt idx="283">
                  <c:v>45865</c:v>
                </c:pt>
                <c:pt idx="284">
                  <c:v>45866</c:v>
                </c:pt>
                <c:pt idx="285">
                  <c:v>45867</c:v>
                </c:pt>
                <c:pt idx="286">
                  <c:v>45868</c:v>
                </c:pt>
                <c:pt idx="287">
                  <c:v>45869</c:v>
                </c:pt>
                <c:pt idx="288">
                  <c:v>45870</c:v>
                </c:pt>
                <c:pt idx="289">
                  <c:v>45871</c:v>
                </c:pt>
                <c:pt idx="290">
                  <c:v>45872</c:v>
                </c:pt>
                <c:pt idx="291">
                  <c:v>45873</c:v>
                </c:pt>
                <c:pt idx="292">
                  <c:v>45874</c:v>
                </c:pt>
                <c:pt idx="293">
                  <c:v>45875</c:v>
                </c:pt>
                <c:pt idx="294">
                  <c:v>45876</c:v>
                </c:pt>
                <c:pt idx="295">
                  <c:v>45877</c:v>
                </c:pt>
                <c:pt idx="296">
                  <c:v>45878</c:v>
                </c:pt>
                <c:pt idx="297">
                  <c:v>45879</c:v>
                </c:pt>
                <c:pt idx="298">
                  <c:v>45880</c:v>
                </c:pt>
                <c:pt idx="299">
                  <c:v>45881</c:v>
                </c:pt>
                <c:pt idx="300">
                  <c:v>45882</c:v>
                </c:pt>
                <c:pt idx="301">
                  <c:v>45883</c:v>
                </c:pt>
                <c:pt idx="302">
                  <c:v>45884</c:v>
                </c:pt>
                <c:pt idx="303">
                  <c:v>45885</c:v>
                </c:pt>
                <c:pt idx="304">
                  <c:v>45886</c:v>
                </c:pt>
                <c:pt idx="305">
                  <c:v>45887</c:v>
                </c:pt>
                <c:pt idx="306">
                  <c:v>45888</c:v>
                </c:pt>
                <c:pt idx="307">
                  <c:v>45889</c:v>
                </c:pt>
                <c:pt idx="308">
                  <c:v>45890</c:v>
                </c:pt>
                <c:pt idx="309">
                  <c:v>45891</c:v>
                </c:pt>
                <c:pt idx="310">
                  <c:v>45892</c:v>
                </c:pt>
                <c:pt idx="311">
                  <c:v>45893</c:v>
                </c:pt>
                <c:pt idx="312">
                  <c:v>45894</c:v>
                </c:pt>
                <c:pt idx="313">
                  <c:v>45895</c:v>
                </c:pt>
                <c:pt idx="314">
                  <c:v>45896</c:v>
                </c:pt>
                <c:pt idx="315">
                  <c:v>45897</c:v>
                </c:pt>
                <c:pt idx="316">
                  <c:v>45898</c:v>
                </c:pt>
                <c:pt idx="317">
                  <c:v>45899</c:v>
                </c:pt>
                <c:pt idx="318">
                  <c:v>45900</c:v>
                </c:pt>
                <c:pt idx="319">
                  <c:v>45901</c:v>
                </c:pt>
                <c:pt idx="320">
                  <c:v>45902</c:v>
                </c:pt>
                <c:pt idx="321">
                  <c:v>45903</c:v>
                </c:pt>
                <c:pt idx="322">
                  <c:v>45904</c:v>
                </c:pt>
                <c:pt idx="323">
                  <c:v>45905</c:v>
                </c:pt>
                <c:pt idx="324">
                  <c:v>45906</c:v>
                </c:pt>
                <c:pt idx="325">
                  <c:v>45907</c:v>
                </c:pt>
                <c:pt idx="326">
                  <c:v>45908</c:v>
                </c:pt>
                <c:pt idx="327">
                  <c:v>45909</c:v>
                </c:pt>
                <c:pt idx="328">
                  <c:v>45910</c:v>
                </c:pt>
                <c:pt idx="329">
                  <c:v>45911</c:v>
                </c:pt>
                <c:pt idx="330">
                  <c:v>45912</c:v>
                </c:pt>
                <c:pt idx="331">
                  <c:v>45913</c:v>
                </c:pt>
                <c:pt idx="332">
                  <c:v>45914</c:v>
                </c:pt>
                <c:pt idx="333">
                  <c:v>45915</c:v>
                </c:pt>
                <c:pt idx="334">
                  <c:v>45916</c:v>
                </c:pt>
                <c:pt idx="335">
                  <c:v>45917</c:v>
                </c:pt>
                <c:pt idx="336">
                  <c:v>45918</c:v>
                </c:pt>
                <c:pt idx="337">
                  <c:v>45919</c:v>
                </c:pt>
                <c:pt idx="338">
                  <c:v>45920</c:v>
                </c:pt>
                <c:pt idx="339">
                  <c:v>45921</c:v>
                </c:pt>
                <c:pt idx="340">
                  <c:v>45922</c:v>
                </c:pt>
                <c:pt idx="341">
                  <c:v>45923</c:v>
                </c:pt>
                <c:pt idx="342">
                  <c:v>45924</c:v>
                </c:pt>
                <c:pt idx="343">
                  <c:v>45925</c:v>
                </c:pt>
                <c:pt idx="344">
                  <c:v>45926</c:v>
                </c:pt>
                <c:pt idx="345">
                  <c:v>45927</c:v>
                </c:pt>
                <c:pt idx="346">
                  <c:v>45928</c:v>
                </c:pt>
                <c:pt idx="347">
                  <c:v>45929</c:v>
                </c:pt>
                <c:pt idx="348">
                  <c:v>45930</c:v>
                </c:pt>
                <c:pt idx="349">
                  <c:v>45931</c:v>
                </c:pt>
                <c:pt idx="350">
                  <c:v>45932</c:v>
                </c:pt>
                <c:pt idx="351">
                  <c:v>45933</c:v>
                </c:pt>
                <c:pt idx="352">
                  <c:v>45934</c:v>
                </c:pt>
                <c:pt idx="353">
                  <c:v>45935</c:v>
                </c:pt>
                <c:pt idx="354">
                  <c:v>45936</c:v>
                </c:pt>
                <c:pt idx="355">
                  <c:v>45937</c:v>
                </c:pt>
                <c:pt idx="356">
                  <c:v>45938</c:v>
                </c:pt>
                <c:pt idx="357">
                  <c:v>45939</c:v>
                </c:pt>
                <c:pt idx="358">
                  <c:v>45940</c:v>
                </c:pt>
                <c:pt idx="359">
                  <c:v>45941</c:v>
                </c:pt>
                <c:pt idx="360">
                  <c:v>45942</c:v>
                </c:pt>
                <c:pt idx="361">
                  <c:v>45943</c:v>
                </c:pt>
                <c:pt idx="362">
                  <c:v>45944</c:v>
                </c:pt>
                <c:pt idx="363">
                  <c:v>45945</c:v>
                </c:pt>
                <c:pt idx="364">
                  <c:v>45946</c:v>
                </c:pt>
                <c:pt idx="365">
                  <c:v>45947</c:v>
                </c:pt>
                <c:pt idx="366">
                  <c:v>45948</c:v>
                </c:pt>
                <c:pt idx="367">
                  <c:v>45949</c:v>
                </c:pt>
                <c:pt idx="368">
                  <c:v>45950</c:v>
                </c:pt>
                <c:pt idx="369">
                  <c:v>45951</c:v>
                </c:pt>
                <c:pt idx="370">
                  <c:v>45952</c:v>
                </c:pt>
                <c:pt idx="371">
                  <c:v>45953</c:v>
                </c:pt>
                <c:pt idx="372">
                  <c:v>45954</c:v>
                </c:pt>
                <c:pt idx="373">
                  <c:v>45955</c:v>
                </c:pt>
                <c:pt idx="374">
                  <c:v>45956</c:v>
                </c:pt>
                <c:pt idx="375">
                  <c:v>45957</c:v>
                </c:pt>
                <c:pt idx="376">
                  <c:v>45958</c:v>
                </c:pt>
                <c:pt idx="377">
                  <c:v>45959</c:v>
                </c:pt>
                <c:pt idx="378">
                  <c:v>45960</c:v>
                </c:pt>
                <c:pt idx="379">
                  <c:v>45961</c:v>
                </c:pt>
                <c:pt idx="380">
                  <c:v>45962</c:v>
                </c:pt>
                <c:pt idx="381">
                  <c:v>45963</c:v>
                </c:pt>
                <c:pt idx="382">
                  <c:v>45964</c:v>
                </c:pt>
                <c:pt idx="383">
                  <c:v>45965</c:v>
                </c:pt>
                <c:pt idx="384">
                  <c:v>45966</c:v>
                </c:pt>
                <c:pt idx="385">
                  <c:v>45967</c:v>
                </c:pt>
                <c:pt idx="386">
                  <c:v>45968</c:v>
                </c:pt>
                <c:pt idx="387">
                  <c:v>45969</c:v>
                </c:pt>
                <c:pt idx="388">
                  <c:v>45970</c:v>
                </c:pt>
                <c:pt idx="389">
                  <c:v>45971</c:v>
                </c:pt>
                <c:pt idx="390">
                  <c:v>45972</c:v>
                </c:pt>
                <c:pt idx="391">
                  <c:v>45973</c:v>
                </c:pt>
                <c:pt idx="392">
                  <c:v>45974</c:v>
                </c:pt>
                <c:pt idx="393">
                  <c:v>45975</c:v>
                </c:pt>
                <c:pt idx="394">
                  <c:v>45976</c:v>
                </c:pt>
                <c:pt idx="395">
                  <c:v>45977</c:v>
                </c:pt>
                <c:pt idx="396">
                  <c:v>45978</c:v>
                </c:pt>
                <c:pt idx="397">
                  <c:v>45979</c:v>
                </c:pt>
                <c:pt idx="398">
                  <c:v>45980</c:v>
                </c:pt>
                <c:pt idx="399">
                  <c:v>45981</c:v>
                </c:pt>
                <c:pt idx="400">
                  <c:v>45982</c:v>
                </c:pt>
                <c:pt idx="401">
                  <c:v>45983</c:v>
                </c:pt>
                <c:pt idx="402">
                  <c:v>45984</c:v>
                </c:pt>
                <c:pt idx="403">
                  <c:v>45985</c:v>
                </c:pt>
                <c:pt idx="404">
                  <c:v>45986</c:v>
                </c:pt>
                <c:pt idx="405">
                  <c:v>45987</c:v>
                </c:pt>
                <c:pt idx="406">
                  <c:v>45988</c:v>
                </c:pt>
                <c:pt idx="407">
                  <c:v>45989</c:v>
                </c:pt>
                <c:pt idx="408">
                  <c:v>45990</c:v>
                </c:pt>
                <c:pt idx="409">
                  <c:v>45991</c:v>
                </c:pt>
                <c:pt idx="410">
                  <c:v>45992</c:v>
                </c:pt>
                <c:pt idx="411">
                  <c:v>45993</c:v>
                </c:pt>
                <c:pt idx="412">
                  <c:v>45994</c:v>
                </c:pt>
                <c:pt idx="413">
                  <c:v>45995</c:v>
                </c:pt>
                <c:pt idx="414">
                  <c:v>45996</c:v>
                </c:pt>
                <c:pt idx="415">
                  <c:v>45997</c:v>
                </c:pt>
                <c:pt idx="416">
                  <c:v>45998</c:v>
                </c:pt>
                <c:pt idx="417">
                  <c:v>45999</c:v>
                </c:pt>
                <c:pt idx="418">
                  <c:v>46000</c:v>
                </c:pt>
                <c:pt idx="419">
                  <c:v>46001</c:v>
                </c:pt>
                <c:pt idx="420">
                  <c:v>46002</c:v>
                </c:pt>
                <c:pt idx="421">
                  <c:v>46003</c:v>
                </c:pt>
                <c:pt idx="422">
                  <c:v>46004</c:v>
                </c:pt>
                <c:pt idx="423">
                  <c:v>46005</c:v>
                </c:pt>
                <c:pt idx="424">
                  <c:v>46006</c:v>
                </c:pt>
                <c:pt idx="425">
                  <c:v>46007</c:v>
                </c:pt>
                <c:pt idx="426">
                  <c:v>46008</c:v>
                </c:pt>
                <c:pt idx="427">
                  <c:v>46009</c:v>
                </c:pt>
                <c:pt idx="428">
                  <c:v>46010</c:v>
                </c:pt>
                <c:pt idx="429">
                  <c:v>46011</c:v>
                </c:pt>
                <c:pt idx="430">
                  <c:v>46012</c:v>
                </c:pt>
                <c:pt idx="431">
                  <c:v>46013</c:v>
                </c:pt>
                <c:pt idx="432">
                  <c:v>46014</c:v>
                </c:pt>
                <c:pt idx="433">
                  <c:v>46015</c:v>
                </c:pt>
                <c:pt idx="434">
                  <c:v>46016</c:v>
                </c:pt>
                <c:pt idx="435">
                  <c:v>46017</c:v>
                </c:pt>
                <c:pt idx="436">
                  <c:v>46018</c:v>
                </c:pt>
                <c:pt idx="437">
                  <c:v>46019</c:v>
                </c:pt>
                <c:pt idx="438">
                  <c:v>46020</c:v>
                </c:pt>
                <c:pt idx="439">
                  <c:v>46021</c:v>
                </c:pt>
                <c:pt idx="440">
                  <c:v>46022</c:v>
                </c:pt>
                <c:pt idx="441">
                  <c:v>46023</c:v>
                </c:pt>
                <c:pt idx="442">
                  <c:v>46024</c:v>
                </c:pt>
                <c:pt idx="443">
                  <c:v>46025</c:v>
                </c:pt>
                <c:pt idx="444">
                  <c:v>46026</c:v>
                </c:pt>
                <c:pt idx="445">
                  <c:v>46027</c:v>
                </c:pt>
                <c:pt idx="446">
                  <c:v>46028</c:v>
                </c:pt>
                <c:pt idx="447">
                  <c:v>46029</c:v>
                </c:pt>
                <c:pt idx="448">
                  <c:v>46030</c:v>
                </c:pt>
                <c:pt idx="449">
                  <c:v>46031</c:v>
                </c:pt>
                <c:pt idx="450">
                  <c:v>46032</c:v>
                </c:pt>
                <c:pt idx="451">
                  <c:v>46033</c:v>
                </c:pt>
                <c:pt idx="452">
                  <c:v>46034</c:v>
                </c:pt>
                <c:pt idx="453">
                  <c:v>46035</c:v>
                </c:pt>
                <c:pt idx="454">
                  <c:v>46036</c:v>
                </c:pt>
                <c:pt idx="455">
                  <c:v>46037</c:v>
                </c:pt>
                <c:pt idx="456">
                  <c:v>46038</c:v>
                </c:pt>
                <c:pt idx="457">
                  <c:v>46039</c:v>
                </c:pt>
                <c:pt idx="458">
                  <c:v>46040</c:v>
                </c:pt>
                <c:pt idx="459">
                  <c:v>46041</c:v>
                </c:pt>
                <c:pt idx="460">
                  <c:v>46042</c:v>
                </c:pt>
                <c:pt idx="461">
                  <c:v>46043</c:v>
                </c:pt>
                <c:pt idx="462">
                  <c:v>46044</c:v>
                </c:pt>
                <c:pt idx="463">
                  <c:v>46045</c:v>
                </c:pt>
                <c:pt idx="464">
                  <c:v>46046</c:v>
                </c:pt>
                <c:pt idx="465">
                  <c:v>46047</c:v>
                </c:pt>
                <c:pt idx="466">
                  <c:v>46048</c:v>
                </c:pt>
                <c:pt idx="467">
                  <c:v>46049</c:v>
                </c:pt>
                <c:pt idx="468">
                  <c:v>46050</c:v>
                </c:pt>
                <c:pt idx="469">
                  <c:v>46051</c:v>
                </c:pt>
                <c:pt idx="470">
                  <c:v>46052</c:v>
                </c:pt>
                <c:pt idx="471">
                  <c:v>46053</c:v>
                </c:pt>
                <c:pt idx="472">
                  <c:v>46054</c:v>
                </c:pt>
                <c:pt idx="473">
                  <c:v>46055</c:v>
                </c:pt>
                <c:pt idx="474">
                  <c:v>46056</c:v>
                </c:pt>
                <c:pt idx="475">
                  <c:v>46057</c:v>
                </c:pt>
                <c:pt idx="476">
                  <c:v>46058</c:v>
                </c:pt>
                <c:pt idx="477">
                  <c:v>46059</c:v>
                </c:pt>
                <c:pt idx="478">
                  <c:v>46060</c:v>
                </c:pt>
                <c:pt idx="479">
                  <c:v>46061</c:v>
                </c:pt>
                <c:pt idx="480">
                  <c:v>46062</c:v>
                </c:pt>
                <c:pt idx="481">
                  <c:v>46063</c:v>
                </c:pt>
                <c:pt idx="482">
                  <c:v>46064</c:v>
                </c:pt>
                <c:pt idx="483">
                  <c:v>46065</c:v>
                </c:pt>
                <c:pt idx="484">
                  <c:v>46066</c:v>
                </c:pt>
                <c:pt idx="485">
                  <c:v>46067</c:v>
                </c:pt>
                <c:pt idx="486">
                  <c:v>46068</c:v>
                </c:pt>
                <c:pt idx="487">
                  <c:v>46069</c:v>
                </c:pt>
                <c:pt idx="488">
                  <c:v>46070</c:v>
                </c:pt>
                <c:pt idx="489">
                  <c:v>46071</c:v>
                </c:pt>
                <c:pt idx="490">
                  <c:v>46072</c:v>
                </c:pt>
                <c:pt idx="491">
                  <c:v>46073</c:v>
                </c:pt>
                <c:pt idx="492">
                  <c:v>46074</c:v>
                </c:pt>
                <c:pt idx="493">
                  <c:v>46075</c:v>
                </c:pt>
                <c:pt idx="494">
                  <c:v>46076</c:v>
                </c:pt>
                <c:pt idx="495">
                  <c:v>46077</c:v>
                </c:pt>
                <c:pt idx="496">
                  <c:v>46078</c:v>
                </c:pt>
                <c:pt idx="497">
                  <c:v>46079</c:v>
                </c:pt>
                <c:pt idx="498">
                  <c:v>46080</c:v>
                </c:pt>
                <c:pt idx="499">
                  <c:v>46081</c:v>
                </c:pt>
                <c:pt idx="500">
                  <c:v>46082</c:v>
                </c:pt>
                <c:pt idx="501">
                  <c:v>46083</c:v>
                </c:pt>
                <c:pt idx="502">
                  <c:v>46084</c:v>
                </c:pt>
                <c:pt idx="503">
                  <c:v>46085</c:v>
                </c:pt>
                <c:pt idx="504">
                  <c:v>46086</c:v>
                </c:pt>
                <c:pt idx="505">
                  <c:v>46087</c:v>
                </c:pt>
                <c:pt idx="506">
                  <c:v>46088</c:v>
                </c:pt>
                <c:pt idx="507">
                  <c:v>46089</c:v>
                </c:pt>
                <c:pt idx="508">
                  <c:v>46090</c:v>
                </c:pt>
                <c:pt idx="509">
                  <c:v>46091</c:v>
                </c:pt>
                <c:pt idx="510">
                  <c:v>46092</c:v>
                </c:pt>
                <c:pt idx="511">
                  <c:v>46093</c:v>
                </c:pt>
                <c:pt idx="512">
                  <c:v>46094</c:v>
                </c:pt>
                <c:pt idx="513">
                  <c:v>46095</c:v>
                </c:pt>
                <c:pt idx="514">
                  <c:v>46096</c:v>
                </c:pt>
                <c:pt idx="515">
                  <c:v>46097</c:v>
                </c:pt>
                <c:pt idx="516">
                  <c:v>46098</c:v>
                </c:pt>
                <c:pt idx="517">
                  <c:v>46099</c:v>
                </c:pt>
                <c:pt idx="518">
                  <c:v>46100</c:v>
                </c:pt>
                <c:pt idx="519">
                  <c:v>46101</c:v>
                </c:pt>
                <c:pt idx="520">
                  <c:v>46102</c:v>
                </c:pt>
                <c:pt idx="521">
                  <c:v>46103</c:v>
                </c:pt>
                <c:pt idx="522">
                  <c:v>46104</c:v>
                </c:pt>
                <c:pt idx="523">
                  <c:v>46105</c:v>
                </c:pt>
                <c:pt idx="524">
                  <c:v>46106</c:v>
                </c:pt>
                <c:pt idx="525">
                  <c:v>46107</c:v>
                </c:pt>
                <c:pt idx="526">
                  <c:v>46108</c:v>
                </c:pt>
                <c:pt idx="527">
                  <c:v>46109</c:v>
                </c:pt>
                <c:pt idx="528">
                  <c:v>46110</c:v>
                </c:pt>
                <c:pt idx="529">
                  <c:v>46111</c:v>
                </c:pt>
                <c:pt idx="530">
                  <c:v>46112</c:v>
                </c:pt>
                <c:pt idx="531">
                  <c:v>46113</c:v>
                </c:pt>
                <c:pt idx="532">
                  <c:v>46114</c:v>
                </c:pt>
                <c:pt idx="533">
                  <c:v>46115</c:v>
                </c:pt>
                <c:pt idx="534">
                  <c:v>46116</c:v>
                </c:pt>
                <c:pt idx="535">
                  <c:v>46117</c:v>
                </c:pt>
                <c:pt idx="536">
                  <c:v>46118</c:v>
                </c:pt>
                <c:pt idx="537">
                  <c:v>46119</c:v>
                </c:pt>
              </c:numCache>
            </c:numRef>
          </c:cat>
          <c:val>
            <c:numRef>
              <c:f>'Tasa_BCVUSDT Grafico1'!$E$3:$E$540</c:f>
              <c:numCache>
                <c:formatCode>0.000</c:formatCode>
                <c:ptCount val="538"/>
                <c:pt idx="0">
                  <c:v>47.136000000000003</c:v>
                </c:pt>
                <c:pt idx="1">
                  <c:v>47.127000000000002</c:v>
                </c:pt>
                <c:pt idx="2">
                  <c:v>47.125</c:v>
                </c:pt>
                <c:pt idx="3">
                  <c:v>47.295999999999999</c:v>
                </c:pt>
                <c:pt idx="4">
                  <c:v>47.889000000000003</c:v>
                </c:pt>
                <c:pt idx="5">
                  <c:v>48.531399999999998</c:v>
                </c:pt>
                <c:pt idx="6">
                  <c:v>49.130800000000001</c:v>
                </c:pt>
                <c:pt idx="7">
                  <c:v>49.613199999999999</c:v>
                </c:pt>
                <c:pt idx="8">
                  <c:v>48.895200000000003</c:v>
                </c:pt>
                <c:pt idx="9">
                  <c:v>49.0334</c:v>
                </c:pt>
                <c:pt idx="10">
                  <c:v>49.081600000000002</c:v>
                </c:pt>
                <c:pt idx="11">
                  <c:v>50.107799999999997</c:v>
                </c:pt>
                <c:pt idx="12">
                  <c:v>52.134</c:v>
                </c:pt>
                <c:pt idx="13">
                  <c:v>51.998800000000003</c:v>
                </c:pt>
                <c:pt idx="14">
                  <c:v>51.189799999999998</c:v>
                </c:pt>
                <c:pt idx="15">
                  <c:v>50.525599999999997</c:v>
                </c:pt>
                <c:pt idx="16">
                  <c:v>50.729199999999999</c:v>
                </c:pt>
                <c:pt idx="17">
                  <c:v>51.201999999999998</c:v>
                </c:pt>
                <c:pt idx="18">
                  <c:v>50.892000000000003</c:v>
                </c:pt>
                <c:pt idx="19">
                  <c:v>51.801400000000001</c:v>
                </c:pt>
                <c:pt idx="20">
                  <c:v>52.9878</c:v>
                </c:pt>
                <c:pt idx="21">
                  <c:v>52.128999999999998</c:v>
                </c:pt>
                <c:pt idx="22">
                  <c:v>51.9482</c:v>
                </c:pt>
                <c:pt idx="23">
                  <c:v>51.853200000000001</c:v>
                </c:pt>
                <c:pt idx="24">
                  <c:v>51.8232</c:v>
                </c:pt>
                <c:pt idx="25">
                  <c:v>52.393999999999998</c:v>
                </c:pt>
                <c:pt idx="26">
                  <c:v>53.160600000000002</c:v>
                </c:pt>
                <c:pt idx="27">
                  <c:v>53.631</c:v>
                </c:pt>
                <c:pt idx="28">
                  <c:v>53.543199999999999</c:v>
                </c:pt>
                <c:pt idx="29">
                  <c:v>53.3322</c:v>
                </c:pt>
                <c:pt idx="30">
                  <c:v>53.396599999999999</c:v>
                </c:pt>
                <c:pt idx="31">
                  <c:v>53.854399999999998</c:v>
                </c:pt>
                <c:pt idx="32">
                  <c:v>54.829799999999999</c:v>
                </c:pt>
                <c:pt idx="33">
                  <c:v>55.938000000000002</c:v>
                </c:pt>
                <c:pt idx="34">
                  <c:v>57.956400000000002</c:v>
                </c:pt>
                <c:pt idx="35">
                  <c:v>56.768799999999999</c:v>
                </c:pt>
                <c:pt idx="36">
                  <c:v>56.589799999999997</c:v>
                </c:pt>
                <c:pt idx="37">
                  <c:v>56.691800000000001</c:v>
                </c:pt>
                <c:pt idx="38">
                  <c:v>56.835000000000001</c:v>
                </c:pt>
                <c:pt idx="39">
                  <c:v>57.345599999999997</c:v>
                </c:pt>
                <c:pt idx="40">
                  <c:v>57.897599999999997</c:v>
                </c:pt>
                <c:pt idx="41">
                  <c:v>58.1526</c:v>
                </c:pt>
                <c:pt idx="42">
                  <c:v>57.370800000000003</c:v>
                </c:pt>
                <c:pt idx="43">
                  <c:v>55.864800000000002</c:v>
                </c:pt>
                <c:pt idx="44">
                  <c:v>55.753999999999998</c:v>
                </c:pt>
                <c:pt idx="45">
                  <c:v>55.973799999999997</c:v>
                </c:pt>
                <c:pt idx="46">
                  <c:v>57.085799999999999</c:v>
                </c:pt>
                <c:pt idx="47">
                  <c:v>57.53</c:v>
                </c:pt>
                <c:pt idx="48">
                  <c:v>57.787999999999997</c:v>
                </c:pt>
                <c:pt idx="49">
                  <c:v>57.395600000000002</c:v>
                </c:pt>
                <c:pt idx="50">
                  <c:v>56.726999999999997</c:v>
                </c:pt>
                <c:pt idx="51">
                  <c:v>56.427599999999998</c:v>
                </c:pt>
                <c:pt idx="52">
                  <c:v>56.566200000000002</c:v>
                </c:pt>
                <c:pt idx="53">
                  <c:v>57.697600000000001</c:v>
                </c:pt>
                <c:pt idx="54">
                  <c:v>57.892000000000003</c:v>
                </c:pt>
                <c:pt idx="55">
                  <c:v>57.667400000000001</c:v>
                </c:pt>
                <c:pt idx="56">
                  <c:v>58.049599999999998</c:v>
                </c:pt>
                <c:pt idx="57">
                  <c:v>57.9786</c:v>
                </c:pt>
                <c:pt idx="58">
                  <c:v>58.1432</c:v>
                </c:pt>
                <c:pt idx="59">
                  <c:v>58.4298</c:v>
                </c:pt>
                <c:pt idx="60">
                  <c:v>59.807000000000002</c:v>
                </c:pt>
                <c:pt idx="61">
                  <c:v>61.724400000000003</c:v>
                </c:pt>
                <c:pt idx="62">
                  <c:v>63.2682</c:v>
                </c:pt>
                <c:pt idx="63">
                  <c:v>64.929599999999994</c:v>
                </c:pt>
                <c:pt idx="64">
                  <c:v>64.038600000000002</c:v>
                </c:pt>
                <c:pt idx="65">
                  <c:v>64.082599999999999</c:v>
                </c:pt>
                <c:pt idx="66">
                  <c:v>64.458799999999997</c:v>
                </c:pt>
                <c:pt idx="67">
                  <c:v>64.437799999999996</c:v>
                </c:pt>
                <c:pt idx="68">
                  <c:v>64.291799999999995</c:v>
                </c:pt>
                <c:pt idx="69">
                  <c:v>64.974599999999995</c:v>
                </c:pt>
                <c:pt idx="70">
                  <c:v>68.977800000000002</c:v>
                </c:pt>
                <c:pt idx="71">
                  <c:v>69.193200000000004</c:v>
                </c:pt>
                <c:pt idx="72">
                  <c:v>68.051400000000001</c:v>
                </c:pt>
                <c:pt idx="73">
                  <c:v>67.343800000000002</c:v>
                </c:pt>
                <c:pt idx="74">
                  <c:v>66.665999999999997</c:v>
                </c:pt>
                <c:pt idx="75">
                  <c:v>65.847999999999999</c:v>
                </c:pt>
                <c:pt idx="76">
                  <c:v>68.251599999999996</c:v>
                </c:pt>
                <c:pt idx="77">
                  <c:v>66.880600000000001</c:v>
                </c:pt>
                <c:pt idx="78">
                  <c:v>67.007800000000003</c:v>
                </c:pt>
                <c:pt idx="79">
                  <c:v>66.483800000000002</c:v>
                </c:pt>
                <c:pt idx="80">
                  <c:v>64.869</c:v>
                </c:pt>
                <c:pt idx="81">
                  <c:v>65.252399999999994</c:v>
                </c:pt>
                <c:pt idx="82">
                  <c:v>65.587999999999994</c:v>
                </c:pt>
                <c:pt idx="83">
                  <c:v>66.906800000000004</c:v>
                </c:pt>
                <c:pt idx="84">
                  <c:v>67.927800000000005</c:v>
                </c:pt>
                <c:pt idx="85">
                  <c:v>67.351399999999998</c:v>
                </c:pt>
                <c:pt idx="86">
                  <c:v>66.184600000000003</c:v>
                </c:pt>
                <c:pt idx="87">
                  <c:v>66.149000000000001</c:v>
                </c:pt>
                <c:pt idx="88">
                  <c:v>64.962000000000003</c:v>
                </c:pt>
                <c:pt idx="89">
                  <c:v>64.993600000000001</c:v>
                </c:pt>
                <c:pt idx="90">
                  <c:v>64.529600000000002</c:v>
                </c:pt>
                <c:pt idx="91">
                  <c:v>64.7196</c:v>
                </c:pt>
                <c:pt idx="92">
                  <c:v>64.199399999999997</c:v>
                </c:pt>
                <c:pt idx="93">
                  <c:v>64.157200000000003</c:v>
                </c:pt>
                <c:pt idx="94">
                  <c:v>64.358999999999995</c:v>
                </c:pt>
                <c:pt idx="95">
                  <c:v>64.637600000000006</c:v>
                </c:pt>
                <c:pt idx="96">
                  <c:v>65.929599999999994</c:v>
                </c:pt>
                <c:pt idx="97">
                  <c:v>67.161600000000007</c:v>
                </c:pt>
                <c:pt idx="98">
                  <c:v>66.497799999999998</c:v>
                </c:pt>
                <c:pt idx="99">
                  <c:v>65.938400000000001</c:v>
                </c:pt>
                <c:pt idx="100">
                  <c:v>65.25</c:v>
                </c:pt>
                <c:pt idx="101">
                  <c:v>65.209599999999995</c:v>
                </c:pt>
                <c:pt idx="102">
                  <c:v>67.583200000000005</c:v>
                </c:pt>
                <c:pt idx="103">
                  <c:v>68.625399999999999</c:v>
                </c:pt>
                <c:pt idx="104">
                  <c:v>70.373400000000004</c:v>
                </c:pt>
                <c:pt idx="105">
                  <c:v>69.383799999999994</c:v>
                </c:pt>
                <c:pt idx="106">
                  <c:v>68.131</c:v>
                </c:pt>
                <c:pt idx="107">
                  <c:v>68.065399999999997</c:v>
                </c:pt>
                <c:pt idx="108">
                  <c:v>68.457599999999999</c:v>
                </c:pt>
                <c:pt idx="109">
                  <c:v>69.923000000000002</c:v>
                </c:pt>
                <c:pt idx="110">
                  <c:v>71.999600000000001</c:v>
                </c:pt>
                <c:pt idx="111">
                  <c:v>72.954800000000006</c:v>
                </c:pt>
                <c:pt idx="112">
                  <c:v>72.177599999999998</c:v>
                </c:pt>
                <c:pt idx="113">
                  <c:v>71.960800000000006</c:v>
                </c:pt>
                <c:pt idx="114">
                  <c:v>71.927599999999998</c:v>
                </c:pt>
                <c:pt idx="115">
                  <c:v>72.13</c:v>
                </c:pt>
                <c:pt idx="116">
                  <c:v>73.337800000000001</c:v>
                </c:pt>
                <c:pt idx="117">
                  <c:v>75.439599999999999</c:v>
                </c:pt>
                <c:pt idx="118">
                  <c:v>76.589799999999997</c:v>
                </c:pt>
                <c:pt idx="119">
                  <c:v>77.413600000000002</c:v>
                </c:pt>
                <c:pt idx="120">
                  <c:v>75.658799999999999</c:v>
                </c:pt>
                <c:pt idx="121">
                  <c:v>75.575400000000002</c:v>
                </c:pt>
                <c:pt idx="122">
                  <c:v>76.094999999999999</c:v>
                </c:pt>
                <c:pt idx="123">
                  <c:v>78.194999999999993</c:v>
                </c:pt>
                <c:pt idx="124">
                  <c:v>80.295000000000002</c:v>
                </c:pt>
                <c:pt idx="125">
                  <c:v>80.861999999999995</c:v>
                </c:pt>
                <c:pt idx="126">
                  <c:v>79.019400000000005</c:v>
                </c:pt>
                <c:pt idx="127">
                  <c:v>79.06</c:v>
                </c:pt>
                <c:pt idx="128">
                  <c:v>78.975399999999993</c:v>
                </c:pt>
                <c:pt idx="129">
                  <c:v>79.013999999999996</c:v>
                </c:pt>
                <c:pt idx="130">
                  <c:v>80.969399999999993</c:v>
                </c:pt>
                <c:pt idx="131">
                  <c:v>82.269000000000005</c:v>
                </c:pt>
                <c:pt idx="132">
                  <c:v>82.001000000000005</c:v>
                </c:pt>
                <c:pt idx="133">
                  <c:v>80.058400000000006</c:v>
                </c:pt>
                <c:pt idx="134">
                  <c:v>78.92</c:v>
                </c:pt>
                <c:pt idx="135">
                  <c:v>77.843199999999996</c:v>
                </c:pt>
                <c:pt idx="136">
                  <c:v>78.899799999999999</c:v>
                </c:pt>
                <c:pt idx="137">
                  <c:v>78.0732</c:v>
                </c:pt>
                <c:pt idx="138">
                  <c:v>78.217600000000004</c:v>
                </c:pt>
                <c:pt idx="139">
                  <c:v>78.924199999999999</c:v>
                </c:pt>
                <c:pt idx="140">
                  <c:v>79.300200000000004</c:v>
                </c:pt>
                <c:pt idx="141">
                  <c:v>78.015799999999999</c:v>
                </c:pt>
                <c:pt idx="142">
                  <c:v>77.595600000000005</c:v>
                </c:pt>
                <c:pt idx="143">
                  <c:v>78.007800000000003</c:v>
                </c:pt>
                <c:pt idx="144">
                  <c:v>79.863799999999998</c:v>
                </c:pt>
                <c:pt idx="145">
                  <c:v>80.840199999999996</c:v>
                </c:pt>
                <c:pt idx="146">
                  <c:v>79.943799999999996</c:v>
                </c:pt>
                <c:pt idx="147">
                  <c:v>80.535600000000002</c:v>
                </c:pt>
                <c:pt idx="148">
                  <c:v>80.227800000000002</c:v>
                </c:pt>
                <c:pt idx="149">
                  <c:v>79.9876</c:v>
                </c:pt>
                <c:pt idx="150">
                  <c:v>80.217600000000004</c:v>
                </c:pt>
                <c:pt idx="151">
                  <c:v>82.318799999999996</c:v>
                </c:pt>
                <c:pt idx="152">
                  <c:v>85.774600000000007</c:v>
                </c:pt>
                <c:pt idx="153">
                  <c:v>86.224599999999995</c:v>
                </c:pt>
                <c:pt idx="154">
                  <c:v>86.879599999999996</c:v>
                </c:pt>
                <c:pt idx="155">
                  <c:v>88.941400000000002</c:v>
                </c:pt>
                <c:pt idx="156">
                  <c:v>88.213800000000006</c:v>
                </c:pt>
                <c:pt idx="157">
                  <c:v>88.143600000000006</c:v>
                </c:pt>
                <c:pt idx="158">
                  <c:v>92.555999999999997</c:v>
                </c:pt>
                <c:pt idx="159">
                  <c:v>98.119200000000006</c:v>
                </c:pt>
                <c:pt idx="160">
                  <c:v>104.9478</c:v>
                </c:pt>
                <c:pt idx="161">
                  <c:v>108.1298</c:v>
                </c:pt>
                <c:pt idx="162">
                  <c:v>99.116</c:v>
                </c:pt>
                <c:pt idx="163">
                  <c:v>97.327600000000004</c:v>
                </c:pt>
                <c:pt idx="164">
                  <c:v>97.649600000000007</c:v>
                </c:pt>
                <c:pt idx="165">
                  <c:v>100.14100000000001</c:v>
                </c:pt>
                <c:pt idx="166">
                  <c:v>103.0976</c:v>
                </c:pt>
                <c:pt idx="167">
                  <c:v>103.11360000000001</c:v>
                </c:pt>
                <c:pt idx="168">
                  <c:v>99.053399999999996</c:v>
                </c:pt>
                <c:pt idx="169">
                  <c:v>97.1892</c:v>
                </c:pt>
                <c:pt idx="170">
                  <c:v>96.758600000000001</c:v>
                </c:pt>
                <c:pt idx="171">
                  <c:v>96.605800000000002</c:v>
                </c:pt>
                <c:pt idx="172">
                  <c:v>101.85939999999999</c:v>
                </c:pt>
                <c:pt idx="173">
                  <c:v>105.42100000000001</c:v>
                </c:pt>
                <c:pt idx="174">
                  <c:v>102.9748</c:v>
                </c:pt>
                <c:pt idx="175">
                  <c:v>100.3198</c:v>
                </c:pt>
                <c:pt idx="176">
                  <c:v>101.64960000000001</c:v>
                </c:pt>
                <c:pt idx="177">
                  <c:v>100.2136</c:v>
                </c:pt>
                <c:pt idx="178">
                  <c:v>100.27200000000001</c:v>
                </c:pt>
                <c:pt idx="179">
                  <c:v>100.5038</c:v>
                </c:pt>
                <c:pt idx="180">
                  <c:v>100.45</c:v>
                </c:pt>
                <c:pt idx="181">
                  <c:v>100.8032</c:v>
                </c:pt>
                <c:pt idx="182">
                  <c:v>101.3788</c:v>
                </c:pt>
                <c:pt idx="183">
                  <c:v>100.75320000000001</c:v>
                </c:pt>
                <c:pt idx="184">
                  <c:v>100.2978</c:v>
                </c:pt>
                <c:pt idx="185">
                  <c:v>100.67959999999999</c:v>
                </c:pt>
                <c:pt idx="186">
                  <c:v>102.756</c:v>
                </c:pt>
                <c:pt idx="187">
                  <c:v>105.7088</c:v>
                </c:pt>
                <c:pt idx="188">
                  <c:v>105.9196</c:v>
                </c:pt>
                <c:pt idx="189">
                  <c:v>105.2786</c:v>
                </c:pt>
                <c:pt idx="190">
                  <c:v>105.0258</c:v>
                </c:pt>
                <c:pt idx="191">
                  <c:v>103.9984</c:v>
                </c:pt>
                <c:pt idx="192">
                  <c:v>104.3366</c:v>
                </c:pt>
                <c:pt idx="193">
                  <c:v>108.8164</c:v>
                </c:pt>
                <c:pt idx="194">
                  <c:v>111.14400000000001</c:v>
                </c:pt>
                <c:pt idx="195">
                  <c:v>108.3784</c:v>
                </c:pt>
                <c:pt idx="196">
                  <c:v>109.0992</c:v>
                </c:pt>
                <c:pt idx="197">
                  <c:v>108.9376</c:v>
                </c:pt>
                <c:pt idx="198">
                  <c:v>108.6618</c:v>
                </c:pt>
                <c:pt idx="199">
                  <c:v>109.19</c:v>
                </c:pt>
                <c:pt idx="200">
                  <c:v>114.8456</c:v>
                </c:pt>
                <c:pt idx="201">
                  <c:v>114.3818</c:v>
                </c:pt>
                <c:pt idx="202">
                  <c:v>115.5078</c:v>
                </c:pt>
                <c:pt idx="203">
                  <c:v>116.854</c:v>
                </c:pt>
                <c:pt idx="204">
                  <c:v>114.1618</c:v>
                </c:pt>
                <c:pt idx="205">
                  <c:v>114.498</c:v>
                </c:pt>
                <c:pt idx="206">
                  <c:v>113.07</c:v>
                </c:pt>
                <c:pt idx="207">
                  <c:v>117.066</c:v>
                </c:pt>
                <c:pt idx="208">
                  <c:v>119.81399999999999</c:v>
                </c:pt>
                <c:pt idx="209">
                  <c:v>118.01600000000001</c:v>
                </c:pt>
                <c:pt idx="210">
                  <c:v>118.99</c:v>
                </c:pt>
                <c:pt idx="211">
                  <c:v>118.9576</c:v>
                </c:pt>
                <c:pt idx="212">
                  <c:v>119.50320000000001</c:v>
                </c:pt>
                <c:pt idx="213">
                  <c:v>121.4436</c:v>
                </c:pt>
                <c:pt idx="214">
                  <c:v>130.41560000000001</c:v>
                </c:pt>
                <c:pt idx="215">
                  <c:v>131.73400000000001</c:v>
                </c:pt>
                <c:pt idx="216">
                  <c:v>131.97239999999999</c:v>
                </c:pt>
                <c:pt idx="217">
                  <c:v>134.4778</c:v>
                </c:pt>
                <c:pt idx="218">
                  <c:v>133.01400000000001</c:v>
                </c:pt>
                <c:pt idx="219">
                  <c:v>132.6054</c:v>
                </c:pt>
                <c:pt idx="220">
                  <c:v>134.13059999999999</c:v>
                </c:pt>
                <c:pt idx="221">
                  <c:v>137.40940000000001</c:v>
                </c:pt>
                <c:pt idx="222">
                  <c:v>146.32980000000001</c:v>
                </c:pt>
                <c:pt idx="223">
                  <c:v>140.9708</c:v>
                </c:pt>
                <c:pt idx="224">
                  <c:v>136.76259999999999</c:v>
                </c:pt>
                <c:pt idx="225">
                  <c:v>124.854</c:v>
                </c:pt>
                <c:pt idx="226">
                  <c:v>127.6962</c:v>
                </c:pt>
                <c:pt idx="227">
                  <c:v>129.85980000000001</c:v>
                </c:pt>
                <c:pt idx="228">
                  <c:v>125.727</c:v>
                </c:pt>
                <c:pt idx="229">
                  <c:v>130.53960000000001</c:v>
                </c:pt>
                <c:pt idx="230">
                  <c:v>135.7978</c:v>
                </c:pt>
                <c:pt idx="231">
                  <c:v>132.90960000000001</c:v>
                </c:pt>
                <c:pt idx="232">
                  <c:v>131.428</c:v>
                </c:pt>
                <c:pt idx="233">
                  <c:v>130.43440000000001</c:v>
                </c:pt>
                <c:pt idx="234">
                  <c:v>129.99799999999999</c:v>
                </c:pt>
                <c:pt idx="235">
                  <c:v>133.85400000000001</c:v>
                </c:pt>
                <c:pt idx="236">
                  <c:v>135.001</c:v>
                </c:pt>
                <c:pt idx="237">
                  <c:v>134.51560000000001</c:v>
                </c:pt>
                <c:pt idx="238">
                  <c:v>133.77799999999999</c:v>
                </c:pt>
                <c:pt idx="239">
                  <c:v>133.3948</c:v>
                </c:pt>
                <c:pt idx="240">
                  <c:v>132.1208</c:v>
                </c:pt>
                <c:pt idx="241">
                  <c:v>133.7372</c:v>
                </c:pt>
                <c:pt idx="242">
                  <c:v>134.01900000000001</c:v>
                </c:pt>
                <c:pt idx="243">
                  <c:v>137.40360000000001</c:v>
                </c:pt>
                <c:pt idx="244">
                  <c:v>140.80779999999999</c:v>
                </c:pt>
                <c:pt idx="245">
                  <c:v>141.03380000000001</c:v>
                </c:pt>
                <c:pt idx="246">
                  <c:v>138.8338</c:v>
                </c:pt>
                <c:pt idx="247">
                  <c:v>139.8098</c:v>
                </c:pt>
                <c:pt idx="248">
                  <c:v>140.80279999999999</c:v>
                </c:pt>
                <c:pt idx="249">
                  <c:v>141.01779999999999</c:v>
                </c:pt>
                <c:pt idx="250">
                  <c:v>140.756</c:v>
                </c:pt>
                <c:pt idx="251">
                  <c:v>141.3656</c:v>
                </c:pt>
                <c:pt idx="252">
                  <c:v>141.63380000000001</c:v>
                </c:pt>
                <c:pt idx="253">
                  <c:v>140.53479999999999</c:v>
                </c:pt>
                <c:pt idx="254">
                  <c:v>139.46799999999999</c:v>
                </c:pt>
                <c:pt idx="255">
                  <c:v>140.1696</c:v>
                </c:pt>
                <c:pt idx="256">
                  <c:v>140.166</c:v>
                </c:pt>
                <c:pt idx="257">
                  <c:v>141.94579999999999</c:v>
                </c:pt>
                <c:pt idx="258">
                  <c:v>141.8768</c:v>
                </c:pt>
                <c:pt idx="259">
                  <c:v>142.56780000000001</c:v>
                </c:pt>
                <c:pt idx="260">
                  <c:v>142.1086</c:v>
                </c:pt>
                <c:pt idx="261">
                  <c:v>140.48560000000001</c:v>
                </c:pt>
                <c:pt idx="262">
                  <c:v>140.71860000000001</c:v>
                </c:pt>
                <c:pt idx="263">
                  <c:v>144.364</c:v>
                </c:pt>
                <c:pt idx="264">
                  <c:v>149.0292</c:v>
                </c:pt>
                <c:pt idx="265">
                  <c:v>148.70760000000001</c:v>
                </c:pt>
                <c:pt idx="266">
                  <c:v>149.56</c:v>
                </c:pt>
                <c:pt idx="267">
                  <c:v>149.29519999999999</c:v>
                </c:pt>
                <c:pt idx="268">
                  <c:v>149.5258</c:v>
                </c:pt>
                <c:pt idx="269">
                  <c:v>150.17179999999999</c:v>
                </c:pt>
                <c:pt idx="270">
                  <c:v>151.804</c:v>
                </c:pt>
                <c:pt idx="271">
                  <c:v>151.7456</c:v>
                </c:pt>
                <c:pt idx="272">
                  <c:v>151.99979999999999</c:v>
                </c:pt>
                <c:pt idx="273">
                  <c:v>152.04599999999999</c:v>
                </c:pt>
                <c:pt idx="274">
                  <c:v>152.13499999999999</c:v>
                </c:pt>
                <c:pt idx="275">
                  <c:v>151.39400000000001</c:v>
                </c:pt>
                <c:pt idx="276">
                  <c:v>151.97559999999999</c:v>
                </c:pt>
                <c:pt idx="277">
                  <c:v>158.88679999999999</c:v>
                </c:pt>
                <c:pt idx="278">
                  <c:v>165.5966</c:v>
                </c:pt>
                <c:pt idx="279">
                  <c:v>164.8758</c:v>
                </c:pt>
                <c:pt idx="280">
                  <c:v>162.29159999999999</c:v>
                </c:pt>
                <c:pt idx="281">
                  <c:v>151.59780000000001</c:v>
                </c:pt>
                <c:pt idx="282">
                  <c:v>161.21799999999999</c:v>
                </c:pt>
                <c:pt idx="283">
                  <c:v>162.12459999999999</c:v>
                </c:pt>
                <c:pt idx="284">
                  <c:v>166.01679999999999</c:v>
                </c:pt>
                <c:pt idx="285">
                  <c:v>166.8998</c:v>
                </c:pt>
                <c:pt idx="286">
                  <c:v>165.49979999999999</c:v>
                </c:pt>
                <c:pt idx="287">
                  <c:v>165.25460000000001</c:v>
                </c:pt>
                <c:pt idx="288">
                  <c:v>164.79</c:v>
                </c:pt>
                <c:pt idx="289">
                  <c:v>165.36760000000001</c:v>
                </c:pt>
                <c:pt idx="290">
                  <c:v>166.21799999999999</c:v>
                </c:pt>
                <c:pt idx="291">
                  <c:v>174.79400000000001</c:v>
                </c:pt>
                <c:pt idx="292">
                  <c:v>178.50579999999999</c:v>
                </c:pt>
                <c:pt idx="293">
                  <c:v>186.94</c:v>
                </c:pt>
                <c:pt idx="294">
                  <c:v>185.97980000000001</c:v>
                </c:pt>
                <c:pt idx="295">
                  <c:v>183.89940000000001</c:v>
                </c:pt>
                <c:pt idx="296">
                  <c:v>183.93940000000001</c:v>
                </c:pt>
                <c:pt idx="297">
                  <c:v>184.84780000000001</c:v>
                </c:pt>
                <c:pt idx="298">
                  <c:v>186.43119999999999</c:v>
                </c:pt>
                <c:pt idx="299">
                  <c:v>190.46600000000001</c:v>
                </c:pt>
                <c:pt idx="300">
                  <c:v>193.3768</c:v>
                </c:pt>
                <c:pt idx="301">
                  <c:v>190.8852</c:v>
                </c:pt>
                <c:pt idx="302">
                  <c:v>192.298</c:v>
                </c:pt>
                <c:pt idx="303">
                  <c:v>192.8578</c:v>
                </c:pt>
                <c:pt idx="304">
                  <c:v>197.96039999999999</c:v>
                </c:pt>
                <c:pt idx="305">
                  <c:v>195.32</c:v>
                </c:pt>
                <c:pt idx="306">
                  <c:v>203.11699999999999</c:v>
                </c:pt>
                <c:pt idx="307">
                  <c:v>212.31120000000001</c:v>
                </c:pt>
                <c:pt idx="308">
                  <c:v>225.45359999999999</c:v>
                </c:pt>
                <c:pt idx="309">
                  <c:v>218.15960000000001</c:v>
                </c:pt>
                <c:pt idx="310">
                  <c:v>205.67179999999999</c:v>
                </c:pt>
                <c:pt idx="311">
                  <c:v>210.9136</c:v>
                </c:pt>
                <c:pt idx="312">
                  <c:v>215.8194</c:v>
                </c:pt>
                <c:pt idx="313">
                  <c:v>215.7998</c:v>
                </c:pt>
                <c:pt idx="314">
                  <c:v>217.83680000000001</c:v>
                </c:pt>
                <c:pt idx="315">
                  <c:v>213.40360000000001</c:v>
                </c:pt>
                <c:pt idx="316">
                  <c:v>205.6506</c:v>
                </c:pt>
                <c:pt idx="317">
                  <c:v>202.75460000000001</c:v>
                </c:pt>
                <c:pt idx="318">
                  <c:v>206.99979999999999</c:v>
                </c:pt>
                <c:pt idx="319">
                  <c:v>209.702</c:v>
                </c:pt>
                <c:pt idx="320">
                  <c:v>214.89940000000001</c:v>
                </c:pt>
                <c:pt idx="321">
                  <c:v>218.99780000000001</c:v>
                </c:pt>
                <c:pt idx="322">
                  <c:v>217.58799999999999</c:v>
                </c:pt>
                <c:pt idx="323">
                  <c:v>217.40979999999999</c:v>
                </c:pt>
                <c:pt idx="324">
                  <c:v>216.73740000000001</c:v>
                </c:pt>
                <c:pt idx="325">
                  <c:v>217.4958</c:v>
                </c:pt>
                <c:pt idx="326">
                  <c:v>224.0076</c:v>
                </c:pt>
                <c:pt idx="327">
                  <c:v>230.4598</c:v>
                </c:pt>
                <c:pt idx="328">
                  <c:v>238.02</c:v>
                </c:pt>
                <c:pt idx="329">
                  <c:v>237.14779999999999</c:v>
                </c:pt>
                <c:pt idx="330">
                  <c:v>242.33600000000001</c:v>
                </c:pt>
                <c:pt idx="331">
                  <c:v>242.2594</c:v>
                </c:pt>
                <c:pt idx="332">
                  <c:v>240.828</c:v>
                </c:pt>
                <c:pt idx="333">
                  <c:v>244.28</c:v>
                </c:pt>
                <c:pt idx="334">
                  <c:v>252.93379999999999</c:v>
                </c:pt>
                <c:pt idx="335">
                  <c:v>265.83850000000001</c:v>
                </c:pt>
                <c:pt idx="336">
                  <c:v>269.27449999999999</c:v>
                </c:pt>
                <c:pt idx="337">
                  <c:v>269.2758</c:v>
                </c:pt>
                <c:pt idx="338">
                  <c:v>265.95920000000001</c:v>
                </c:pt>
                <c:pt idx="339">
                  <c:v>265.57940000000002</c:v>
                </c:pt>
                <c:pt idx="340">
                  <c:v>268.99889999999999</c:v>
                </c:pt>
                <c:pt idx="341">
                  <c:v>279.97579999999999</c:v>
                </c:pt>
                <c:pt idx="342">
                  <c:v>292.13799999999998</c:v>
                </c:pt>
                <c:pt idx="343">
                  <c:v>292.95639999999997</c:v>
                </c:pt>
                <c:pt idx="344">
                  <c:v>293.89940000000001</c:v>
                </c:pt>
                <c:pt idx="345">
                  <c:v>282.94900000000001</c:v>
                </c:pt>
                <c:pt idx="346">
                  <c:v>284.06020000000001</c:v>
                </c:pt>
                <c:pt idx="347">
                  <c:v>288.62540000000001</c:v>
                </c:pt>
                <c:pt idx="348">
                  <c:v>291.95600000000002</c:v>
                </c:pt>
                <c:pt idx="349">
                  <c:v>293.298</c:v>
                </c:pt>
                <c:pt idx="350">
                  <c:v>296.36599999999999</c:v>
                </c:pt>
                <c:pt idx="351">
                  <c:v>295.08780000000002</c:v>
                </c:pt>
                <c:pt idx="352">
                  <c:v>291.0376</c:v>
                </c:pt>
                <c:pt idx="353">
                  <c:v>291.1798</c:v>
                </c:pt>
                <c:pt idx="354">
                  <c:v>295.47919999999999</c:v>
                </c:pt>
                <c:pt idx="355">
                  <c:v>299.73700000000002</c:v>
                </c:pt>
                <c:pt idx="356">
                  <c:v>301.88959999999997</c:v>
                </c:pt>
                <c:pt idx="357">
                  <c:v>299.45060000000001</c:v>
                </c:pt>
                <c:pt idx="358">
                  <c:v>297.06979999999999</c:v>
                </c:pt>
                <c:pt idx="359">
                  <c:v>293.43799999999999</c:v>
                </c:pt>
                <c:pt idx="360">
                  <c:v>294.55560000000003</c:v>
                </c:pt>
                <c:pt idx="361">
                  <c:v>297.03179999999998</c:v>
                </c:pt>
                <c:pt idx="362">
                  <c:v>295.97039999999998</c:v>
                </c:pt>
                <c:pt idx="363">
                  <c:v>294.4776</c:v>
                </c:pt>
                <c:pt idx="364">
                  <c:v>295.88240000000002</c:v>
                </c:pt>
                <c:pt idx="365">
                  <c:v>296.42</c:v>
                </c:pt>
                <c:pt idx="366" formatCode="General">
                  <c:v>297.67739999999998</c:v>
                </c:pt>
                <c:pt idx="367" formatCode="General">
                  <c:v>301.92540000000002</c:v>
                </c:pt>
                <c:pt idx="368" formatCode="General">
                  <c:v>302.19560000000001</c:v>
                </c:pt>
                <c:pt idx="369" formatCode="General">
                  <c:v>305.57659999999998</c:v>
                </c:pt>
                <c:pt idx="370" formatCode="General">
                  <c:v>305.2998</c:v>
                </c:pt>
                <c:pt idx="371" formatCode="General">
                  <c:v>306.14600000000002</c:v>
                </c:pt>
                <c:pt idx="372" formatCode="General">
                  <c:v>306.75799999999998</c:v>
                </c:pt>
                <c:pt idx="373" formatCode="General">
                  <c:v>305.55799999999999</c:v>
                </c:pt>
                <c:pt idx="374" formatCode="General">
                  <c:v>304.476</c:v>
                </c:pt>
                <c:pt idx="375" formatCode="General">
                  <c:v>304.41980000000001</c:v>
                </c:pt>
                <c:pt idx="376" formatCode="General">
                  <c:v>310.57299999999998</c:v>
                </c:pt>
                <c:pt idx="377" formatCode="General">
                  <c:v>307.87</c:v>
                </c:pt>
                <c:pt idx="378" formatCode="General">
                  <c:v>304.77999999999997</c:v>
                </c:pt>
                <c:pt idx="379" formatCode="General">
                  <c:v>302.19</c:v>
                </c:pt>
                <c:pt idx="380" formatCode="General">
                  <c:v>300.37</c:v>
                </c:pt>
                <c:pt idx="381" formatCode="General">
                  <c:v>302.51</c:v>
                </c:pt>
                <c:pt idx="382" formatCode="General">
                  <c:v>306.36</c:v>
                </c:pt>
                <c:pt idx="383" formatCode="General">
                  <c:v>310.58999999999997</c:v>
                </c:pt>
                <c:pt idx="384" formatCode="General">
                  <c:v>316.95</c:v>
                </c:pt>
                <c:pt idx="385" formatCode="General">
                  <c:v>316.60000000000002</c:v>
                </c:pt>
                <c:pt idx="386" formatCode="General">
                  <c:v>316.95999999999998</c:v>
                </c:pt>
                <c:pt idx="387" formatCode="General">
                  <c:v>314.95</c:v>
                </c:pt>
                <c:pt idx="388" formatCode="General">
                  <c:v>316.64999999999998</c:v>
                </c:pt>
                <c:pt idx="389" formatCode="General">
                  <c:v>326.8</c:v>
                </c:pt>
                <c:pt idx="390" formatCode="General">
                  <c:v>334.37</c:v>
                </c:pt>
                <c:pt idx="391" formatCode="General">
                  <c:v>343.54</c:v>
                </c:pt>
                <c:pt idx="392" formatCode="General">
                  <c:v>328.56</c:v>
                </c:pt>
                <c:pt idx="393" formatCode="General">
                  <c:v>326.83999999999997</c:v>
                </c:pt>
                <c:pt idx="394" formatCode="General">
                  <c:v>324.11</c:v>
                </c:pt>
                <c:pt idx="395" formatCode="General">
                  <c:v>331.65</c:v>
                </c:pt>
                <c:pt idx="396" formatCode="General">
                  <c:v>328.88</c:v>
                </c:pt>
                <c:pt idx="397" formatCode="General">
                  <c:v>337.09</c:v>
                </c:pt>
                <c:pt idx="398" formatCode="General">
                  <c:v>343.82</c:v>
                </c:pt>
                <c:pt idx="399" formatCode="General">
                  <c:v>345.96</c:v>
                </c:pt>
                <c:pt idx="400" formatCode="General">
                  <c:v>340.12</c:v>
                </c:pt>
                <c:pt idx="401" formatCode="General">
                  <c:v>340.32</c:v>
                </c:pt>
                <c:pt idx="402" formatCode="General">
                  <c:v>350.69</c:v>
                </c:pt>
                <c:pt idx="403" formatCode="General">
                  <c:v>357.63</c:v>
                </c:pt>
                <c:pt idx="404" formatCode="General">
                  <c:v>369.49</c:v>
                </c:pt>
                <c:pt idx="405" formatCode="General">
                  <c:v>369.36</c:v>
                </c:pt>
                <c:pt idx="406" formatCode="General">
                  <c:v>360.97</c:v>
                </c:pt>
                <c:pt idx="407" formatCode="General">
                  <c:v>363.7</c:v>
                </c:pt>
                <c:pt idx="408" formatCode="General">
                  <c:v>358.6</c:v>
                </c:pt>
                <c:pt idx="409" formatCode="General">
                  <c:v>372.71</c:v>
                </c:pt>
                <c:pt idx="410" formatCode="General">
                  <c:v>370.49</c:v>
                </c:pt>
                <c:pt idx="411" formatCode="General">
                  <c:v>387.95</c:v>
                </c:pt>
                <c:pt idx="412" formatCode="General">
                  <c:v>384.18</c:v>
                </c:pt>
                <c:pt idx="413" formatCode="General">
                  <c:v>421.27</c:v>
                </c:pt>
                <c:pt idx="414" formatCode="General">
                  <c:v>409.84</c:v>
                </c:pt>
                <c:pt idx="415" formatCode="General">
                  <c:v>402.79</c:v>
                </c:pt>
                <c:pt idx="416" formatCode="General">
                  <c:v>403.92</c:v>
                </c:pt>
                <c:pt idx="417" formatCode="General">
                  <c:v>419.62</c:v>
                </c:pt>
                <c:pt idx="418" formatCode="General">
                  <c:v>424.04</c:v>
                </c:pt>
                <c:pt idx="419" formatCode="General">
                  <c:v>414.44</c:v>
                </c:pt>
                <c:pt idx="420" formatCode="General">
                  <c:v>413.54</c:v>
                </c:pt>
                <c:pt idx="421" formatCode="General">
                  <c:v>418.86</c:v>
                </c:pt>
                <c:pt idx="422" formatCode="General">
                  <c:v>419.13</c:v>
                </c:pt>
                <c:pt idx="423" formatCode="General">
                  <c:v>411.96</c:v>
                </c:pt>
                <c:pt idx="424" formatCode="General">
                  <c:v>427.02</c:v>
                </c:pt>
                <c:pt idx="425" formatCode="General">
                  <c:v>426.79</c:v>
                </c:pt>
                <c:pt idx="426" formatCode="General">
                  <c:v>451.42</c:v>
                </c:pt>
                <c:pt idx="427" formatCode="General">
                  <c:v>476.4</c:v>
                </c:pt>
                <c:pt idx="428" formatCode="General">
                  <c:v>469.71</c:v>
                </c:pt>
                <c:pt idx="429" formatCode="General">
                  <c:v>459.69</c:v>
                </c:pt>
                <c:pt idx="430" formatCode="General">
                  <c:v>466.26</c:v>
                </c:pt>
                <c:pt idx="431" formatCode="General">
                  <c:v>475</c:v>
                </c:pt>
                <c:pt idx="432" formatCode="General">
                  <c:v>467.62</c:v>
                </c:pt>
                <c:pt idx="433" formatCode="General">
                  <c:v>469.95</c:v>
                </c:pt>
                <c:pt idx="434" formatCode="General">
                  <c:v>486.59</c:v>
                </c:pt>
                <c:pt idx="435" formatCode="General">
                  <c:v>523.99</c:v>
                </c:pt>
                <c:pt idx="436" formatCode="General">
                  <c:v>532.6</c:v>
                </c:pt>
                <c:pt idx="437" formatCode="General">
                  <c:v>547.37</c:v>
                </c:pt>
                <c:pt idx="438" formatCode="General">
                  <c:v>556.59</c:v>
                </c:pt>
                <c:pt idx="439" formatCode="General">
                  <c:v>579.55999999999995</c:v>
                </c:pt>
                <c:pt idx="440" formatCode="General">
                  <c:v>561.16</c:v>
                </c:pt>
                <c:pt idx="441" formatCode="General">
                  <c:v>571.46</c:v>
                </c:pt>
                <c:pt idx="442" formatCode="General">
                  <c:v>596.79</c:v>
                </c:pt>
                <c:pt idx="443" formatCode="General">
                  <c:v>596.66</c:v>
                </c:pt>
                <c:pt idx="444" formatCode="General">
                  <c:v>597.29</c:v>
                </c:pt>
                <c:pt idx="445" formatCode="General">
                  <c:v>642.16</c:v>
                </c:pt>
                <c:pt idx="446" formatCode="General">
                  <c:v>759.74</c:v>
                </c:pt>
                <c:pt idx="447" formatCode="General">
                  <c:v>769.2</c:v>
                </c:pt>
                <c:pt idx="448" formatCode="General">
                  <c:v>717.08</c:v>
                </c:pt>
                <c:pt idx="449" formatCode="General">
                  <c:v>585.09</c:v>
                </c:pt>
                <c:pt idx="450" formatCode="General">
                  <c:v>514.89</c:v>
                </c:pt>
                <c:pt idx="451" formatCode="General">
                  <c:v>518.86</c:v>
                </c:pt>
                <c:pt idx="452" formatCode="General">
                  <c:v>549.98</c:v>
                </c:pt>
                <c:pt idx="453" formatCode="General">
                  <c:v>606.38</c:v>
                </c:pt>
                <c:pt idx="454" formatCode="General">
                  <c:v>601.65</c:v>
                </c:pt>
                <c:pt idx="455" formatCode="General">
                  <c:v>492.23</c:v>
                </c:pt>
                <c:pt idx="456" formatCode="General">
                  <c:v>454.26</c:v>
                </c:pt>
                <c:pt idx="457" formatCode="General">
                  <c:v>451.27</c:v>
                </c:pt>
                <c:pt idx="458" formatCode="General">
                  <c:v>449.83</c:v>
                </c:pt>
                <c:pt idx="459" formatCode="General">
                  <c:v>421.93</c:v>
                </c:pt>
                <c:pt idx="460" formatCode="General">
                  <c:v>454.05</c:v>
                </c:pt>
                <c:pt idx="461" formatCode="General">
                  <c:v>465.79</c:v>
                </c:pt>
                <c:pt idx="462" formatCode="General">
                  <c:v>463.16</c:v>
                </c:pt>
                <c:pt idx="463" formatCode="General">
                  <c:v>470.49</c:v>
                </c:pt>
                <c:pt idx="464" formatCode="General">
                  <c:v>450.71</c:v>
                </c:pt>
                <c:pt idx="465" formatCode="General">
                  <c:v>465.74</c:v>
                </c:pt>
                <c:pt idx="466" formatCode="General">
                  <c:v>488.2</c:v>
                </c:pt>
                <c:pt idx="467" formatCode="General">
                  <c:v>517.09</c:v>
                </c:pt>
                <c:pt idx="468" formatCode="General">
                  <c:v>510.46</c:v>
                </c:pt>
                <c:pt idx="469" formatCode="General">
                  <c:v>504.18</c:v>
                </c:pt>
                <c:pt idx="470" formatCode="General">
                  <c:v>499.33</c:v>
                </c:pt>
                <c:pt idx="471" formatCode="General">
                  <c:v>498.75</c:v>
                </c:pt>
                <c:pt idx="472" formatCode="General">
                  <c:v>498.59</c:v>
                </c:pt>
                <c:pt idx="473" formatCode="General">
                  <c:v>506.89</c:v>
                </c:pt>
                <c:pt idx="474" formatCode="General">
                  <c:v>513.34</c:v>
                </c:pt>
                <c:pt idx="475" formatCode="General">
                  <c:v>514.19000000000005</c:v>
                </c:pt>
                <c:pt idx="476" formatCode="General">
                  <c:v>521.87</c:v>
                </c:pt>
                <c:pt idx="477" formatCode="General">
                  <c:v>521.29</c:v>
                </c:pt>
                <c:pt idx="478" formatCode="General">
                  <c:v>518.84</c:v>
                </c:pt>
                <c:pt idx="479" formatCode="General">
                  <c:v>535.44000000000005</c:v>
                </c:pt>
                <c:pt idx="480" formatCode="General">
                  <c:v>544.26</c:v>
                </c:pt>
                <c:pt idx="481" formatCode="General">
                  <c:v>549.28</c:v>
                </c:pt>
                <c:pt idx="482" formatCode="General">
                  <c:v>549.80999999999995</c:v>
                </c:pt>
                <c:pt idx="483" formatCode="General">
                  <c:v>536.17999999999995</c:v>
                </c:pt>
                <c:pt idx="484" formatCode="General">
                  <c:v>525.77</c:v>
                </c:pt>
                <c:pt idx="485" formatCode="General">
                  <c:v>525.74</c:v>
                </c:pt>
                <c:pt idx="486" formatCode="General">
                  <c:v>531.74</c:v>
                </c:pt>
                <c:pt idx="487" formatCode="General">
                  <c:v>526.72</c:v>
                </c:pt>
                <c:pt idx="488" formatCode="General">
                  <c:v>527.08000000000004</c:v>
                </c:pt>
                <c:pt idx="489" formatCode="General">
                  <c:v>566.74</c:v>
                </c:pt>
                <c:pt idx="490" formatCode="General">
                  <c:v>584.91</c:v>
                </c:pt>
                <c:pt idx="491" formatCode="General">
                  <c:v>560.29</c:v>
                </c:pt>
                <c:pt idx="492" formatCode="General">
                  <c:v>556.59</c:v>
                </c:pt>
                <c:pt idx="493" formatCode="General">
                  <c:v>550.67999999999995</c:v>
                </c:pt>
                <c:pt idx="494" formatCode="General">
                  <c:v>574.55999999999995</c:v>
                </c:pt>
                <c:pt idx="495" formatCode="General">
                  <c:v>595.47</c:v>
                </c:pt>
                <c:pt idx="496" formatCode="General">
                  <c:v>613.37</c:v>
                </c:pt>
                <c:pt idx="497" formatCode="General">
                  <c:v>613.26</c:v>
                </c:pt>
                <c:pt idx="498" formatCode="General">
                  <c:v>606.55999999999995</c:v>
                </c:pt>
                <c:pt idx="499" formatCode="General">
                  <c:v>604.72</c:v>
                </c:pt>
                <c:pt idx="500" formatCode="General">
                  <c:v>606.78</c:v>
                </c:pt>
                <c:pt idx="501" formatCode="General">
                  <c:v>616.91999999999996</c:v>
                </c:pt>
                <c:pt idx="502" formatCode="General">
                  <c:v>627.79</c:v>
                </c:pt>
                <c:pt idx="503" formatCode="General">
                  <c:v>632.41</c:v>
                </c:pt>
                <c:pt idx="504" formatCode="General">
                  <c:v>627.76</c:v>
                </c:pt>
                <c:pt idx="505" formatCode="General">
                  <c:v>615.46</c:v>
                </c:pt>
                <c:pt idx="506" formatCode="General">
                  <c:v>604.67999999999995</c:v>
                </c:pt>
                <c:pt idx="507" formatCode="General">
                  <c:v>609.89</c:v>
                </c:pt>
                <c:pt idx="508" formatCode="General">
                  <c:v>617.99</c:v>
                </c:pt>
                <c:pt idx="509" formatCode="General">
                  <c:v>621.55999999999995</c:v>
                </c:pt>
                <c:pt idx="510" formatCode="General">
                  <c:v>599.6</c:v>
                </c:pt>
                <c:pt idx="511" formatCode="General">
                  <c:v>609.21</c:v>
                </c:pt>
                <c:pt idx="512" formatCode="General">
                  <c:v>626.52</c:v>
                </c:pt>
                <c:pt idx="513" formatCode="General">
                  <c:v>624.78</c:v>
                </c:pt>
                <c:pt idx="514" formatCode="General">
                  <c:v>633.79</c:v>
                </c:pt>
                <c:pt idx="515" formatCode="General">
                  <c:v>651.14</c:v>
                </c:pt>
                <c:pt idx="516" formatCode="General">
                  <c:v>665.79</c:v>
                </c:pt>
                <c:pt idx="517" formatCode="General">
                  <c:v>666.63</c:v>
                </c:pt>
                <c:pt idx="518" formatCode="General">
                  <c:v>661.01</c:v>
                </c:pt>
                <c:pt idx="519" formatCode="General">
                  <c:v>657.52</c:v>
                </c:pt>
                <c:pt idx="520" formatCode="General">
                  <c:v>655.98</c:v>
                </c:pt>
                <c:pt idx="521" formatCode="General">
                  <c:v>657.54</c:v>
                </c:pt>
                <c:pt idx="522" formatCode="General">
                  <c:v>660.99</c:v>
                </c:pt>
                <c:pt idx="523" formatCode="General">
                  <c:v>668</c:v>
                </c:pt>
                <c:pt idx="524" formatCode="General">
                  <c:v>672.77</c:v>
                </c:pt>
                <c:pt idx="525" formatCode="General">
                  <c:v>665.22</c:v>
                </c:pt>
                <c:pt idx="526" formatCode="General">
                  <c:v>664.74</c:v>
                </c:pt>
                <c:pt idx="527" formatCode="General">
                  <c:v>666.92</c:v>
                </c:pt>
                <c:pt idx="528" formatCode="General">
                  <c:v>666.13</c:v>
                </c:pt>
                <c:pt idx="529" formatCode="General">
                  <c:v>659.87</c:v>
                </c:pt>
                <c:pt idx="530" formatCode="General">
                  <c:v>656.94</c:v>
                </c:pt>
                <c:pt idx="531" formatCode="General">
                  <c:v>654.13580000000002</c:v>
                </c:pt>
                <c:pt idx="532" formatCode="General">
                  <c:v>651.7998</c:v>
                </c:pt>
                <c:pt idx="533" formatCode="General">
                  <c:v>639.95000000000005</c:v>
                </c:pt>
                <c:pt idx="534" formatCode="General">
                  <c:v>630.45780000000002</c:v>
                </c:pt>
                <c:pt idx="535" formatCode="General">
                  <c:v>629.06979999999999</c:v>
                </c:pt>
                <c:pt idx="536" formatCode="General">
                  <c:v>634.93820000000005</c:v>
                </c:pt>
                <c:pt idx="537" formatCode="General">
                  <c:v>638.13980000000004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B-43FC-B304-710D116543D9}"/>
            </c:ext>
          </c:extLst>
        </c:ser>
        <c:ser>
          <c:idx val="1"/>
          <c:order val="1"/>
          <c:tx>
            <c:strRef>
              <c:f>'Tasa_BCVUSDT Grafico1'!$F$2</c:f>
              <c:strCache>
                <c:ptCount val="1"/>
                <c:pt idx="0">
                  <c:v>TASA BCV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'Tasa_BCVUSDT Grafico1'!$B$3:$B$540</c:f>
              <c:numCache>
                <c:formatCode>m/d/yyyy</c:formatCode>
                <c:ptCount val="538"/>
                <c:pt idx="0">
                  <c:v>45582</c:v>
                </c:pt>
                <c:pt idx="1">
                  <c:v>45583</c:v>
                </c:pt>
                <c:pt idx="2">
                  <c:v>45584</c:v>
                </c:pt>
                <c:pt idx="3">
                  <c:v>45585</c:v>
                </c:pt>
                <c:pt idx="4">
                  <c:v>45586</c:v>
                </c:pt>
                <c:pt idx="5">
                  <c:v>45587</c:v>
                </c:pt>
                <c:pt idx="6">
                  <c:v>45588</c:v>
                </c:pt>
                <c:pt idx="7">
                  <c:v>45589</c:v>
                </c:pt>
                <c:pt idx="8">
                  <c:v>45590</c:v>
                </c:pt>
                <c:pt idx="9">
                  <c:v>45591</c:v>
                </c:pt>
                <c:pt idx="10">
                  <c:v>45592</c:v>
                </c:pt>
                <c:pt idx="11">
                  <c:v>45593</c:v>
                </c:pt>
                <c:pt idx="12">
                  <c:v>45594</c:v>
                </c:pt>
                <c:pt idx="13">
                  <c:v>45595</c:v>
                </c:pt>
                <c:pt idx="14">
                  <c:v>45596</c:v>
                </c:pt>
                <c:pt idx="15">
                  <c:v>45597</c:v>
                </c:pt>
                <c:pt idx="16">
                  <c:v>45598</c:v>
                </c:pt>
                <c:pt idx="17">
                  <c:v>45599</c:v>
                </c:pt>
                <c:pt idx="18">
                  <c:v>45600</c:v>
                </c:pt>
                <c:pt idx="19">
                  <c:v>45601</c:v>
                </c:pt>
                <c:pt idx="20">
                  <c:v>45602</c:v>
                </c:pt>
                <c:pt idx="21">
                  <c:v>45603</c:v>
                </c:pt>
                <c:pt idx="22">
                  <c:v>45604</c:v>
                </c:pt>
                <c:pt idx="23">
                  <c:v>45605</c:v>
                </c:pt>
                <c:pt idx="24">
                  <c:v>45606</c:v>
                </c:pt>
                <c:pt idx="25">
                  <c:v>45607</c:v>
                </c:pt>
                <c:pt idx="26">
                  <c:v>45608</c:v>
                </c:pt>
                <c:pt idx="27">
                  <c:v>45609</c:v>
                </c:pt>
                <c:pt idx="28">
                  <c:v>45610</c:v>
                </c:pt>
                <c:pt idx="29">
                  <c:v>45611</c:v>
                </c:pt>
                <c:pt idx="30">
                  <c:v>45612</c:v>
                </c:pt>
                <c:pt idx="31">
                  <c:v>45613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45619</c:v>
                </c:pt>
                <c:pt idx="38">
                  <c:v>45620</c:v>
                </c:pt>
                <c:pt idx="39">
                  <c:v>45621</c:v>
                </c:pt>
                <c:pt idx="40">
                  <c:v>45622</c:v>
                </c:pt>
                <c:pt idx="41">
                  <c:v>45623</c:v>
                </c:pt>
                <c:pt idx="42">
                  <c:v>45624</c:v>
                </c:pt>
                <c:pt idx="43">
                  <c:v>45625</c:v>
                </c:pt>
                <c:pt idx="44">
                  <c:v>45626</c:v>
                </c:pt>
                <c:pt idx="45">
                  <c:v>45627</c:v>
                </c:pt>
                <c:pt idx="46">
                  <c:v>45628</c:v>
                </c:pt>
                <c:pt idx="47">
                  <c:v>45629</c:v>
                </c:pt>
                <c:pt idx="48">
                  <c:v>45630</c:v>
                </c:pt>
                <c:pt idx="49">
                  <c:v>45631</c:v>
                </c:pt>
                <c:pt idx="50">
                  <c:v>45632</c:v>
                </c:pt>
                <c:pt idx="51">
                  <c:v>45633</c:v>
                </c:pt>
                <c:pt idx="52">
                  <c:v>45634</c:v>
                </c:pt>
                <c:pt idx="53">
                  <c:v>45635</c:v>
                </c:pt>
                <c:pt idx="54">
                  <c:v>45636</c:v>
                </c:pt>
                <c:pt idx="55">
                  <c:v>45637</c:v>
                </c:pt>
                <c:pt idx="56">
                  <c:v>45638</c:v>
                </c:pt>
                <c:pt idx="57">
                  <c:v>45639</c:v>
                </c:pt>
                <c:pt idx="58">
                  <c:v>45640</c:v>
                </c:pt>
                <c:pt idx="59">
                  <c:v>45641</c:v>
                </c:pt>
                <c:pt idx="60">
                  <c:v>45642</c:v>
                </c:pt>
                <c:pt idx="61">
                  <c:v>45643</c:v>
                </c:pt>
                <c:pt idx="62">
                  <c:v>45644</c:v>
                </c:pt>
                <c:pt idx="63">
                  <c:v>45645</c:v>
                </c:pt>
                <c:pt idx="64">
                  <c:v>45646</c:v>
                </c:pt>
                <c:pt idx="65">
                  <c:v>45647</c:v>
                </c:pt>
                <c:pt idx="66">
                  <c:v>45648</c:v>
                </c:pt>
                <c:pt idx="67">
                  <c:v>45649</c:v>
                </c:pt>
                <c:pt idx="68">
                  <c:v>45650</c:v>
                </c:pt>
                <c:pt idx="69">
                  <c:v>45651</c:v>
                </c:pt>
                <c:pt idx="70">
                  <c:v>45652</c:v>
                </c:pt>
                <c:pt idx="71">
                  <c:v>45653</c:v>
                </c:pt>
                <c:pt idx="72">
                  <c:v>45654</c:v>
                </c:pt>
                <c:pt idx="73">
                  <c:v>45655</c:v>
                </c:pt>
                <c:pt idx="74">
                  <c:v>45656</c:v>
                </c:pt>
                <c:pt idx="75">
                  <c:v>45657</c:v>
                </c:pt>
                <c:pt idx="76">
                  <c:v>45658</c:v>
                </c:pt>
                <c:pt idx="77">
                  <c:v>45659</c:v>
                </c:pt>
                <c:pt idx="78">
                  <c:v>45660</c:v>
                </c:pt>
                <c:pt idx="79">
                  <c:v>45661</c:v>
                </c:pt>
                <c:pt idx="80">
                  <c:v>45662</c:v>
                </c:pt>
                <c:pt idx="81">
                  <c:v>45663</c:v>
                </c:pt>
                <c:pt idx="82">
                  <c:v>45664</c:v>
                </c:pt>
                <c:pt idx="83">
                  <c:v>45665</c:v>
                </c:pt>
                <c:pt idx="84">
                  <c:v>45666</c:v>
                </c:pt>
                <c:pt idx="85">
                  <c:v>45667</c:v>
                </c:pt>
                <c:pt idx="86">
                  <c:v>45668</c:v>
                </c:pt>
                <c:pt idx="87">
                  <c:v>45669</c:v>
                </c:pt>
                <c:pt idx="88">
                  <c:v>45670</c:v>
                </c:pt>
                <c:pt idx="89">
                  <c:v>45671</c:v>
                </c:pt>
                <c:pt idx="90">
                  <c:v>45672</c:v>
                </c:pt>
                <c:pt idx="91">
                  <c:v>45673</c:v>
                </c:pt>
                <c:pt idx="92">
                  <c:v>45674</c:v>
                </c:pt>
                <c:pt idx="93">
                  <c:v>45675</c:v>
                </c:pt>
                <c:pt idx="94">
                  <c:v>45676</c:v>
                </c:pt>
                <c:pt idx="95">
                  <c:v>45677</c:v>
                </c:pt>
                <c:pt idx="96">
                  <c:v>45678</c:v>
                </c:pt>
                <c:pt idx="97">
                  <c:v>45679</c:v>
                </c:pt>
                <c:pt idx="98">
                  <c:v>45680</c:v>
                </c:pt>
                <c:pt idx="99">
                  <c:v>45681</c:v>
                </c:pt>
                <c:pt idx="100">
                  <c:v>45682</c:v>
                </c:pt>
                <c:pt idx="101">
                  <c:v>45683</c:v>
                </c:pt>
                <c:pt idx="102">
                  <c:v>45684</c:v>
                </c:pt>
                <c:pt idx="103">
                  <c:v>45685</c:v>
                </c:pt>
                <c:pt idx="104">
                  <c:v>45686</c:v>
                </c:pt>
                <c:pt idx="105">
                  <c:v>45687</c:v>
                </c:pt>
                <c:pt idx="106">
                  <c:v>45688</c:v>
                </c:pt>
                <c:pt idx="107">
                  <c:v>45689</c:v>
                </c:pt>
                <c:pt idx="108">
                  <c:v>45690</c:v>
                </c:pt>
                <c:pt idx="109">
                  <c:v>45691</c:v>
                </c:pt>
                <c:pt idx="110">
                  <c:v>45692</c:v>
                </c:pt>
                <c:pt idx="111">
                  <c:v>45693</c:v>
                </c:pt>
                <c:pt idx="112">
                  <c:v>45694</c:v>
                </c:pt>
                <c:pt idx="113">
                  <c:v>45695</c:v>
                </c:pt>
                <c:pt idx="114">
                  <c:v>45696</c:v>
                </c:pt>
                <c:pt idx="115">
                  <c:v>45697</c:v>
                </c:pt>
                <c:pt idx="116">
                  <c:v>45698</c:v>
                </c:pt>
                <c:pt idx="117">
                  <c:v>45699</c:v>
                </c:pt>
                <c:pt idx="118">
                  <c:v>45700</c:v>
                </c:pt>
                <c:pt idx="119">
                  <c:v>45701</c:v>
                </c:pt>
                <c:pt idx="120">
                  <c:v>45702</c:v>
                </c:pt>
                <c:pt idx="121">
                  <c:v>45703</c:v>
                </c:pt>
                <c:pt idx="122">
                  <c:v>45704</c:v>
                </c:pt>
                <c:pt idx="123">
                  <c:v>45705</c:v>
                </c:pt>
                <c:pt idx="124">
                  <c:v>45706</c:v>
                </c:pt>
                <c:pt idx="125">
                  <c:v>45707</c:v>
                </c:pt>
                <c:pt idx="126">
                  <c:v>45708</c:v>
                </c:pt>
                <c:pt idx="127">
                  <c:v>45709</c:v>
                </c:pt>
                <c:pt idx="128">
                  <c:v>45710</c:v>
                </c:pt>
                <c:pt idx="129">
                  <c:v>45711</c:v>
                </c:pt>
                <c:pt idx="130">
                  <c:v>45712</c:v>
                </c:pt>
                <c:pt idx="131">
                  <c:v>45713</c:v>
                </c:pt>
                <c:pt idx="132">
                  <c:v>45714</c:v>
                </c:pt>
                <c:pt idx="133">
                  <c:v>45715</c:v>
                </c:pt>
                <c:pt idx="134">
                  <c:v>45716</c:v>
                </c:pt>
                <c:pt idx="135">
                  <c:v>45717</c:v>
                </c:pt>
                <c:pt idx="136">
                  <c:v>45718</c:v>
                </c:pt>
                <c:pt idx="137">
                  <c:v>45719</c:v>
                </c:pt>
                <c:pt idx="138">
                  <c:v>45720</c:v>
                </c:pt>
                <c:pt idx="139">
                  <c:v>45721</c:v>
                </c:pt>
                <c:pt idx="140">
                  <c:v>45722</c:v>
                </c:pt>
                <c:pt idx="141">
                  <c:v>45723</c:v>
                </c:pt>
                <c:pt idx="142">
                  <c:v>45724</c:v>
                </c:pt>
                <c:pt idx="143">
                  <c:v>45725</c:v>
                </c:pt>
                <c:pt idx="144">
                  <c:v>45726</c:v>
                </c:pt>
                <c:pt idx="145">
                  <c:v>45727</c:v>
                </c:pt>
                <c:pt idx="146">
                  <c:v>45728</c:v>
                </c:pt>
                <c:pt idx="147">
                  <c:v>45729</c:v>
                </c:pt>
                <c:pt idx="148">
                  <c:v>45730</c:v>
                </c:pt>
                <c:pt idx="149">
                  <c:v>45731</c:v>
                </c:pt>
                <c:pt idx="150">
                  <c:v>45732</c:v>
                </c:pt>
                <c:pt idx="151">
                  <c:v>45733</c:v>
                </c:pt>
                <c:pt idx="152">
                  <c:v>45734</c:v>
                </c:pt>
                <c:pt idx="153">
                  <c:v>45735</c:v>
                </c:pt>
                <c:pt idx="154">
                  <c:v>45736</c:v>
                </c:pt>
                <c:pt idx="155">
                  <c:v>45737</c:v>
                </c:pt>
                <c:pt idx="156">
                  <c:v>45738</c:v>
                </c:pt>
                <c:pt idx="157">
                  <c:v>45739</c:v>
                </c:pt>
                <c:pt idx="158">
                  <c:v>45740</c:v>
                </c:pt>
                <c:pt idx="159">
                  <c:v>45741</c:v>
                </c:pt>
                <c:pt idx="160">
                  <c:v>45742</c:v>
                </c:pt>
                <c:pt idx="161">
                  <c:v>45743</c:v>
                </c:pt>
                <c:pt idx="162">
                  <c:v>45744</c:v>
                </c:pt>
                <c:pt idx="163">
                  <c:v>45745</c:v>
                </c:pt>
                <c:pt idx="164">
                  <c:v>45746</c:v>
                </c:pt>
                <c:pt idx="165">
                  <c:v>45747</c:v>
                </c:pt>
                <c:pt idx="166">
                  <c:v>45748</c:v>
                </c:pt>
                <c:pt idx="167">
                  <c:v>45749</c:v>
                </c:pt>
                <c:pt idx="168">
                  <c:v>45750</c:v>
                </c:pt>
                <c:pt idx="169">
                  <c:v>45751</c:v>
                </c:pt>
                <c:pt idx="170">
                  <c:v>45752</c:v>
                </c:pt>
                <c:pt idx="171">
                  <c:v>45753</c:v>
                </c:pt>
                <c:pt idx="172">
                  <c:v>45754</c:v>
                </c:pt>
                <c:pt idx="173">
                  <c:v>45755</c:v>
                </c:pt>
                <c:pt idx="174">
                  <c:v>45756</c:v>
                </c:pt>
                <c:pt idx="175">
                  <c:v>45757</c:v>
                </c:pt>
                <c:pt idx="176">
                  <c:v>45758</c:v>
                </c:pt>
                <c:pt idx="177">
                  <c:v>45759</c:v>
                </c:pt>
                <c:pt idx="178">
                  <c:v>45760</c:v>
                </c:pt>
                <c:pt idx="179">
                  <c:v>45761</c:v>
                </c:pt>
                <c:pt idx="180">
                  <c:v>45762</c:v>
                </c:pt>
                <c:pt idx="181">
                  <c:v>45763</c:v>
                </c:pt>
                <c:pt idx="182">
                  <c:v>45764</c:v>
                </c:pt>
                <c:pt idx="183">
                  <c:v>45765</c:v>
                </c:pt>
                <c:pt idx="184">
                  <c:v>45766</c:v>
                </c:pt>
                <c:pt idx="185">
                  <c:v>45767</c:v>
                </c:pt>
                <c:pt idx="186">
                  <c:v>45768</c:v>
                </c:pt>
                <c:pt idx="187">
                  <c:v>45769</c:v>
                </c:pt>
                <c:pt idx="188">
                  <c:v>45770</c:v>
                </c:pt>
                <c:pt idx="189">
                  <c:v>45771</c:v>
                </c:pt>
                <c:pt idx="190">
                  <c:v>45772</c:v>
                </c:pt>
                <c:pt idx="191">
                  <c:v>45773</c:v>
                </c:pt>
                <c:pt idx="192">
                  <c:v>45774</c:v>
                </c:pt>
                <c:pt idx="193">
                  <c:v>45775</c:v>
                </c:pt>
                <c:pt idx="194">
                  <c:v>45776</c:v>
                </c:pt>
                <c:pt idx="195">
                  <c:v>45777</c:v>
                </c:pt>
                <c:pt idx="196">
                  <c:v>45778</c:v>
                </c:pt>
                <c:pt idx="197">
                  <c:v>45779</c:v>
                </c:pt>
                <c:pt idx="198">
                  <c:v>45780</c:v>
                </c:pt>
                <c:pt idx="199">
                  <c:v>45781</c:v>
                </c:pt>
                <c:pt idx="200">
                  <c:v>45782</c:v>
                </c:pt>
                <c:pt idx="201">
                  <c:v>45783</c:v>
                </c:pt>
                <c:pt idx="202">
                  <c:v>45784</c:v>
                </c:pt>
                <c:pt idx="203">
                  <c:v>45785</c:v>
                </c:pt>
                <c:pt idx="204">
                  <c:v>45786</c:v>
                </c:pt>
                <c:pt idx="205">
                  <c:v>45787</c:v>
                </c:pt>
                <c:pt idx="206">
                  <c:v>45788</c:v>
                </c:pt>
                <c:pt idx="207">
                  <c:v>45789</c:v>
                </c:pt>
                <c:pt idx="208">
                  <c:v>45790</c:v>
                </c:pt>
                <c:pt idx="209">
                  <c:v>45791</c:v>
                </c:pt>
                <c:pt idx="210">
                  <c:v>45792</c:v>
                </c:pt>
                <c:pt idx="211">
                  <c:v>45793</c:v>
                </c:pt>
                <c:pt idx="212">
                  <c:v>45794</c:v>
                </c:pt>
                <c:pt idx="213">
                  <c:v>45795</c:v>
                </c:pt>
                <c:pt idx="214">
                  <c:v>45796</c:v>
                </c:pt>
                <c:pt idx="215">
                  <c:v>45797</c:v>
                </c:pt>
                <c:pt idx="216">
                  <c:v>45798</c:v>
                </c:pt>
                <c:pt idx="217">
                  <c:v>45799</c:v>
                </c:pt>
                <c:pt idx="218">
                  <c:v>45800</c:v>
                </c:pt>
                <c:pt idx="219">
                  <c:v>45801</c:v>
                </c:pt>
                <c:pt idx="220">
                  <c:v>45802</c:v>
                </c:pt>
                <c:pt idx="221">
                  <c:v>45803</c:v>
                </c:pt>
                <c:pt idx="222">
                  <c:v>45804</c:v>
                </c:pt>
                <c:pt idx="223">
                  <c:v>45805</c:v>
                </c:pt>
                <c:pt idx="224">
                  <c:v>45806</c:v>
                </c:pt>
                <c:pt idx="225">
                  <c:v>45807</c:v>
                </c:pt>
                <c:pt idx="226">
                  <c:v>45808</c:v>
                </c:pt>
                <c:pt idx="227">
                  <c:v>45809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45815</c:v>
                </c:pt>
                <c:pt idx="234">
                  <c:v>45816</c:v>
                </c:pt>
                <c:pt idx="235">
                  <c:v>45817</c:v>
                </c:pt>
                <c:pt idx="236">
                  <c:v>45818</c:v>
                </c:pt>
                <c:pt idx="237">
                  <c:v>45819</c:v>
                </c:pt>
                <c:pt idx="238">
                  <c:v>45820</c:v>
                </c:pt>
                <c:pt idx="239">
                  <c:v>45821</c:v>
                </c:pt>
                <c:pt idx="240">
                  <c:v>45822</c:v>
                </c:pt>
                <c:pt idx="241">
                  <c:v>45823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45829</c:v>
                </c:pt>
                <c:pt idx="248">
                  <c:v>45830</c:v>
                </c:pt>
                <c:pt idx="249">
                  <c:v>45831</c:v>
                </c:pt>
                <c:pt idx="250">
                  <c:v>45832</c:v>
                </c:pt>
                <c:pt idx="251">
                  <c:v>45833</c:v>
                </c:pt>
                <c:pt idx="252">
                  <c:v>45834</c:v>
                </c:pt>
                <c:pt idx="253">
                  <c:v>45835</c:v>
                </c:pt>
                <c:pt idx="254">
                  <c:v>45836</c:v>
                </c:pt>
                <c:pt idx="255">
                  <c:v>45837</c:v>
                </c:pt>
                <c:pt idx="256">
                  <c:v>45838</c:v>
                </c:pt>
                <c:pt idx="257">
                  <c:v>45839</c:v>
                </c:pt>
                <c:pt idx="258">
                  <c:v>45840</c:v>
                </c:pt>
                <c:pt idx="259">
                  <c:v>45841</c:v>
                </c:pt>
                <c:pt idx="260">
                  <c:v>45842</c:v>
                </c:pt>
                <c:pt idx="261">
                  <c:v>45843</c:v>
                </c:pt>
                <c:pt idx="262">
                  <c:v>45844</c:v>
                </c:pt>
                <c:pt idx="263">
                  <c:v>45845</c:v>
                </c:pt>
                <c:pt idx="264">
                  <c:v>45846</c:v>
                </c:pt>
                <c:pt idx="265">
                  <c:v>45847</c:v>
                </c:pt>
                <c:pt idx="266">
                  <c:v>45848</c:v>
                </c:pt>
                <c:pt idx="267">
                  <c:v>45849</c:v>
                </c:pt>
                <c:pt idx="268">
                  <c:v>45850</c:v>
                </c:pt>
                <c:pt idx="269">
                  <c:v>45851</c:v>
                </c:pt>
                <c:pt idx="270">
                  <c:v>45852</c:v>
                </c:pt>
                <c:pt idx="271">
                  <c:v>45853</c:v>
                </c:pt>
                <c:pt idx="272">
                  <c:v>45854</c:v>
                </c:pt>
                <c:pt idx="273">
                  <c:v>45855</c:v>
                </c:pt>
                <c:pt idx="274">
                  <c:v>45856</c:v>
                </c:pt>
                <c:pt idx="275">
                  <c:v>45857</c:v>
                </c:pt>
                <c:pt idx="276">
                  <c:v>45858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45864</c:v>
                </c:pt>
                <c:pt idx="283">
                  <c:v>45865</c:v>
                </c:pt>
                <c:pt idx="284">
                  <c:v>45866</c:v>
                </c:pt>
                <c:pt idx="285">
                  <c:v>45867</c:v>
                </c:pt>
                <c:pt idx="286">
                  <c:v>45868</c:v>
                </c:pt>
                <c:pt idx="287">
                  <c:v>45869</c:v>
                </c:pt>
                <c:pt idx="288">
                  <c:v>45870</c:v>
                </c:pt>
                <c:pt idx="289">
                  <c:v>45871</c:v>
                </c:pt>
                <c:pt idx="290">
                  <c:v>45872</c:v>
                </c:pt>
                <c:pt idx="291">
                  <c:v>45873</c:v>
                </c:pt>
                <c:pt idx="292">
                  <c:v>45874</c:v>
                </c:pt>
                <c:pt idx="293">
                  <c:v>45875</c:v>
                </c:pt>
                <c:pt idx="294">
                  <c:v>45876</c:v>
                </c:pt>
                <c:pt idx="295">
                  <c:v>45877</c:v>
                </c:pt>
                <c:pt idx="296">
                  <c:v>45878</c:v>
                </c:pt>
                <c:pt idx="297">
                  <c:v>45879</c:v>
                </c:pt>
                <c:pt idx="298">
                  <c:v>45880</c:v>
                </c:pt>
                <c:pt idx="299">
                  <c:v>45881</c:v>
                </c:pt>
                <c:pt idx="300">
                  <c:v>45882</c:v>
                </c:pt>
                <c:pt idx="301">
                  <c:v>45883</c:v>
                </c:pt>
                <c:pt idx="302">
                  <c:v>45884</c:v>
                </c:pt>
                <c:pt idx="303">
                  <c:v>45885</c:v>
                </c:pt>
                <c:pt idx="304">
                  <c:v>45886</c:v>
                </c:pt>
                <c:pt idx="305">
                  <c:v>45887</c:v>
                </c:pt>
                <c:pt idx="306">
                  <c:v>45888</c:v>
                </c:pt>
                <c:pt idx="307">
                  <c:v>45889</c:v>
                </c:pt>
                <c:pt idx="308">
                  <c:v>45890</c:v>
                </c:pt>
                <c:pt idx="309">
                  <c:v>45891</c:v>
                </c:pt>
                <c:pt idx="310">
                  <c:v>45892</c:v>
                </c:pt>
                <c:pt idx="311">
                  <c:v>45893</c:v>
                </c:pt>
                <c:pt idx="312">
                  <c:v>45894</c:v>
                </c:pt>
                <c:pt idx="313">
                  <c:v>45895</c:v>
                </c:pt>
                <c:pt idx="314">
                  <c:v>45896</c:v>
                </c:pt>
                <c:pt idx="315">
                  <c:v>45897</c:v>
                </c:pt>
                <c:pt idx="316">
                  <c:v>45898</c:v>
                </c:pt>
                <c:pt idx="317">
                  <c:v>45899</c:v>
                </c:pt>
                <c:pt idx="318">
                  <c:v>45900</c:v>
                </c:pt>
                <c:pt idx="319">
                  <c:v>45901</c:v>
                </c:pt>
                <c:pt idx="320">
                  <c:v>45902</c:v>
                </c:pt>
                <c:pt idx="321">
                  <c:v>45903</c:v>
                </c:pt>
                <c:pt idx="322">
                  <c:v>45904</c:v>
                </c:pt>
                <c:pt idx="323">
                  <c:v>45905</c:v>
                </c:pt>
                <c:pt idx="324">
                  <c:v>45906</c:v>
                </c:pt>
                <c:pt idx="325">
                  <c:v>45907</c:v>
                </c:pt>
                <c:pt idx="326">
                  <c:v>45908</c:v>
                </c:pt>
                <c:pt idx="327">
                  <c:v>45909</c:v>
                </c:pt>
                <c:pt idx="328">
                  <c:v>45910</c:v>
                </c:pt>
                <c:pt idx="329">
                  <c:v>45911</c:v>
                </c:pt>
                <c:pt idx="330">
                  <c:v>45912</c:v>
                </c:pt>
                <c:pt idx="331">
                  <c:v>45913</c:v>
                </c:pt>
                <c:pt idx="332">
                  <c:v>45914</c:v>
                </c:pt>
                <c:pt idx="333">
                  <c:v>45915</c:v>
                </c:pt>
                <c:pt idx="334">
                  <c:v>45916</c:v>
                </c:pt>
                <c:pt idx="335">
                  <c:v>45917</c:v>
                </c:pt>
                <c:pt idx="336">
                  <c:v>45918</c:v>
                </c:pt>
                <c:pt idx="337">
                  <c:v>45919</c:v>
                </c:pt>
                <c:pt idx="338">
                  <c:v>45920</c:v>
                </c:pt>
                <c:pt idx="339">
                  <c:v>45921</c:v>
                </c:pt>
                <c:pt idx="340">
                  <c:v>45922</c:v>
                </c:pt>
                <c:pt idx="341">
                  <c:v>45923</c:v>
                </c:pt>
                <c:pt idx="342">
                  <c:v>45924</c:v>
                </c:pt>
                <c:pt idx="343">
                  <c:v>45925</c:v>
                </c:pt>
                <c:pt idx="344">
                  <c:v>45926</c:v>
                </c:pt>
                <c:pt idx="345">
                  <c:v>45927</c:v>
                </c:pt>
                <c:pt idx="346">
                  <c:v>45928</c:v>
                </c:pt>
                <c:pt idx="347">
                  <c:v>45929</c:v>
                </c:pt>
                <c:pt idx="348">
                  <c:v>45930</c:v>
                </c:pt>
                <c:pt idx="349">
                  <c:v>45931</c:v>
                </c:pt>
                <c:pt idx="350">
                  <c:v>45932</c:v>
                </c:pt>
                <c:pt idx="351">
                  <c:v>45933</c:v>
                </c:pt>
                <c:pt idx="352">
                  <c:v>45934</c:v>
                </c:pt>
                <c:pt idx="353">
                  <c:v>45935</c:v>
                </c:pt>
                <c:pt idx="354">
                  <c:v>45936</c:v>
                </c:pt>
                <c:pt idx="355">
                  <c:v>45937</c:v>
                </c:pt>
                <c:pt idx="356">
                  <c:v>45938</c:v>
                </c:pt>
                <c:pt idx="357">
                  <c:v>45939</c:v>
                </c:pt>
                <c:pt idx="358">
                  <c:v>45940</c:v>
                </c:pt>
                <c:pt idx="359">
                  <c:v>45941</c:v>
                </c:pt>
                <c:pt idx="360">
                  <c:v>45942</c:v>
                </c:pt>
                <c:pt idx="361">
                  <c:v>45943</c:v>
                </c:pt>
                <c:pt idx="362">
                  <c:v>45944</c:v>
                </c:pt>
                <c:pt idx="363">
                  <c:v>45945</c:v>
                </c:pt>
                <c:pt idx="364">
                  <c:v>45946</c:v>
                </c:pt>
                <c:pt idx="365">
                  <c:v>45947</c:v>
                </c:pt>
                <c:pt idx="366">
                  <c:v>45948</c:v>
                </c:pt>
                <c:pt idx="367">
                  <c:v>45949</c:v>
                </c:pt>
                <c:pt idx="368">
                  <c:v>45950</c:v>
                </c:pt>
                <c:pt idx="369">
                  <c:v>45951</c:v>
                </c:pt>
                <c:pt idx="370">
                  <c:v>45952</c:v>
                </c:pt>
                <c:pt idx="371">
                  <c:v>45953</c:v>
                </c:pt>
                <c:pt idx="372">
                  <c:v>45954</c:v>
                </c:pt>
                <c:pt idx="373">
                  <c:v>45955</c:v>
                </c:pt>
                <c:pt idx="374">
                  <c:v>45956</c:v>
                </c:pt>
                <c:pt idx="375">
                  <c:v>45957</c:v>
                </c:pt>
                <c:pt idx="376">
                  <c:v>45958</c:v>
                </c:pt>
                <c:pt idx="377">
                  <c:v>45959</c:v>
                </c:pt>
                <c:pt idx="378">
                  <c:v>45960</c:v>
                </c:pt>
                <c:pt idx="379">
                  <c:v>45961</c:v>
                </c:pt>
                <c:pt idx="380">
                  <c:v>45962</c:v>
                </c:pt>
                <c:pt idx="381">
                  <c:v>45963</c:v>
                </c:pt>
                <c:pt idx="382">
                  <c:v>45964</c:v>
                </c:pt>
                <c:pt idx="383">
                  <c:v>45965</c:v>
                </c:pt>
                <c:pt idx="384">
                  <c:v>45966</c:v>
                </c:pt>
                <c:pt idx="385">
                  <c:v>45967</c:v>
                </c:pt>
                <c:pt idx="386">
                  <c:v>45968</c:v>
                </c:pt>
                <c:pt idx="387">
                  <c:v>45969</c:v>
                </c:pt>
                <c:pt idx="388">
                  <c:v>45970</c:v>
                </c:pt>
                <c:pt idx="389">
                  <c:v>45971</c:v>
                </c:pt>
                <c:pt idx="390">
                  <c:v>45972</c:v>
                </c:pt>
                <c:pt idx="391">
                  <c:v>45973</c:v>
                </c:pt>
                <c:pt idx="392">
                  <c:v>45974</c:v>
                </c:pt>
                <c:pt idx="393">
                  <c:v>45975</c:v>
                </c:pt>
                <c:pt idx="394">
                  <c:v>45976</c:v>
                </c:pt>
                <c:pt idx="395">
                  <c:v>45977</c:v>
                </c:pt>
                <c:pt idx="396">
                  <c:v>45978</c:v>
                </c:pt>
                <c:pt idx="397">
                  <c:v>45979</c:v>
                </c:pt>
                <c:pt idx="398">
                  <c:v>45980</c:v>
                </c:pt>
                <c:pt idx="399">
                  <c:v>45981</c:v>
                </c:pt>
                <c:pt idx="400">
                  <c:v>45982</c:v>
                </c:pt>
                <c:pt idx="401">
                  <c:v>45983</c:v>
                </c:pt>
                <c:pt idx="402">
                  <c:v>45984</c:v>
                </c:pt>
                <c:pt idx="403">
                  <c:v>45985</c:v>
                </c:pt>
                <c:pt idx="404">
                  <c:v>45986</c:v>
                </c:pt>
                <c:pt idx="405">
                  <c:v>45987</c:v>
                </c:pt>
                <c:pt idx="406">
                  <c:v>45988</c:v>
                </c:pt>
                <c:pt idx="407">
                  <c:v>45989</c:v>
                </c:pt>
                <c:pt idx="408">
                  <c:v>45990</c:v>
                </c:pt>
                <c:pt idx="409">
                  <c:v>45991</c:v>
                </c:pt>
                <c:pt idx="410">
                  <c:v>45992</c:v>
                </c:pt>
                <c:pt idx="411">
                  <c:v>45993</c:v>
                </c:pt>
                <c:pt idx="412">
                  <c:v>45994</c:v>
                </c:pt>
                <c:pt idx="413">
                  <c:v>45995</c:v>
                </c:pt>
                <c:pt idx="414">
                  <c:v>45996</c:v>
                </c:pt>
                <c:pt idx="415">
                  <c:v>45997</c:v>
                </c:pt>
                <c:pt idx="416">
                  <c:v>45998</c:v>
                </c:pt>
                <c:pt idx="417">
                  <c:v>45999</c:v>
                </c:pt>
                <c:pt idx="418">
                  <c:v>46000</c:v>
                </c:pt>
                <c:pt idx="419">
                  <c:v>46001</c:v>
                </c:pt>
                <c:pt idx="420">
                  <c:v>46002</c:v>
                </c:pt>
                <c:pt idx="421">
                  <c:v>46003</c:v>
                </c:pt>
                <c:pt idx="422">
                  <c:v>46004</c:v>
                </c:pt>
                <c:pt idx="423">
                  <c:v>46005</c:v>
                </c:pt>
                <c:pt idx="424">
                  <c:v>46006</c:v>
                </c:pt>
                <c:pt idx="425">
                  <c:v>46007</c:v>
                </c:pt>
                <c:pt idx="426">
                  <c:v>46008</c:v>
                </c:pt>
                <c:pt idx="427">
                  <c:v>46009</c:v>
                </c:pt>
                <c:pt idx="428">
                  <c:v>46010</c:v>
                </c:pt>
                <c:pt idx="429">
                  <c:v>46011</c:v>
                </c:pt>
                <c:pt idx="430">
                  <c:v>46012</c:v>
                </c:pt>
                <c:pt idx="431">
                  <c:v>46013</c:v>
                </c:pt>
                <c:pt idx="432">
                  <c:v>46014</c:v>
                </c:pt>
                <c:pt idx="433">
                  <c:v>46015</c:v>
                </c:pt>
                <c:pt idx="434">
                  <c:v>46016</c:v>
                </c:pt>
                <c:pt idx="435">
                  <c:v>46017</c:v>
                </c:pt>
                <c:pt idx="436">
                  <c:v>46018</c:v>
                </c:pt>
                <c:pt idx="437">
                  <c:v>46019</c:v>
                </c:pt>
                <c:pt idx="438">
                  <c:v>46020</c:v>
                </c:pt>
                <c:pt idx="439">
                  <c:v>46021</c:v>
                </c:pt>
                <c:pt idx="440">
                  <c:v>46022</c:v>
                </c:pt>
                <c:pt idx="441">
                  <c:v>46023</c:v>
                </c:pt>
                <c:pt idx="442">
                  <c:v>46024</c:v>
                </c:pt>
                <c:pt idx="443">
                  <c:v>46025</c:v>
                </c:pt>
                <c:pt idx="444">
                  <c:v>46026</c:v>
                </c:pt>
                <c:pt idx="445">
                  <c:v>46027</c:v>
                </c:pt>
                <c:pt idx="446">
                  <c:v>46028</c:v>
                </c:pt>
                <c:pt idx="447">
                  <c:v>46029</c:v>
                </c:pt>
                <c:pt idx="448">
                  <c:v>46030</c:v>
                </c:pt>
                <c:pt idx="449">
                  <c:v>46031</c:v>
                </c:pt>
                <c:pt idx="450">
                  <c:v>46032</c:v>
                </c:pt>
                <c:pt idx="451">
                  <c:v>46033</c:v>
                </c:pt>
                <c:pt idx="452">
                  <c:v>46034</c:v>
                </c:pt>
                <c:pt idx="453">
                  <c:v>46035</c:v>
                </c:pt>
                <c:pt idx="454">
                  <c:v>46036</c:v>
                </c:pt>
                <c:pt idx="455">
                  <c:v>46037</c:v>
                </c:pt>
                <c:pt idx="456">
                  <c:v>46038</c:v>
                </c:pt>
                <c:pt idx="457">
                  <c:v>46039</c:v>
                </c:pt>
                <c:pt idx="458">
                  <c:v>46040</c:v>
                </c:pt>
                <c:pt idx="459">
                  <c:v>46041</c:v>
                </c:pt>
                <c:pt idx="460">
                  <c:v>46042</c:v>
                </c:pt>
                <c:pt idx="461">
                  <c:v>46043</c:v>
                </c:pt>
                <c:pt idx="462">
                  <c:v>46044</c:v>
                </c:pt>
                <c:pt idx="463">
                  <c:v>46045</c:v>
                </c:pt>
                <c:pt idx="464">
                  <c:v>46046</c:v>
                </c:pt>
                <c:pt idx="465">
                  <c:v>46047</c:v>
                </c:pt>
                <c:pt idx="466">
                  <c:v>46048</c:v>
                </c:pt>
                <c:pt idx="467">
                  <c:v>46049</c:v>
                </c:pt>
                <c:pt idx="468">
                  <c:v>46050</c:v>
                </c:pt>
                <c:pt idx="469">
                  <c:v>46051</c:v>
                </c:pt>
                <c:pt idx="470">
                  <c:v>46052</c:v>
                </c:pt>
                <c:pt idx="471">
                  <c:v>46053</c:v>
                </c:pt>
                <c:pt idx="472">
                  <c:v>46054</c:v>
                </c:pt>
                <c:pt idx="473">
                  <c:v>46055</c:v>
                </c:pt>
                <c:pt idx="474">
                  <c:v>46056</c:v>
                </c:pt>
                <c:pt idx="475">
                  <c:v>46057</c:v>
                </c:pt>
                <c:pt idx="476">
                  <c:v>46058</c:v>
                </c:pt>
                <c:pt idx="477">
                  <c:v>46059</c:v>
                </c:pt>
                <c:pt idx="478">
                  <c:v>46060</c:v>
                </c:pt>
                <c:pt idx="479">
                  <c:v>46061</c:v>
                </c:pt>
                <c:pt idx="480">
                  <c:v>46062</c:v>
                </c:pt>
                <c:pt idx="481">
                  <c:v>46063</c:v>
                </c:pt>
                <c:pt idx="482">
                  <c:v>46064</c:v>
                </c:pt>
                <c:pt idx="483">
                  <c:v>46065</c:v>
                </c:pt>
                <c:pt idx="484">
                  <c:v>46066</c:v>
                </c:pt>
                <c:pt idx="485">
                  <c:v>46067</c:v>
                </c:pt>
                <c:pt idx="486">
                  <c:v>46068</c:v>
                </c:pt>
                <c:pt idx="487">
                  <c:v>46069</c:v>
                </c:pt>
                <c:pt idx="488">
                  <c:v>46070</c:v>
                </c:pt>
                <c:pt idx="489">
                  <c:v>46071</c:v>
                </c:pt>
                <c:pt idx="490">
                  <c:v>46072</c:v>
                </c:pt>
                <c:pt idx="491">
                  <c:v>46073</c:v>
                </c:pt>
                <c:pt idx="492">
                  <c:v>46074</c:v>
                </c:pt>
                <c:pt idx="493">
                  <c:v>46075</c:v>
                </c:pt>
                <c:pt idx="494">
                  <c:v>46076</c:v>
                </c:pt>
                <c:pt idx="495">
                  <c:v>46077</c:v>
                </c:pt>
                <c:pt idx="496">
                  <c:v>46078</c:v>
                </c:pt>
                <c:pt idx="497">
                  <c:v>46079</c:v>
                </c:pt>
                <c:pt idx="498">
                  <c:v>46080</c:v>
                </c:pt>
                <c:pt idx="499">
                  <c:v>46081</c:v>
                </c:pt>
                <c:pt idx="500">
                  <c:v>46082</c:v>
                </c:pt>
                <c:pt idx="501">
                  <c:v>46083</c:v>
                </c:pt>
                <c:pt idx="502">
                  <c:v>46084</c:v>
                </c:pt>
                <c:pt idx="503">
                  <c:v>46085</c:v>
                </c:pt>
                <c:pt idx="504">
                  <c:v>46086</c:v>
                </c:pt>
                <c:pt idx="505">
                  <c:v>46087</c:v>
                </c:pt>
                <c:pt idx="506">
                  <c:v>46088</c:v>
                </c:pt>
                <c:pt idx="507">
                  <c:v>46089</c:v>
                </c:pt>
                <c:pt idx="508">
                  <c:v>46090</c:v>
                </c:pt>
                <c:pt idx="509">
                  <c:v>46091</c:v>
                </c:pt>
                <c:pt idx="510">
                  <c:v>46092</c:v>
                </c:pt>
                <c:pt idx="511">
                  <c:v>46093</c:v>
                </c:pt>
                <c:pt idx="512">
                  <c:v>46094</c:v>
                </c:pt>
                <c:pt idx="513">
                  <c:v>46095</c:v>
                </c:pt>
                <c:pt idx="514">
                  <c:v>46096</c:v>
                </c:pt>
                <c:pt idx="515">
                  <c:v>46097</c:v>
                </c:pt>
                <c:pt idx="516">
                  <c:v>46098</c:v>
                </c:pt>
                <c:pt idx="517">
                  <c:v>46099</c:v>
                </c:pt>
                <c:pt idx="518">
                  <c:v>46100</c:v>
                </c:pt>
                <c:pt idx="519">
                  <c:v>46101</c:v>
                </c:pt>
                <c:pt idx="520">
                  <c:v>46102</c:v>
                </c:pt>
                <c:pt idx="521">
                  <c:v>46103</c:v>
                </c:pt>
                <c:pt idx="522">
                  <c:v>46104</c:v>
                </c:pt>
                <c:pt idx="523">
                  <c:v>46105</c:v>
                </c:pt>
                <c:pt idx="524">
                  <c:v>46106</c:v>
                </c:pt>
                <c:pt idx="525">
                  <c:v>46107</c:v>
                </c:pt>
                <c:pt idx="526">
                  <c:v>46108</c:v>
                </c:pt>
                <c:pt idx="527">
                  <c:v>46109</c:v>
                </c:pt>
                <c:pt idx="528">
                  <c:v>46110</c:v>
                </c:pt>
                <c:pt idx="529">
                  <c:v>46111</c:v>
                </c:pt>
                <c:pt idx="530">
                  <c:v>46112</c:v>
                </c:pt>
                <c:pt idx="531">
                  <c:v>46113</c:v>
                </c:pt>
                <c:pt idx="532">
                  <c:v>46114</c:v>
                </c:pt>
                <c:pt idx="533">
                  <c:v>46115</c:v>
                </c:pt>
                <c:pt idx="534">
                  <c:v>46116</c:v>
                </c:pt>
                <c:pt idx="535">
                  <c:v>46117</c:v>
                </c:pt>
                <c:pt idx="536">
                  <c:v>46118</c:v>
                </c:pt>
                <c:pt idx="537">
                  <c:v>46119</c:v>
                </c:pt>
              </c:numCache>
            </c:numRef>
          </c:cat>
          <c:val>
            <c:numRef>
              <c:f>'Tasa_BCVUSDT Grafico1'!$F$3:$F$540</c:f>
              <c:numCache>
                <c:formatCode>0.000</c:formatCode>
                <c:ptCount val="538"/>
                <c:pt idx="0">
                  <c:v>39.0366</c:v>
                </c:pt>
                <c:pt idx="1">
                  <c:v>39.072000000000003</c:v>
                </c:pt>
                <c:pt idx="2">
                  <c:v>39.072000000000003</c:v>
                </c:pt>
                <c:pt idx="3">
                  <c:v>39.072000000000003</c:v>
                </c:pt>
                <c:pt idx="4">
                  <c:v>39.083300000000001</c:v>
                </c:pt>
                <c:pt idx="5">
                  <c:v>39.224699999999999</c:v>
                </c:pt>
                <c:pt idx="6">
                  <c:v>39.363</c:v>
                </c:pt>
                <c:pt idx="7">
                  <c:v>40.778100000000002</c:v>
                </c:pt>
                <c:pt idx="8">
                  <c:v>40.940300000000001</c:v>
                </c:pt>
                <c:pt idx="9">
                  <c:v>40.940300000000001</c:v>
                </c:pt>
                <c:pt idx="10">
                  <c:v>40.940300000000001</c:v>
                </c:pt>
                <c:pt idx="11">
                  <c:v>41.631799999999998</c:v>
                </c:pt>
                <c:pt idx="12">
                  <c:v>42.12</c:v>
                </c:pt>
                <c:pt idx="13">
                  <c:v>42.455800000000004</c:v>
                </c:pt>
                <c:pt idx="14">
                  <c:v>42.603299999999997</c:v>
                </c:pt>
                <c:pt idx="15">
                  <c:v>42.7498</c:v>
                </c:pt>
                <c:pt idx="16">
                  <c:v>42.7498</c:v>
                </c:pt>
                <c:pt idx="17">
                  <c:v>42.7498</c:v>
                </c:pt>
                <c:pt idx="18">
                  <c:v>42.7498</c:v>
                </c:pt>
                <c:pt idx="19">
                  <c:v>43.348999999999997</c:v>
                </c:pt>
                <c:pt idx="20">
                  <c:v>43.672699999999999</c:v>
                </c:pt>
                <c:pt idx="21">
                  <c:v>44.075600000000001</c:v>
                </c:pt>
                <c:pt idx="22">
                  <c:v>44.591700000000003</c:v>
                </c:pt>
                <c:pt idx="23">
                  <c:v>44.591700000000003</c:v>
                </c:pt>
                <c:pt idx="24">
                  <c:v>44.591700000000003</c:v>
                </c:pt>
                <c:pt idx="25">
                  <c:v>44.642499999999998</c:v>
                </c:pt>
                <c:pt idx="26">
                  <c:v>44.816600000000001</c:v>
                </c:pt>
                <c:pt idx="27">
                  <c:v>44.940399999999997</c:v>
                </c:pt>
                <c:pt idx="28">
                  <c:v>45.3932</c:v>
                </c:pt>
                <c:pt idx="29">
                  <c:v>45.674900000000001</c:v>
                </c:pt>
                <c:pt idx="30">
                  <c:v>45.674900000000001</c:v>
                </c:pt>
                <c:pt idx="31">
                  <c:v>45.674900000000001</c:v>
                </c:pt>
                <c:pt idx="32">
                  <c:v>45.674900000000001</c:v>
                </c:pt>
                <c:pt idx="33">
                  <c:v>45.726399999999998</c:v>
                </c:pt>
                <c:pt idx="34">
                  <c:v>45.9437</c:v>
                </c:pt>
                <c:pt idx="35">
                  <c:v>46.211500000000001</c:v>
                </c:pt>
                <c:pt idx="36">
                  <c:v>46.501100000000001</c:v>
                </c:pt>
                <c:pt idx="37">
                  <c:v>46.501100000000001</c:v>
                </c:pt>
                <c:pt idx="38">
                  <c:v>46.501100000000001</c:v>
                </c:pt>
                <c:pt idx="39">
                  <c:v>46.5261</c:v>
                </c:pt>
                <c:pt idx="40">
                  <c:v>46.636800000000001</c:v>
                </c:pt>
                <c:pt idx="41">
                  <c:v>46.738300000000002</c:v>
                </c:pt>
                <c:pt idx="42">
                  <c:v>47.195500000000003</c:v>
                </c:pt>
                <c:pt idx="43">
                  <c:v>47.488399999999999</c:v>
                </c:pt>
                <c:pt idx="44">
                  <c:v>47.488399999999999</c:v>
                </c:pt>
                <c:pt idx="45">
                  <c:v>47.488399999999999</c:v>
                </c:pt>
                <c:pt idx="46">
                  <c:v>47.61</c:v>
                </c:pt>
                <c:pt idx="47">
                  <c:v>47.735599999999998</c:v>
                </c:pt>
                <c:pt idx="48">
                  <c:v>47.997999999999998</c:v>
                </c:pt>
                <c:pt idx="49">
                  <c:v>48.2057</c:v>
                </c:pt>
                <c:pt idx="50">
                  <c:v>48.668300000000002</c:v>
                </c:pt>
                <c:pt idx="51">
                  <c:v>48.747300000000003</c:v>
                </c:pt>
                <c:pt idx="52">
                  <c:v>48.747300000000003</c:v>
                </c:pt>
                <c:pt idx="53">
                  <c:v>48.747300000000003</c:v>
                </c:pt>
                <c:pt idx="54">
                  <c:v>48.988300000000002</c:v>
                </c:pt>
                <c:pt idx="55">
                  <c:v>49.351999999999997</c:v>
                </c:pt>
                <c:pt idx="56">
                  <c:v>49.781999999999996</c:v>
                </c:pt>
                <c:pt idx="57">
                  <c:v>50.206099999999999</c:v>
                </c:pt>
                <c:pt idx="58">
                  <c:v>50.245100000000001</c:v>
                </c:pt>
                <c:pt idx="59">
                  <c:v>50.245100000000001</c:v>
                </c:pt>
                <c:pt idx="60">
                  <c:v>50.245100000000001</c:v>
                </c:pt>
                <c:pt idx="61">
                  <c:v>50.415500000000002</c:v>
                </c:pt>
                <c:pt idx="62">
                  <c:v>50.827100000000002</c:v>
                </c:pt>
                <c:pt idx="63">
                  <c:v>51.222000000000001</c:v>
                </c:pt>
                <c:pt idx="64">
                  <c:v>51.410899999999998</c:v>
                </c:pt>
                <c:pt idx="65">
                  <c:v>51.410899999999998</c:v>
                </c:pt>
                <c:pt idx="66">
                  <c:v>51.410899999999998</c:v>
                </c:pt>
                <c:pt idx="67">
                  <c:v>51.510899999999999</c:v>
                </c:pt>
                <c:pt idx="68">
                  <c:v>51.510899999999999</c:v>
                </c:pt>
                <c:pt idx="69">
                  <c:v>51.510899999999999</c:v>
                </c:pt>
                <c:pt idx="70">
                  <c:v>51.636499999999998</c:v>
                </c:pt>
                <c:pt idx="71">
                  <c:v>51.804699999999997</c:v>
                </c:pt>
                <c:pt idx="72">
                  <c:v>51.804699999999997</c:v>
                </c:pt>
                <c:pt idx="73">
                  <c:v>51.804699999999997</c:v>
                </c:pt>
                <c:pt idx="74">
                  <c:v>51.896999999999998</c:v>
                </c:pt>
                <c:pt idx="75">
                  <c:v>51.896999999999998</c:v>
                </c:pt>
                <c:pt idx="76">
                  <c:v>51.9345</c:v>
                </c:pt>
                <c:pt idx="77">
                  <c:v>52.027099999999997</c:v>
                </c:pt>
                <c:pt idx="78">
                  <c:v>52.572299999999998</c:v>
                </c:pt>
                <c:pt idx="79">
                  <c:v>52.572299999999998</c:v>
                </c:pt>
                <c:pt idx="80">
                  <c:v>52.572299999999998</c:v>
                </c:pt>
                <c:pt idx="81">
                  <c:v>52.572299999999998</c:v>
                </c:pt>
                <c:pt idx="82">
                  <c:v>53.012</c:v>
                </c:pt>
                <c:pt idx="83">
                  <c:v>53.070399999999999</c:v>
                </c:pt>
                <c:pt idx="84">
                  <c:v>53.282699999999998</c:v>
                </c:pt>
                <c:pt idx="85">
                  <c:v>53.852200000000003</c:v>
                </c:pt>
                <c:pt idx="86">
                  <c:v>53.852200000000003</c:v>
                </c:pt>
                <c:pt idx="87">
                  <c:v>53.852200000000003</c:v>
                </c:pt>
                <c:pt idx="88">
                  <c:v>53.852200000000003</c:v>
                </c:pt>
                <c:pt idx="89">
                  <c:v>53.879100000000001</c:v>
                </c:pt>
                <c:pt idx="90">
                  <c:v>53.964199999999998</c:v>
                </c:pt>
                <c:pt idx="91">
                  <c:v>54.369399999999999</c:v>
                </c:pt>
                <c:pt idx="92">
                  <c:v>54.76</c:v>
                </c:pt>
                <c:pt idx="93">
                  <c:v>54.76</c:v>
                </c:pt>
                <c:pt idx="94">
                  <c:v>54.76</c:v>
                </c:pt>
                <c:pt idx="95">
                  <c:v>54.911299999999997</c:v>
                </c:pt>
                <c:pt idx="96">
                  <c:v>54.985199999999999</c:v>
                </c:pt>
                <c:pt idx="97">
                  <c:v>55.299900000000001</c:v>
                </c:pt>
                <c:pt idx="98">
                  <c:v>55.761099999999999</c:v>
                </c:pt>
                <c:pt idx="99">
                  <c:v>56.283000000000001</c:v>
                </c:pt>
                <c:pt idx="100">
                  <c:v>56.283000000000001</c:v>
                </c:pt>
                <c:pt idx="101">
                  <c:v>56.283000000000001</c:v>
                </c:pt>
                <c:pt idx="102">
                  <c:v>56.652200000000001</c:v>
                </c:pt>
                <c:pt idx="103">
                  <c:v>56.856200000000001</c:v>
                </c:pt>
                <c:pt idx="104">
                  <c:v>57.297400000000003</c:v>
                </c:pt>
                <c:pt idx="105">
                  <c:v>57.392899999999997</c:v>
                </c:pt>
                <c:pt idx="106">
                  <c:v>57.9666</c:v>
                </c:pt>
                <c:pt idx="107">
                  <c:v>57.9666</c:v>
                </c:pt>
                <c:pt idx="108">
                  <c:v>57.9666</c:v>
                </c:pt>
                <c:pt idx="109">
                  <c:v>58.4437</c:v>
                </c:pt>
                <c:pt idx="110">
                  <c:v>58.540399999999998</c:v>
                </c:pt>
                <c:pt idx="111">
                  <c:v>58.793799999999997</c:v>
                </c:pt>
                <c:pt idx="112">
                  <c:v>59.460500000000003</c:v>
                </c:pt>
                <c:pt idx="113">
                  <c:v>60.1417</c:v>
                </c:pt>
                <c:pt idx="114">
                  <c:v>60.1417</c:v>
                </c:pt>
                <c:pt idx="115">
                  <c:v>60.1417</c:v>
                </c:pt>
                <c:pt idx="116">
                  <c:v>60.521099999999997</c:v>
                </c:pt>
                <c:pt idx="117">
                  <c:v>60.5428</c:v>
                </c:pt>
                <c:pt idx="118">
                  <c:v>61.027799999999999</c:v>
                </c:pt>
                <c:pt idx="119">
                  <c:v>61.346200000000003</c:v>
                </c:pt>
                <c:pt idx="120">
                  <c:v>61.822699999999998</c:v>
                </c:pt>
                <c:pt idx="121">
                  <c:v>61.822699999999998</c:v>
                </c:pt>
                <c:pt idx="122">
                  <c:v>61.822699999999998</c:v>
                </c:pt>
                <c:pt idx="123">
                  <c:v>62.070799999999998</c:v>
                </c:pt>
                <c:pt idx="124">
                  <c:v>62.099899999999998</c:v>
                </c:pt>
                <c:pt idx="125">
                  <c:v>62.183399999999999</c:v>
                </c:pt>
                <c:pt idx="126">
                  <c:v>62.5107</c:v>
                </c:pt>
                <c:pt idx="127">
                  <c:v>63.206499999999998</c:v>
                </c:pt>
                <c:pt idx="128">
                  <c:v>63.206499999999998</c:v>
                </c:pt>
                <c:pt idx="129">
                  <c:v>63.206499999999998</c:v>
                </c:pt>
                <c:pt idx="130">
                  <c:v>63.413899999999998</c:v>
                </c:pt>
                <c:pt idx="131">
                  <c:v>63.4938</c:v>
                </c:pt>
                <c:pt idx="132">
                  <c:v>64.019099999999995</c:v>
                </c:pt>
                <c:pt idx="133">
                  <c:v>64.240600000000001</c:v>
                </c:pt>
                <c:pt idx="134">
                  <c:v>64.246399999999994</c:v>
                </c:pt>
                <c:pt idx="135">
                  <c:v>64.246399999999994</c:v>
                </c:pt>
                <c:pt idx="136">
                  <c:v>64.246399999999994</c:v>
                </c:pt>
                <c:pt idx="137">
                  <c:v>64.246399999999994</c:v>
                </c:pt>
                <c:pt idx="138">
                  <c:v>64.246399999999994</c:v>
                </c:pt>
                <c:pt idx="139">
                  <c:v>64.484399999999994</c:v>
                </c:pt>
                <c:pt idx="140">
                  <c:v>64.611599999999996</c:v>
                </c:pt>
                <c:pt idx="141">
                  <c:v>64.745999999999995</c:v>
                </c:pt>
                <c:pt idx="142">
                  <c:v>64.745999999999995</c:v>
                </c:pt>
                <c:pt idx="143">
                  <c:v>64.745999999999995</c:v>
                </c:pt>
                <c:pt idx="144">
                  <c:v>65.266199999999998</c:v>
                </c:pt>
                <c:pt idx="145">
                  <c:v>65.415099999999995</c:v>
                </c:pt>
                <c:pt idx="146">
                  <c:v>65.626800000000003</c:v>
                </c:pt>
                <c:pt idx="147">
                  <c:v>66.254199999999997</c:v>
                </c:pt>
                <c:pt idx="148">
                  <c:v>66.436800000000005</c:v>
                </c:pt>
                <c:pt idx="149">
                  <c:v>66.436800000000005</c:v>
                </c:pt>
                <c:pt idx="150">
                  <c:v>66.436800000000005</c:v>
                </c:pt>
                <c:pt idx="151">
                  <c:v>66.557299999999998</c:v>
                </c:pt>
                <c:pt idx="152">
                  <c:v>66.787999999999997</c:v>
                </c:pt>
                <c:pt idx="153">
                  <c:v>66.787999999999997</c:v>
                </c:pt>
                <c:pt idx="154">
                  <c:v>67.634399999999999</c:v>
                </c:pt>
                <c:pt idx="155">
                  <c:v>67.8583</c:v>
                </c:pt>
                <c:pt idx="156">
                  <c:v>67.8583</c:v>
                </c:pt>
                <c:pt idx="157">
                  <c:v>67.8583</c:v>
                </c:pt>
                <c:pt idx="158">
                  <c:v>68.311599999999999</c:v>
                </c:pt>
                <c:pt idx="159">
                  <c:v>68.393600000000006</c:v>
                </c:pt>
                <c:pt idx="160">
                  <c:v>68.699399999999997</c:v>
                </c:pt>
                <c:pt idx="161">
                  <c:v>69.018799999999999</c:v>
                </c:pt>
                <c:pt idx="162">
                  <c:v>69.438699999999997</c:v>
                </c:pt>
                <c:pt idx="163">
                  <c:v>69.438699999999997</c:v>
                </c:pt>
                <c:pt idx="164">
                  <c:v>69.438699999999997</c:v>
                </c:pt>
                <c:pt idx="165">
                  <c:v>69.566400000000002</c:v>
                </c:pt>
                <c:pt idx="166">
                  <c:v>69.775999999999996</c:v>
                </c:pt>
                <c:pt idx="167">
                  <c:v>70.014099999999999</c:v>
                </c:pt>
                <c:pt idx="168">
                  <c:v>70.249300000000005</c:v>
                </c:pt>
                <c:pt idx="169">
                  <c:v>70.5852</c:v>
                </c:pt>
                <c:pt idx="170">
                  <c:v>70.5852</c:v>
                </c:pt>
                <c:pt idx="171">
                  <c:v>70.5852</c:v>
                </c:pt>
                <c:pt idx="172">
                  <c:v>72.185599999999994</c:v>
                </c:pt>
                <c:pt idx="173">
                  <c:v>73.357600000000005</c:v>
                </c:pt>
                <c:pt idx="174">
                  <c:v>74.278700000000001</c:v>
                </c:pt>
                <c:pt idx="175">
                  <c:v>75.802499999999995</c:v>
                </c:pt>
                <c:pt idx="176">
                  <c:v>77.264600000000002</c:v>
                </c:pt>
                <c:pt idx="177">
                  <c:v>77.264600000000002</c:v>
                </c:pt>
                <c:pt idx="178">
                  <c:v>77.264600000000002</c:v>
                </c:pt>
                <c:pt idx="179">
                  <c:v>78.363500000000002</c:v>
                </c:pt>
                <c:pt idx="180">
                  <c:v>78.591399999999993</c:v>
                </c:pt>
                <c:pt idx="181">
                  <c:v>79.784400000000005</c:v>
                </c:pt>
                <c:pt idx="182">
                  <c:v>79.784400000000005</c:v>
                </c:pt>
                <c:pt idx="183">
                  <c:v>79.784400000000005</c:v>
                </c:pt>
                <c:pt idx="184">
                  <c:v>79.784400000000005</c:v>
                </c:pt>
                <c:pt idx="185">
                  <c:v>79.784400000000005</c:v>
                </c:pt>
                <c:pt idx="186">
                  <c:v>80.959800000000001</c:v>
                </c:pt>
                <c:pt idx="187">
                  <c:v>81.761300000000006</c:v>
                </c:pt>
                <c:pt idx="188">
                  <c:v>82.378799999999998</c:v>
                </c:pt>
                <c:pt idx="189">
                  <c:v>83.418199999999999</c:v>
                </c:pt>
                <c:pt idx="190">
                  <c:v>84.420400000000001</c:v>
                </c:pt>
                <c:pt idx="191">
                  <c:v>84.420400000000001</c:v>
                </c:pt>
                <c:pt idx="192">
                  <c:v>84.420400000000001</c:v>
                </c:pt>
                <c:pt idx="193">
                  <c:v>86.1143</c:v>
                </c:pt>
                <c:pt idx="194">
                  <c:v>86.656400000000005</c:v>
                </c:pt>
                <c:pt idx="195">
                  <c:v>86.846500000000006</c:v>
                </c:pt>
                <c:pt idx="196">
                  <c:v>86.846500000000006</c:v>
                </c:pt>
                <c:pt idx="197">
                  <c:v>87.568100000000001</c:v>
                </c:pt>
                <c:pt idx="198">
                  <c:v>87.568100000000001</c:v>
                </c:pt>
                <c:pt idx="199">
                  <c:v>87.568100000000001</c:v>
                </c:pt>
                <c:pt idx="200">
                  <c:v>88.640500000000003</c:v>
                </c:pt>
                <c:pt idx="201">
                  <c:v>88.722399999999993</c:v>
                </c:pt>
                <c:pt idx="202">
                  <c:v>91.211299999999994</c:v>
                </c:pt>
                <c:pt idx="203">
                  <c:v>91.916499999999999</c:v>
                </c:pt>
                <c:pt idx="204">
                  <c:v>92.831000000000003</c:v>
                </c:pt>
                <c:pt idx="205">
                  <c:v>92.831000000000003</c:v>
                </c:pt>
                <c:pt idx="206">
                  <c:v>92.831000000000003</c:v>
                </c:pt>
                <c:pt idx="207">
                  <c:v>93.049499999999995</c:v>
                </c:pt>
                <c:pt idx="208">
                  <c:v>93.062299999999993</c:v>
                </c:pt>
                <c:pt idx="209">
                  <c:v>93.579599999999999</c:v>
                </c:pt>
                <c:pt idx="210">
                  <c:v>94.155699999999996</c:v>
                </c:pt>
                <c:pt idx="211">
                  <c:v>94.324100000000001</c:v>
                </c:pt>
                <c:pt idx="212">
                  <c:v>94.324100000000001</c:v>
                </c:pt>
                <c:pt idx="213">
                  <c:v>94.324100000000001</c:v>
                </c:pt>
                <c:pt idx="214">
                  <c:v>94.763000000000005</c:v>
                </c:pt>
                <c:pt idx="215">
                  <c:v>94.802400000000006</c:v>
                </c:pt>
                <c:pt idx="216">
                  <c:v>94.855599999999995</c:v>
                </c:pt>
                <c:pt idx="217">
                  <c:v>94.965199999999996</c:v>
                </c:pt>
                <c:pt idx="218">
                  <c:v>95.018900000000002</c:v>
                </c:pt>
                <c:pt idx="219">
                  <c:v>95.018900000000002</c:v>
                </c:pt>
                <c:pt idx="220">
                  <c:v>95.018900000000002</c:v>
                </c:pt>
                <c:pt idx="221">
                  <c:v>95.084000000000003</c:v>
                </c:pt>
                <c:pt idx="222">
                  <c:v>95.238699999999994</c:v>
                </c:pt>
                <c:pt idx="223">
                  <c:v>95.805199999999999</c:v>
                </c:pt>
                <c:pt idx="224">
                  <c:v>96.530299999999997</c:v>
                </c:pt>
                <c:pt idx="225">
                  <c:v>96.857699999999994</c:v>
                </c:pt>
                <c:pt idx="226">
                  <c:v>96.857699999999994</c:v>
                </c:pt>
                <c:pt idx="227">
                  <c:v>96.857699999999994</c:v>
                </c:pt>
                <c:pt idx="228">
                  <c:v>96.857699999999994</c:v>
                </c:pt>
                <c:pt idx="229">
                  <c:v>97.312600000000003</c:v>
                </c:pt>
                <c:pt idx="230">
                  <c:v>97.419399999999996</c:v>
                </c:pt>
                <c:pt idx="231">
                  <c:v>97.903099999999995</c:v>
                </c:pt>
                <c:pt idx="232">
                  <c:v>98.513199999999998</c:v>
                </c:pt>
                <c:pt idx="233">
                  <c:v>98.513199999999998</c:v>
                </c:pt>
                <c:pt idx="234">
                  <c:v>98.513199999999998</c:v>
                </c:pt>
                <c:pt idx="235">
                  <c:v>99.0916</c:v>
                </c:pt>
                <c:pt idx="236">
                  <c:v>99.124700000000004</c:v>
                </c:pt>
                <c:pt idx="237">
                  <c:v>99.698300000000003</c:v>
                </c:pt>
                <c:pt idx="238">
                  <c:v>100.3396</c:v>
                </c:pt>
                <c:pt idx="239">
                  <c:v>101.0822</c:v>
                </c:pt>
                <c:pt idx="240">
                  <c:v>101.0822</c:v>
                </c:pt>
                <c:pt idx="241">
                  <c:v>101.0822</c:v>
                </c:pt>
                <c:pt idx="242">
                  <c:v>101.0822</c:v>
                </c:pt>
                <c:pt idx="243">
                  <c:v>102.157</c:v>
                </c:pt>
                <c:pt idx="244">
                  <c:v>102.8083</c:v>
                </c:pt>
                <c:pt idx="245">
                  <c:v>103.7355</c:v>
                </c:pt>
                <c:pt idx="246">
                  <c:v>104.54340000000001</c:v>
                </c:pt>
                <c:pt idx="247">
                  <c:v>104.54340000000001</c:v>
                </c:pt>
                <c:pt idx="248">
                  <c:v>104.54340000000001</c:v>
                </c:pt>
                <c:pt idx="249">
                  <c:v>105.45269999999999</c:v>
                </c:pt>
                <c:pt idx="250">
                  <c:v>105.45269999999999</c:v>
                </c:pt>
                <c:pt idx="251">
                  <c:v>105.45269999999999</c:v>
                </c:pt>
                <c:pt idx="252">
                  <c:v>106.16849999999999</c:v>
                </c:pt>
                <c:pt idx="253">
                  <c:v>106.86199999999999</c:v>
                </c:pt>
                <c:pt idx="254">
                  <c:v>106.86199999999999</c:v>
                </c:pt>
                <c:pt idx="255">
                  <c:v>106.86199999999999</c:v>
                </c:pt>
                <c:pt idx="256">
                  <c:v>107.6245</c:v>
                </c:pt>
                <c:pt idx="257">
                  <c:v>108.84229999999999</c:v>
                </c:pt>
                <c:pt idx="258">
                  <c:v>109.6352</c:v>
                </c:pt>
                <c:pt idx="259">
                  <c:v>110.4187</c:v>
                </c:pt>
                <c:pt idx="260">
                  <c:v>111.27930000000001</c:v>
                </c:pt>
                <c:pt idx="261">
                  <c:v>111.27930000000001</c:v>
                </c:pt>
                <c:pt idx="262">
                  <c:v>111.27930000000001</c:v>
                </c:pt>
                <c:pt idx="263">
                  <c:v>111.9876</c:v>
                </c:pt>
                <c:pt idx="264">
                  <c:v>112.6875</c:v>
                </c:pt>
                <c:pt idx="265">
                  <c:v>113.6083</c:v>
                </c:pt>
                <c:pt idx="266">
                  <c:v>114.2685</c:v>
                </c:pt>
                <c:pt idx="267">
                  <c:v>115.1837</c:v>
                </c:pt>
                <c:pt idx="268">
                  <c:v>115.1837</c:v>
                </c:pt>
                <c:pt idx="269">
                  <c:v>115.1837</c:v>
                </c:pt>
                <c:pt idx="270">
                  <c:v>115.6998</c:v>
                </c:pt>
                <c:pt idx="271">
                  <c:v>116.67310000000001</c:v>
                </c:pt>
                <c:pt idx="272">
                  <c:v>117.2568</c:v>
                </c:pt>
                <c:pt idx="273">
                  <c:v>118.1395</c:v>
                </c:pt>
                <c:pt idx="274">
                  <c:v>118.9957</c:v>
                </c:pt>
                <c:pt idx="275">
                  <c:v>118.9957</c:v>
                </c:pt>
                <c:pt idx="276">
                  <c:v>118.9957</c:v>
                </c:pt>
                <c:pt idx="277">
                  <c:v>119.5166</c:v>
                </c:pt>
                <c:pt idx="278">
                  <c:v>120.2734</c:v>
                </c:pt>
                <c:pt idx="279">
                  <c:v>121.1952</c:v>
                </c:pt>
                <c:pt idx="280">
                  <c:v>121.1952</c:v>
                </c:pt>
                <c:pt idx="281">
                  <c:v>122.01730000000001</c:v>
                </c:pt>
                <c:pt idx="282">
                  <c:v>122.01730000000001</c:v>
                </c:pt>
                <c:pt idx="283">
                  <c:v>122.01730000000001</c:v>
                </c:pt>
                <c:pt idx="284">
                  <c:v>122.6872</c:v>
                </c:pt>
                <c:pt idx="285">
                  <c:v>123.717</c:v>
                </c:pt>
                <c:pt idx="286">
                  <c:v>124.3546</c:v>
                </c:pt>
                <c:pt idx="287">
                  <c:v>125.2679</c:v>
                </c:pt>
                <c:pt idx="288">
                  <c:v>126.1224</c:v>
                </c:pt>
                <c:pt idx="289">
                  <c:v>126.1224</c:v>
                </c:pt>
                <c:pt idx="290">
                  <c:v>126.1224</c:v>
                </c:pt>
                <c:pt idx="291">
                  <c:v>126.9508</c:v>
                </c:pt>
                <c:pt idx="292">
                  <c:v>128.0806</c:v>
                </c:pt>
                <c:pt idx="293">
                  <c:v>128.8922</c:v>
                </c:pt>
                <c:pt idx="294">
                  <c:v>129.90260000000001</c:v>
                </c:pt>
                <c:pt idx="295">
                  <c:v>130.96019999999999</c:v>
                </c:pt>
                <c:pt idx="296">
                  <c:v>130.96019999999999</c:v>
                </c:pt>
                <c:pt idx="297">
                  <c:v>130.96019999999999</c:v>
                </c:pt>
                <c:pt idx="298">
                  <c:v>132.13720000000001</c:v>
                </c:pt>
                <c:pt idx="299">
                  <c:v>133.34899999999999</c:v>
                </c:pt>
                <c:pt idx="300">
                  <c:v>134.31309999999999</c:v>
                </c:pt>
                <c:pt idx="301">
                  <c:v>135.47040000000001</c:v>
                </c:pt>
                <c:pt idx="302">
                  <c:v>136.72200000000001</c:v>
                </c:pt>
                <c:pt idx="303">
                  <c:v>136.72200000000001</c:v>
                </c:pt>
                <c:pt idx="304">
                  <c:v>136.72200000000001</c:v>
                </c:pt>
                <c:pt idx="305">
                  <c:v>136.72200000000001</c:v>
                </c:pt>
                <c:pt idx="306">
                  <c:v>137.9556</c:v>
                </c:pt>
                <c:pt idx="307">
                  <c:v>139.22730000000001</c:v>
                </c:pt>
                <c:pt idx="308">
                  <c:v>140.48419999999999</c:v>
                </c:pt>
                <c:pt idx="309">
                  <c:v>141.70689999999999</c:v>
                </c:pt>
                <c:pt idx="310">
                  <c:v>141.70689999999999</c:v>
                </c:pt>
                <c:pt idx="311">
                  <c:v>141.70689999999999</c:v>
                </c:pt>
                <c:pt idx="312">
                  <c:v>142.85929999999999</c:v>
                </c:pt>
                <c:pt idx="313">
                  <c:v>144.1927</c:v>
                </c:pt>
                <c:pt idx="314">
                  <c:v>145.56309999999999</c:v>
                </c:pt>
                <c:pt idx="315">
                  <c:v>146.89859999999999</c:v>
                </c:pt>
                <c:pt idx="316">
                  <c:v>148.25839999999999</c:v>
                </c:pt>
                <c:pt idx="317">
                  <c:v>148.25839999999999</c:v>
                </c:pt>
                <c:pt idx="318">
                  <c:v>148.25839999999999</c:v>
                </c:pt>
                <c:pt idx="319">
                  <c:v>149.2809</c:v>
                </c:pt>
                <c:pt idx="320">
                  <c:v>150.60669999999999</c:v>
                </c:pt>
                <c:pt idx="321">
                  <c:v>151.57300000000001</c:v>
                </c:pt>
                <c:pt idx="322">
                  <c:v>152.63059999999999</c:v>
                </c:pt>
                <c:pt idx="323">
                  <c:v>153.81829999999999</c:v>
                </c:pt>
                <c:pt idx="324">
                  <c:v>153.81829999999999</c:v>
                </c:pt>
                <c:pt idx="325">
                  <c:v>153.81829999999999</c:v>
                </c:pt>
                <c:pt idx="326">
                  <c:v>154.78880000000001</c:v>
                </c:pt>
                <c:pt idx="327">
                  <c:v>156.17840000000001</c:v>
                </c:pt>
                <c:pt idx="328">
                  <c:v>157.53149999999999</c:v>
                </c:pt>
                <c:pt idx="329">
                  <c:v>158.7302</c:v>
                </c:pt>
                <c:pt idx="330">
                  <c:v>160.2473</c:v>
                </c:pt>
                <c:pt idx="331">
                  <c:v>160.2473</c:v>
                </c:pt>
                <c:pt idx="332">
                  <c:v>160.2473</c:v>
                </c:pt>
                <c:pt idx="333">
                  <c:v>160.2473</c:v>
                </c:pt>
                <c:pt idx="334">
                  <c:v>161.68559999999999</c:v>
                </c:pt>
                <c:pt idx="335">
                  <c:v>163.44280000000001</c:v>
                </c:pt>
                <c:pt idx="336">
                  <c:v>165.20330000000001</c:v>
                </c:pt>
                <c:pt idx="337">
                  <c:v>166.37520000000001</c:v>
                </c:pt>
                <c:pt idx="338">
                  <c:v>166.37520000000001</c:v>
                </c:pt>
                <c:pt idx="339">
                  <c:v>166.37520000000001</c:v>
                </c:pt>
                <c:pt idx="340">
                  <c:v>168.20519999999999</c:v>
                </c:pt>
                <c:pt idx="341">
                  <c:v>169.7636</c:v>
                </c:pt>
                <c:pt idx="342">
                  <c:v>171.631</c:v>
                </c:pt>
                <c:pt idx="343">
                  <c:v>173.5189</c:v>
                </c:pt>
                <c:pt idx="344">
                  <c:v>175.42750000000001</c:v>
                </c:pt>
                <c:pt idx="345">
                  <c:v>175.42750000000001</c:v>
                </c:pt>
                <c:pt idx="346">
                  <c:v>175.42750000000001</c:v>
                </c:pt>
                <c:pt idx="347">
                  <c:v>177.39230000000001</c:v>
                </c:pt>
                <c:pt idx="348">
                  <c:v>179.20650000000001</c:v>
                </c:pt>
                <c:pt idx="349">
                  <c:v>181.0771</c:v>
                </c:pt>
                <c:pt idx="350">
                  <c:v>182.90799999999999</c:v>
                </c:pt>
                <c:pt idx="351">
                  <c:v>185.16659999999999</c:v>
                </c:pt>
                <c:pt idx="352">
                  <c:v>185.16659999999999</c:v>
                </c:pt>
                <c:pt idx="353">
                  <c:v>185.16659999999999</c:v>
                </c:pt>
                <c:pt idx="354">
                  <c:v>187.05520000000001</c:v>
                </c:pt>
                <c:pt idx="355">
                  <c:v>189.02279999999999</c:v>
                </c:pt>
                <c:pt idx="356">
                  <c:v>191.12690000000001</c:v>
                </c:pt>
                <c:pt idx="357">
                  <c:v>193.05799999999999</c:v>
                </c:pt>
                <c:pt idx="358">
                  <c:v>195.005</c:v>
                </c:pt>
                <c:pt idx="359">
                  <c:v>195.005</c:v>
                </c:pt>
                <c:pt idx="360">
                  <c:v>195.005</c:v>
                </c:pt>
                <c:pt idx="361">
                  <c:v>196.999</c:v>
                </c:pt>
                <c:pt idx="362">
                  <c:v>198.85830000000001</c:v>
                </c:pt>
                <c:pt idx="363">
                  <c:v>201.21469999999999</c:v>
                </c:pt>
                <c:pt idx="364">
                  <c:v>203.4873</c:v>
                </c:pt>
                <c:pt idx="365" formatCode="General">
                  <c:v>203.74199999999999</c:v>
                </c:pt>
                <c:pt idx="366" formatCode="General">
                  <c:v>203.74199999999999</c:v>
                </c:pt>
                <c:pt idx="367" formatCode="General">
                  <c:v>203.74199999999999</c:v>
                </c:pt>
                <c:pt idx="368" formatCode="General">
                  <c:v>205.6754</c:v>
                </c:pt>
                <c:pt idx="369" formatCode="General">
                  <c:v>207.8938</c:v>
                </c:pt>
                <c:pt idx="370" formatCode="General">
                  <c:v>210.2825</c:v>
                </c:pt>
                <c:pt idx="371" formatCode="General">
                  <c:v>212.48</c:v>
                </c:pt>
                <c:pt idx="372" formatCode="General">
                  <c:v>214.41900000000001</c:v>
                </c:pt>
                <c:pt idx="373" formatCode="General">
                  <c:v>214.41900000000001</c:v>
                </c:pt>
                <c:pt idx="374" formatCode="General">
                  <c:v>214.41900000000001</c:v>
                </c:pt>
                <c:pt idx="375" formatCode="General">
                  <c:v>216.37139999999999</c:v>
                </c:pt>
                <c:pt idx="376" formatCode="General">
                  <c:v>218.17</c:v>
                </c:pt>
                <c:pt idx="377" formatCode="General">
                  <c:v>219.87370000000001</c:v>
                </c:pt>
                <c:pt idx="378" formatCode="General">
                  <c:v>221.74379999999999</c:v>
                </c:pt>
                <c:pt idx="379" formatCode="General">
                  <c:v>223.64590000000001</c:v>
                </c:pt>
                <c:pt idx="380" formatCode="General">
                  <c:v>223.64590000000001</c:v>
                </c:pt>
                <c:pt idx="381" formatCode="General">
                  <c:v>223.64590000000001</c:v>
                </c:pt>
                <c:pt idx="382" formatCode="General">
                  <c:v>223.9622</c:v>
                </c:pt>
                <c:pt idx="383" formatCode="General">
                  <c:v>224.37620000000001</c:v>
                </c:pt>
                <c:pt idx="384" formatCode="General">
                  <c:v>226.13050000000001</c:v>
                </c:pt>
                <c:pt idx="385" formatCode="General">
                  <c:v>227.55670000000001</c:v>
                </c:pt>
                <c:pt idx="386" formatCode="General">
                  <c:v>228.4796</c:v>
                </c:pt>
                <c:pt idx="387" formatCode="General">
                  <c:v>228.4796</c:v>
                </c:pt>
                <c:pt idx="388" formatCode="General">
                  <c:v>228.4796</c:v>
                </c:pt>
                <c:pt idx="389" formatCode="General">
                  <c:v>231.0462</c:v>
                </c:pt>
                <c:pt idx="390" formatCode="General">
                  <c:v>231.09379999999999</c:v>
                </c:pt>
                <c:pt idx="391" formatCode="General">
                  <c:v>233.04580000000001</c:v>
                </c:pt>
                <c:pt idx="392" formatCode="General">
                  <c:v>233.55760000000001</c:v>
                </c:pt>
                <c:pt idx="393" formatCode="General">
                  <c:v>234.8715</c:v>
                </c:pt>
                <c:pt idx="394" formatCode="General">
                  <c:v>234.8715</c:v>
                </c:pt>
                <c:pt idx="395" formatCode="General">
                  <c:v>234.8715</c:v>
                </c:pt>
                <c:pt idx="396" formatCode="General">
                  <c:v>236.46010000000001</c:v>
                </c:pt>
                <c:pt idx="397" formatCode="General">
                  <c:v>236.8389</c:v>
                </c:pt>
                <c:pt idx="398" formatCode="General">
                  <c:v>237.75049999999999</c:v>
                </c:pt>
                <c:pt idx="399" formatCode="General">
                  <c:v>240.32089999999999</c:v>
                </c:pt>
                <c:pt idx="400" formatCode="General">
                  <c:v>241.578</c:v>
                </c:pt>
                <c:pt idx="401" formatCode="General">
                  <c:v>241.578</c:v>
                </c:pt>
                <c:pt idx="402" formatCode="General">
                  <c:v>241.578</c:v>
                </c:pt>
                <c:pt idx="403" formatCode="General">
                  <c:v>241.578</c:v>
                </c:pt>
                <c:pt idx="404" formatCode="General">
                  <c:v>243.1105</c:v>
                </c:pt>
                <c:pt idx="405" formatCode="General">
                  <c:v>243.5727</c:v>
                </c:pt>
                <c:pt idx="406" formatCode="General">
                  <c:v>244.65039999999999</c:v>
                </c:pt>
                <c:pt idx="407" formatCode="General">
                  <c:v>245.66970000000001</c:v>
                </c:pt>
                <c:pt idx="408" formatCode="General">
                  <c:v>245.66970000000001</c:v>
                </c:pt>
                <c:pt idx="409" formatCode="General">
                  <c:v>245.66970000000001</c:v>
                </c:pt>
                <c:pt idx="410" formatCode="General">
                  <c:v>247.30029999999999</c:v>
                </c:pt>
                <c:pt idx="411" formatCode="General">
                  <c:v>247.40710000000001</c:v>
                </c:pt>
                <c:pt idx="412" formatCode="General">
                  <c:v>249.19890000000001</c:v>
                </c:pt>
                <c:pt idx="413" formatCode="General">
                  <c:v>251.88669999999999</c:v>
                </c:pt>
                <c:pt idx="414" formatCode="General">
                  <c:v>254.87049999999999</c:v>
                </c:pt>
                <c:pt idx="415" formatCode="General">
                  <c:v>254.87049999999999</c:v>
                </c:pt>
                <c:pt idx="416" formatCode="General">
                  <c:v>254.87049999999999</c:v>
                </c:pt>
                <c:pt idx="417" formatCode="General">
                  <c:v>254.87049999999999</c:v>
                </c:pt>
                <c:pt idx="418" formatCode="General">
                  <c:v>257.92869999999999</c:v>
                </c:pt>
                <c:pt idx="419" formatCode="General">
                  <c:v>262.10359999999997</c:v>
                </c:pt>
                <c:pt idx="420" formatCode="General">
                  <c:v>265.06619999999998</c:v>
                </c:pt>
                <c:pt idx="421" formatCode="General">
                  <c:v>267.74990000000003</c:v>
                </c:pt>
                <c:pt idx="422" formatCode="General">
                  <c:v>267.74990000000003</c:v>
                </c:pt>
                <c:pt idx="423" formatCode="General">
                  <c:v>267.74990000000003</c:v>
                </c:pt>
                <c:pt idx="424" formatCode="General">
                  <c:v>270.78930000000003</c:v>
                </c:pt>
                <c:pt idx="425" formatCode="General">
                  <c:v>273.58609999999999</c:v>
                </c:pt>
                <c:pt idx="426" formatCode="General">
                  <c:v>276.57690000000002</c:v>
                </c:pt>
                <c:pt idx="427" formatCode="General">
                  <c:v>279.56290000000001</c:v>
                </c:pt>
                <c:pt idx="428" formatCode="General">
                  <c:v>282.51280000000003</c:v>
                </c:pt>
                <c:pt idx="429" formatCode="General">
                  <c:v>282.51280000000003</c:v>
                </c:pt>
                <c:pt idx="430" formatCode="General">
                  <c:v>282.51280000000003</c:v>
                </c:pt>
                <c:pt idx="431" formatCode="General">
                  <c:v>285.4024</c:v>
                </c:pt>
                <c:pt idx="432" formatCode="General">
                  <c:v>288.44940000000003</c:v>
                </c:pt>
                <c:pt idx="433" formatCode="General">
                  <c:v>288.44940000000003</c:v>
                </c:pt>
                <c:pt idx="434" formatCode="General">
                  <c:v>288.44940000000003</c:v>
                </c:pt>
                <c:pt idx="435" formatCode="General">
                  <c:v>291.35239999999999</c:v>
                </c:pt>
                <c:pt idx="436" formatCode="General">
                  <c:v>291.35239999999999</c:v>
                </c:pt>
                <c:pt idx="437" formatCode="General">
                  <c:v>291.35239999999999</c:v>
                </c:pt>
                <c:pt idx="438" formatCode="General">
                  <c:v>294.9699</c:v>
                </c:pt>
                <c:pt idx="439" formatCode="General">
                  <c:v>298.1431</c:v>
                </c:pt>
                <c:pt idx="440" formatCode="General">
                  <c:v>298.1431</c:v>
                </c:pt>
                <c:pt idx="441" formatCode="General">
                  <c:v>298.1431</c:v>
                </c:pt>
                <c:pt idx="442" formatCode="General">
                  <c:v>301.37090000000001</c:v>
                </c:pt>
                <c:pt idx="443" formatCode="General">
                  <c:v>301.37090000000001</c:v>
                </c:pt>
                <c:pt idx="444" formatCode="General">
                  <c:v>301.37090000000001</c:v>
                </c:pt>
                <c:pt idx="445" formatCode="General">
                  <c:v>304.67959999999999</c:v>
                </c:pt>
                <c:pt idx="446" formatCode="General">
                  <c:v>308.15460000000002</c:v>
                </c:pt>
                <c:pt idx="447" formatCode="General">
                  <c:v>311.88139999999999</c:v>
                </c:pt>
                <c:pt idx="448" formatCode="General">
                  <c:v>321.03230000000002</c:v>
                </c:pt>
                <c:pt idx="449" formatCode="General">
                  <c:v>325.38940000000002</c:v>
                </c:pt>
                <c:pt idx="450" formatCode="General">
                  <c:v>325.38940000000002</c:v>
                </c:pt>
                <c:pt idx="451" formatCode="General">
                  <c:v>325.38940000000002</c:v>
                </c:pt>
                <c:pt idx="452" formatCode="General">
                  <c:v>325.38940000000002</c:v>
                </c:pt>
                <c:pt idx="453" formatCode="General">
                  <c:v>330.37509999999997</c:v>
                </c:pt>
                <c:pt idx="454" formatCode="General">
                  <c:v>336.45960000000002</c:v>
                </c:pt>
                <c:pt idx="455" formatCode="General">
                  <c:v>339.14949999999999</c:v>
                </c:pt>
                <c:pt idx="456" formatCode="General">
                  <c:v>341.74250000000001</c:v>
                </c:pt>
                <c:pt idx="457" formatCode="General">
                  <c:v>341.74250000000001</c:v>
                </c:pt>
                <c:pt idx="458" formatCode="General">
                  <c:v>341.74250000000001</c:v>
                </c:pt>
                <c:pt idx="459" formatCode="General">
                  <c:v>341.74250000000001</c:v>
                </c:pt>
                <c:pt idx="460" formatCode="General">
                  <c:v>344.50709999999998</c:v>
                </c:pt>
                <c:pt idx="461" formatCode="General">
                  <c:v>347.26310000000001</c:v>
                </c:pt>
                <c:pt idx="462" formatCode="General">
                  <c:v>349.92720000000003</c:v>
                </c:pt>
                <c:pt idx="463" formatCode="General">
                  <c:v>352.7063</c:v>
                </c:pt>
                <c:pt idx="464" formatCode="General">
                  <c:v>352.7063</c:v>
                </c:pt>
                <c:pt idx="465" formatCode="General">
                  <c:v>352.7063</c:v>
                </c:pt>
                <c:pt idx="466" formatCode="General">
                  <c:v>355.55279999999999</c:v>
                </c:pt>
                <c:pt idx="467" formatCode="General">
                  <c:v>358.92469999999997</c:v>
                </c:pt>
                <c:pt idx="468" formatCode="General">
                  <c:v>361.49059999999997</c:v>
                </c:pt>
                <c:pt idx="469" formatCode="General">
                  <c:v>363.66230000000002</c:v>
                </c:pt>
                <c:pt idx="470" formatCode="General">
                  <c:v>367.30689999999998</c:v>
                </c:pt>
                <c:pt idx="471" formatCode="General">
                  <c:v>367.30689999999998</c:v>
                </c:pt>
                <c:pt idx="472" formatCode="General">
                  <c:v>367.30689999999998</c:v>
                </c:pt>
                <c:pt idx="473" formatCode="General">
                  <c:v>370.25439999999998</c:v>
                </c:pt>
                <c:pt idx="474" formatCode="General">
                  <c:v>372.10570000000001</c:v>
                </c:pt>
                <c:pt idx="475" formatCode="General">
                  <c:v>375.08249999999998</c:v>
                </c:pt>
                <c:pt idx="476" formatCode="General">
                  <c:v>378.45819999999998</c:v>
                </c:pt>
                <c:pt idx="477" formatCode="General">
                  <c:v>381.10739999999998</c:v>
                </c:pt>
                <c:pt idx="478" formatCode="General">
                  <c:v>381.10739999999998</c:v>
                </c:pt>
                <c:pt idx="479" formatCode="General">
                  <c:v>381.10739999999998</c:v>
                </c:pt>
                <c:pt idx="480" formatCode="General">
                  <c:v>382.6318</c:v>
                </c:pt>
                <c:pt idx="481" formatCode="General">
                  <c:v>385.27199999999999</c:v>
                </c:pt>
                <c:pt idx="482" formatCode="General">
                  <c:v>388.73939999999999</c:v>
                </c:pt>
                <c:pt idx="483" formatCode="General">
                  <c:v>390.2944</c:v>
                </c:pt>
                <c:pt idx="484" formatCode="General">
                  <c:v>393.22160000000002</c:v>
                </c:pt>
                <c:pt idx="485" formatCode="General">
                  <c:v>393.22160000000002</c:v>
                </c:pt>
                <c:pt idx="486" formatCode="General">
                  <c:v>393.22160000000002</c:v>
                </c:pt>
                <c:pt idx="487" formatCode="General">
                  <c:v>393.22160000000002</c:v>
                </c:pt>
                <c:pt idx="488" formatCode="General">
                  <c:v>393.22160000000002</c:v>
                </c:pt>
                <c:pt idx="489" formatCode="General">
                  <c:v>396.36739999999998</c:v>
                </c:pt>
                <c:pt idx="490" formatCode="General">
                  <c:v>398.74560000000002</c:v>
                </c:pt>
                <c:pt idx="491" formatCode="General">
                  <c:v>402.33429999999998</c:v>
                </c:pt>
                <c:pt idx="492" formatCode="General">
                  <c:v>402.33429999999998</c:v>
                </c:pt>
                <c:pt idx="493" formatCode="General">
                  <c:v>402.33429999999998</c:v>
                </c:pt>
                <c:pt idx="494" formatCode="General">
                  <c:v>405.35180000000003</c:v>
                </c:pt>
                <c:pt idx="495" formatCode="General">
                  <c:v>407.37860000000001</c:v>
                </c:pt>
                <c:pt idx="496" formatCode="General">
                  <c:v>411.08569999999997</c:v>
                </c:pt>
                <c:pt idx="497" formatCode="General">
                  <c:v>414.0455</c:v>
                </c:pt>
                <c:pt idx="498" formatCode="General">
                  <c:v>417.35789999999997</c:v>
                </c:pt>
                <c:pt idx="499" formatCode="General">
                  <c:v>417.35789999999997</c:v>
                </c:pt>
                <c:pt idx="500" formatCode="General">
                  <c:v>417.35789999999997</c:v>
                </c:pt>
                <c:pt idx="501" formatCode="General">
                  <c:v>419.9873</c:v>
                </c:pt>
                <c:pt idx="502" formatCode="General">
                  <c:v>421.87720000000002</c:v>
                </c:pt>
                <c:pt idx="503" formatCode="General">
                  <c:v>425.67410000000001</c:v>
                </c:pt>
                <c:pt idx="504" formatCode="General">
                  <c:v>427.93020000000001</c:v>
                </c:pt>
                <c:pt idx="505" formatCode="General">
                  <c:v>431.01130000000001</c:v>
                </c:pt>
                <c:pt idx="506" formatCode="General">
                  <c:v>431.01130000000001</c:v>
                </c:pt>
                <c:pt idx="507" formatCode="General">
                  <c:v>431.01130000000001</c:v>
                </c:pt>
                <c:pt idx="508" formatCode="General">
                  <c:v>433.16640000000001</c:v>
                </c:pt>
                <c:pt idx="509" formatCode="General">
                  <c:v>436.24189999999999</c:v>
                </c:pt>
                <c:pt idx="510" formatCode="General">
                  <c:v>438.20499999999998</c:v>
                </c:pt>
                <c:pt idx="511" formatCode="General">
                  <c:v>440.96570000000003</c:v>
                </c:pt>
                <c:pt idx="512" formatCode="General">
                  <c:v>443.25869999999998</c:v>
                </c:pt>
                <c:pt idx="513" formatCode="General">
                  <c:v>443.25869999999998</c:v>
                </c:pt>
                <c:pt idx="514" formatCode="General">
                  <c:v>443.25869999999998</c:v>
                </c:pt>
                <c:pt idx="515" formatCode="General">
                  <c:v>446.8048</c:v>
                </c:pt>
                <c:pt idx="516" formatCode="General">
                  <c:v>448.36860000000001</c:v>
                </c:pt>
                <c:pt idx="517" formatCode="General">
                  <c:v>451.50720000000001</c:v>
                </c:pt>
                <c:pt idx="518" formatCode="General">
                  <c:v>451.50720000000001</c:v>
                </c:pt>
                <c:pt idx="519" formatCode="General">
                  <c:v>455.25470000000001</c:v>
                </c:pt>
                <c:pt idx="520" formatCode="General">
                  <c:v>455.25470000000001</c:v>
                </c:pt>
                <c:pt idx="521" formatCode="General">
                  <c:v>455.25470000000001</c:v>
                </c:pt>
                <c:pt idx="522" formatCode="General">
                  <c:v>457.07569999999998</c:v>
                </c:pt>
                <c:pt idx="523" formatCode="General">
                  <c:v>459.45249999999999</c:v>
                </c:pt>
                <c:pt idx="524" formatCode="General">
                  <c:v>462.6687</c:v>
                </c:pt>
                <c:pt idx="525" formatCode="General">
                  <c:v>466.60140000000001</c:v>
                </c:pt>
                <c:pt idx="526" formatCode="General">
                  <c:v>468.5145</c:v>
                </c:pt>
                <c:pt idx="527" formatCode="General">
                  <c:v>468.5145</c:v>
                </c:pt>
                <c:pt idx="528" formatCode="General">
                  <c:v>468.5145</c:v>
                </c:pt>
                <c:pt idx="529" formatCode="General">
                  <c:v>471.7004</c:v>
                </c:pt>
                <c:pt idx="530" formatCode="General">
                  <c:v>473.87020000000001</c:v>
                </c:pt>
                <c:pt idx="531" formatCode="General">
                  <c:v>473.91759999999999</c:v>
                </c:pt>
                <c:pt idx="532" formatCode="General">
                  <c:v>473.91759999999999</c:v>
                </c:pt>
                <c:pt idx="533" formatCode="General">
                  <c:v>473.91759999999999</c:v>
                </c:pt>
                <c:pt idx="534" formatCode="General">
                  <c:v>473.91759999999999</c:v>
                </c:pt>
                <c:pt idx="535" formatCode="General">
                  <c:v>473.91759999999999</c:v>
                </c:pt>
                <c:pt idx="536" formatCode="General">
                  <c:v>474.0598</c:v>
                </c:pt>
                <c:pt idx="537" formatCode="General">
                  <c:v>474.53379999999999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B-43FC-B304-710D11654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414279"/>
        <c:axId val="1198318087"/>
      </c:lineChart>
      <c:dateAx>
        <c:axId val="1023414279"/>
        <c:scaling>
          <c:orientation val="minMax"/>
        </c:scaling>
        <c:delete val="0"/>
        <c:axPos val="b"/>
        <c:numFmt formatCode="[$-C0A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98318087"/>
        <c:crosses val="autoZero"/>
        <c:auto val="1"/>
        <c:lblOffset val="100"/>
        <c:baseTimeUnit val="days"/>
      </c:dateAx>
      <c:valAx>
        <c:axId val="1198318087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2341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VE" b="1">
                <a:solidFill>
                  <a:schemeClr val="tx1"/>
                </a:solidFill>
              </a:rPr>
              <a:t>Comportamiento de</a:t>
            </a:r>
            <a:r>
              <a:rPr lang="es-VE" b="1" baseline="0">
                <a:solidFill>
                  <a:schemeClr val="tx1"/>
                </a:solidFill>
              </a:rPr>
              <a:t> las tasas de cambio</a:t>
            </a:r>
          </a:p>
          <a:p>
            <a:pPr>
              <a:defRPr b="1">
                <a:solidFill>
                  <a:schemeClr val="tx1"/>
                </a:solidFill>
              </a:defRPr>
            </a:pPr>
            <a:r>
              <a:rPr lang="es-VE" b="1" baseline="0">
                <a:solidFill>
                  <a:schemeClr val="tx1"/>
                </a:solidFill>
              </a:rPr>
              <a:t>BCV vs USDT (Pago Móvil)</a:t>
            </a:r>
            <a:endParaRPr lang="es-V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'Tasa_BCVUSDT Grafico1'!$E$2</c:f>
              <c:strCache>
                <c:ptCount val="1"/>
                <c:pt idx="0">
                  <c:v>TASA USDT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'Tasa_BCVUSDT Grafico1'!$B$3:$B$563</c:f>
              <c:numCache>
                <c:formatCode>m/d/yyyy</c:formatCode>
                <c:ptCount val="561"/>
                <c:pt idx="0">
                  <c:v>45582</c:v>
                </c:pt>
                <c:pt idx="1">
                  <c:v>45583</c:v>
                </c:pt>
                <c:pt idx="2">
                  <c:v>45584</c:v>
                </c:pt>
                <c:pt idx="3">
                  <c:v>45585</c:v>
                </c:pt>
                <c:pt idx="4">
                  <c:v>45586</c:v>
                </c:pt>
                <c:pt idx="5">
                  <c:v>45587</c:v>
                </c:pt>
                <c:pt idx="6">
                  <c:v>45588</c:v>
                </c:pt>
                <c:pt idx="7">
                  <c:v>45589</c:v>
                </c:pt>
                <c:pt idx="8">
                  <c:v>45590</c:v>
                </c:pt>
                <c:pt idx="9">
                  <c:v>45591</c:v>
                </c:pt>
                <c:pt idx="10">
                  <c:v>45592</c:v>
                </c:pt>
                <c:pt idx="11">
                  <c:v>45593</c:v>
                </c:pt>
                <c:pt idx="12">
                  <c:v>45594</c:v>
                </c:pt>
                <c:pt idx="13">
                  <c:v>45595</c:v>
                </c:pt>
                <c:pt idx="14">
                  <c:v>45596</c:v>
                </c:pt>
                <c:pt idx="15">
                  <c:v>45597</c:v>
                </c:pt>
                <c:pt idx="16">
                  <c:v>45598</c:v>
                </c:pt>
                <c:pt idx="17">
                  <c:v>45599</c:v>
                </c:pt>
                <c:pt idx="18">
                  <c:v>45600</c:v>
                </c:pt>
                <c:pt idx="19">
                  <c:v>45601</c:v>
                </c:pt>
                <c:pt idx="20">
                  <c:v>45602</c:v>
                </c:pt>
                <c:pt idx="21">
                  <c:v>45603</c:v>
                </c:pt>
                <c:pt idx="22">
                  <c:v>45604</c:v>
                </c:pt>
                <c:pt idx="23">
                  <c:v>45605</c:v>
                </c:pt>
                <c:pt idx="24">
                  <c:v>45606</c:v>
                </c:pt>
                <c:pt idx="25">
                  <c:v>45607</c:v>
                </c:pt>
                <c:pt idx="26">
                  <c:v>45608</c:v>
                </c:pt>
                <c:pt idx="27">
                  <c:v>45609</c:v>
                </c:pt>
                <c:pt idx="28">
                  <c:v>45610</c:v>
                </c:pt>
                <c:pt idx="29">
                  <c:v>45611</c:v>
                </c:pt>
                <c:pt idx="30">
                  <c:v>45612</c:v>
                </c:pt>
                <c:pt idx="31">
                  <c:v>45613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45619</c:v>
                </c:pt>
                <c:pt idx="38">
                  <c:v>45620</c:v>
                </c:pt>
                <c:pt idx="39">
                  <c:v>45621</c:v>
                </c:pt>
                <c:pt idx="40">
                  <c:v>45622</c:v>
                </c:pt>
                <c:pt idx="41">
                  <c:v>45623</c:v>
                </c:pt>
                <c:pt idx="42">
                  <c:v>45624</c:v>
                </c:pt>
                <c:pt idx="43">
                  <c:v>45625</c:v>
                </c:pt>
                <c:pt idx="44">
                  <c:v>45626</c:v>
                </c:pt>
                <c:pt idx="45">
                  <c:v>45627</c:v>
                </c:pt>
                <c:pt idx="46">
                  <c:v>45628</c:v>
                </c:pt>
                <c:pt idx="47">
                  <c:v>45629</c:v>
                </c:pt>
                <c:pt idx="48">
                  <c:v>45630</c:v>
                </c:pt>
                <c:pt idx="49">
                  <c:v>45631</c:v>
                </c:pt>
                <c:pt idx="50">
                  <c:v>45632</c:v>
                </c:pt>
                <c:pt idx="51">
                  <c:v>45633</c:v>
                </c:pt>
                <c:pt idx="52">
                  <c:v>45634</c:v>
                </c:pt>
                <c:pt idx="53">
                  <c:v>45635</c:v>
                </c:pt>
                <c:pt idx="54">
                  <c:v>45636</c:v>
                </c:pt>
                <c:pt idx="55">
                  <c:v>45637</c:v>
                </c:pt>
                <c:pt idx="56">
                  <c:v>45638</c:v>
                </c:pt>
                <c:pt idx="57">
                  <c:v>45639</c:v>
                </c:pt>
                <c:pt idx="58">
                  <c:v>45640</c:v>
                </c:pt>
                <c:pt idx="59">
                  <c:v>45641</c:v>
                </c:pt>
                <c:pt idx="60">
                  <c:v>45642</c:v>
                </c:pt>
                <c:pt idx="61">
                  <c:v>45643</c:v>
                </c:pt>
                <c:pt idx="62">
                  <c:v>45644</c:v>
                </c:pt>
                <c:pt idx="63">
                  <c:v>45645</c:v>
                </c:pt>
                <c:pt idx="64">
                  <c:v>45646</c:v>
                </c:pt>
                <c:pt idx="65">
                  <c:v>45647</c:v>
                </c:pt>
                <c:pt idx="66">
                  <c:v>45648</c:v>
                </c:pt>
                <c:pt idx="67">
                  <c:v>45649</c:v>
                </c:pt>
                <c:pt idx="68">
                  <c:v>45650</c:v>
                </c:pt>
                <c:pt idx="69">
                  <c:v>45651</c:v>
                </c:pt>
                <c:pt idx="70">
                  <c:v>45652</c:v>
                </c:pt>
                <c:pt idx="71">
                  <c:v>45653</c:v>
                </c:pt>
                <c:pt idx="72">
                  <c:v>45654</c:v>
                </c:pt>
                <c:pt idx="73">
                  <c:v>45655</c:v>
                </c:pt>
                <c:pt idx="74">
                  <c:v>45656</c:v>
                </c:pt>
                <c:pt idx="75">
                  <c:v>45657</c:v>
                </c:pt>
                <c:pt idx="76">
                  <c:v>45658</c:v>
                </c:pt>
                <c:pt idx="77">
                  <c:v>45659</c:v>
                </c:pt>
                <c:pt idx="78">
                  <c:v>45660</c:v>
                </c:pt>
                <c:pt idx="79">
                  <c:v>45661</c:v>
                </c:pt>
                <c:pt idx="80">
                  <c:v>45662</c:v>
                </c:pt>
                <c:pt idx="81">
                  <c:v>45663</c:v>
                </c:pt>
                <c:pt idx="82">
                  <c:v>45664</c:v>
                </c:pt>
                <c:pt idx="83">
                  <c:v>45665</c:v>
                </c:pt>
                <c:pt idx="84">
                  <c:v>45666</c:v>
                </c:pt>
                <c:pt idx="85">
                  <c:v>45667</c:v>
                </c:pt>
                <c:pt idx="86">
                  <c:v>45668</c:v>
                </c:pt>
                <c:pt idx="87">
                  <c:v>45669</c:v>
                </c:pt>
                <c:pt idx="88">
                  <c:v>45670</c:v>
                </c:pt>
                <c:pt idx="89">
                  <c:v>45671</c:v>
                </c:pt>
                <c:pt idx="90">
                  <c:v>45672</c:v>
                </c:pt>
                <c:pt idx="91">
                  <c:v>45673</c:v>
                </c:pt>
                <c:pt idx="92">
                  <c:v>45674</c:v>
                </c:pt>
                <c:pt idx="93">
                  <c:v>45675</c:v>
                </c:pt>
                <c:pt idx="94">
                  <c:v>45676</c:v>
                </c:pt>
                <c:pt idx="95">
                  <c:v>45677</c:v>
                </c:pt>
                <c:pt idx="96">
                  <c:v>45678</c:v>
                </c:pt>
                <c:pt idx="97">
                  <c:v>45679</c:v>
                </c:pt>
                <c:pt idx="98">
                  <c:v>45680</c:v>
                </c:pt>
                <c:pt idx="99">
                  <c:v>45681</c:v>
                </c:pt>
                <c:pt idx="100">
                  <c:v>45682</c:v>
                </c:pt>
                <c:pt idx="101">
                  <c:v>45683</c:v>
                </c:pt>
                <c:pt idx="102">
                  <c:v>45684</c:v>
                </c:pt>
                <c:pt idx="103">
                  <c:v>45685</c:v>
                </c:pt>
                <c:pt idx="104">
                  <c:v>45686</c:v>
                </c:pt>
                <c:pt idx="105">
                  <c:v>45687</c:v>
                </c:pt>
                <c:pt idx="106">
                  <c:v>45688</c:v>
                </c:pt>
                <c:pt idx="107">
                  <c:v>45689</c:v>
                </c:pt>
                <c:pt idx="108">
                  <c:v>45690</c:v>
                </c:pt>
                <c:pt idx="109">
                  <c:v>45691</c:v>
                </c:pt>
                <c:pt idx="110">
                  <c:v>45692</c:v>
                </c:pt>
                <c:pt idx="111">
                  <c:v>45693</c:v>
                </c:pt>
                <c:pt idx="112">
                  <c:v>45694</c:v>
                </c:pt>
                <c:pt idx="113">
                  <c:v>45695</c:v>
                </c:pt>
                <c:pt idx="114">
                  <c:v>45696</c:v>
                </c:pt>
                <c:pt idx="115">
                  <c:v>45697</c:v>
                </c:pt>
                <c:pt idx="116">
                  <c:v>45698</c:v>
                </c:pt>
                <c:pt idx="117">
                  <c:v>45699</c:v>
                </c:pt>
                <c:pt idx="118">
                  <c:v>45700</c:v>
                </c:pt>
                <c:pt idx="119">
                  <c:v>45701</c:v>
                </c:pt>
                <c:pt idx="120">
                  <c:v>45702</c:v>
                </c:pt>
                <c:pt idx="121">
                  <c:v>45703</c:v>
                </c:pt>
                <c:pt idx="122">
                  <c:v>45704</c:v>
                </c:pt>
                <c:pt idx="123">
                  <c:v>45705</c:v>
                </c:pt>
                <c:pt idx="124">
                  <c:v>45706</c:v>
                </c:pt>
                <c:pt idx="125">
                  <c:v>45707</c:v>
                </c:pt>
                <c:pt idx="126">
                  <c:v>45708</c:v>
                </c:pt>
                <c:pt idx="127">
                  <c:v>45709</c:v>
                </c:pt>
                <c:pt idx="128">
                  <c:v>45710</c:v>
                </c:pt>
                <c:pt idx="129">
                  <c:v>45711</c:v>
                </c:pt>
                <c:pt idx="130">
                  <c:v>45712</c:v>
                </c:pt>
                <c:pt idx="131">
                  <c:v>45713</c:v>
                </c:pt>
                <c:pt idx="132">
                  <c:v>45714</c:v>
                </c:pt>
                <c:pt idx="133">
                  <c:v>45715</c:v>
                </c:pt>
                <c:pt idx="134">
                  <c:v>45716</c:v>
                </c:pt>
                <c:pt idx="135">
                  <c:v>45717</c:v>
                </c:pt>
                <c:pt idx="136">
                  <c:v>45718</c:v>
                </c:pt>
                <c:pt idx="137">
                  <c:v>45719</c:v>
                </c:pt>
                <c:pt idx="138">
                  <c:v>45720</c:v>
                </c:pt>
                <c:pt idx="139">
                  <c:v>45721</c:v>
                </c:pt>
                <c:pt idx="140">
                  <c:v>45722</c:v>
                </c:pt>
                <c:pt idx="141">
                  <c:v>45723</c:v>
                </c:pt>
                <c:pt idx="142">
                  <c:v>45724</c:v>
                </c:pt>
                <c:pt idx="143">
                  <c:v>45725</c:v>
                </c:pt>
                <c:pt idx="144">
                  <c:v>45726</c:v>
                </c:pt>
                <c:pt idx="145">
                  <c:v>45727</c:v>
                </c:pt>
                <c:pt idx="146">
                  <c:v>45728</c:v>
                </c:pt>
                <c:pt idx="147">
                  <c:v>45729</c:v>
                </c:pt>
                <c:pt idx="148">
                  <c:v>45730</c:v>
                </c:pt>
                <c:pt idx="149">
                  <c:v>45731</c:v>
                </c:pt>
                <c:pt idx="150">
                  <c:v>45732</c:v>
                </c:pt>
                <c:pt idx="151">
                  <c:v>45733</c:v>
                </c:pt>
                <c:pt idx="152">
                  <c:v>45734</c:v>
                </c:pt>
                <c:pt idx="153">
                  <c:v>45735</c:v>
                </c:pt>
                <c:pt idx="154">
                  <c:v>45736</c:v>
                </c:pt>
                <c:pt idx="155">
                  <c:v>45737</c:v>
                </c:pt>
                <c:pt idx="156">
                  <c:v>45738</c:v>
                </c:pt>
                <c:pt idx="157">
                  <c:v>45739</c:v>
                </c:pt>
                <c:pt idx="158">
                  <c:v>45740</c:v>
                </c:pt>
                <c:pt idx="159">
                  <c:v>45741</c:v>
                </c:pt>
                <c:pt idx="160">
                  <c:v>45742</c:v>
                </c:pt>
                <c:pt idx="161">
                  <c:v>45743</c:v>
                </c:pt>
                <c:pt idx="162">
                  <c:v>45744</c:v>
                </c:pt>
                <c:pt idx="163">
                  <c:v>45745</c:v>
                </c:pt>
                <c:pt idx="164">
                  <c:v>45746</c:v>
                </c:pt>
                <c:pt idx="165">
                  <c:v>45747</c:v>
                </c:pt>
                <c:pt idx="166">
                  <c:v>45748</c:v>
                </c:pt>
                <c:pt idx="167">
                  <c:v>45749</c:v>
                </c:pt>
                <c:pt idx="168">
                  <c:v>45750</c:v>
                </c:pt>
                <c:pt idx="169">
                  <c:v>45751</c:v>
                </c:pt>
                <c:pt idx="170">
                  <c:v>45752</c:v>
                </c:pt>
                <c:pt idx="171">
                  <c:v>45753</c:v>
                </c:pt>
                <c:pt idx="172">
                  <c:v>45754</c:v>
                </c:pt>
                <c:pt idx="173">
                  <c:v>45755</c:v>
                </c:pt>
                <c:pt idx="174">
                  <c:v>45756</c:v>
                </c:pt>
                <c:pt idx="175">
                  <c:v>45757</c:v>
                </c:pt>
                <c:pt idx="176">
                  <c:v>45758</c:v>
                </c:pt>
                <c:pt idx="177">
                  <c:v>45759</c:v>
                </c:pt>
                <c:pt idx="178">
                  <c:v>45760</c:v>
                </c:pt>
                <c:pt idx="179">
                  <c:v>45761</c:v>
                </c:pt>
                <c:pt idx="180">
                  <c:v>45762</c:v>
                </c:pt>
                <c:pt idx="181">
                  <c:v>45763</c:v>
                </c:pt>
                <c:pt idx="182">
                  <c:v>45764</c:v>
                </c:pt>
                <c:pt idx="183">
                  <c:v>45765</c:v>
                </c:pt>
                <c:pt idx="184">
                  <c:v>45766</c:v>
                </c:pt>
                <c:pt idx="185">
                  <c:v>45767</c:v>
                </c:pt>
                <c:pt idx="186">
                  <c:v>45768</c:v>
                </c:pt>
                <c:pt idx="187">
                  <c:v>45769</c:v>
                </c:pt>
                <c:pt idx="188">
                  <c:v>45770</c:v>
                </c:pt>
                <c:pt idx="189">
                  <c:v>45771</c:v>
                </c:pt>
                <c:pt idx="190">
                  <c:v>45772</c:v>
                </c:pt>
                <c:pt idx="191">
                  <c:v>45773</c:v>
                </c:pt>
                <c:pt idx="192">
                  <c:v>45774</c:v>
                </c:pt>
                <c:pt idx="193">
                  <c:v>45775</c:v>
                </c:pt>
                <c:pt idx="194">
                  <c:v>45776</c:v>
                </c:pt>
                <c:pt idx="195">
                  <c:v>45777</c:v>
                </c:pt>
                <c:pt idx="196">
                  <c:v>45778</c:v>
                </c:pt>
                <c:pt idx="197">
                  <c:v>45779</c:v>
                </c:pt>
                <c:pt idx="198">
                  <c:v>45780</c:v>
                </c:pt>
                <c:pt idx="199">
                  <c:v>45781</c:v>
                </c:pt>
                <c:pt idx="200">
                  <c:v>45782</c:v>
                </c:pt>
                <c:pt idx="201">
                  <c:v>45783</c:v>
                </c:pt>
                <c:pt idx="202">
                  <c:v>45784</c:v>
                </c:pt>
                <c:pt idx="203">
                  <c:v>45785</c:v>
                </c:pt>
                <c:pt idx="204">
                  <c:v>45786</c:v>
                </c:pt>
                <c:pt idx="205">
                  <c:v>45787</c:v>
                </c:pt>
                <c:pt idx="206">
                  <c:v>45788</c:v>
                </c:pt>
                <c:pt idx="207">
                  <c:v>45789</c:v>
                </c:pt>
                <c:pt idx="208">
                  <c:v>45790</c:v>
                </c:pt>
                <c:pt idx="209">
                  <c:v>45791</c:v>
                </c:pt>
                <c:pt idx="210">
                  <c:v>45792</c:v>
                </c:pt>
                <c:pt idx="211">
                  <c:v>45793</c:v>
                </c:pt>
                <c:pt idx="212">
                  <c:v>45794</c:v>
                </c:pt>
                <c:pt idx="213">
                  <c:v>45795</c:v>
                </c:pt>
                <c:pt idx="214">
                  <c:v>45796</c:v>
                </c:pt>
                <c:pt idx="215">
                  <c:v>45797</c:v>
                </c:pt>
                <c:pt idx="216">
                  <c:v>45798</c:v>
                </c:pt>
                <c:pt idx="217">
                  <c:v>45799</c:v>
                </c:pt>
                <c:pt idx="218">
                  <c:v>45800</c:v>
                </c:pt>
                <c:pt idx="219">
                  <c:v>45801</c:v>
                </c:pt>
                <c:pt idx="220">
                  <c:v>45802</c:v>
                </c:pt>
                <c:pt idx="221">
                  <c:v>45803</c:v>
                </c:pt>
                <c:pt idx="222">
                  <c:v>45804</c:v>
                </c:pt>
                <c:pt idx="223">
                  <c:v>45805</c:v>
                </c:pt>
                <c:pt idx="224">
                  <c:v>45806</c:v>
                </c:pt>
                <c:pt idx="225">
                  <c:v>45807</c:v>
                </c:pt>
                <c:pt idx="226">
                  <c:v>45808</c:v>
                </c:pt>
                <c:pt idx="227">
                  <c:v>45809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45815</c:v>
                </c:pt>
                <c:pt idx="234">
                  <c:v>45816</c:v>
                </c:pt>
                <c:pt idx="235">
                  <c:v>45817</c:v>
                </c:pt>
                <c:pt idx="236">
                  <c:v>45818</c:v>
                </c:pt>
                <c:pt idx="237">
                  <c:v>45819</c:v>
                </c:pt>
                <c:pt idx="238">
                  <c:v>45820</c:v>
                </c:pt>
                <c:pt idx="239">
                  <c:v>45821</c:v>
                </c:pt>
                <c:pt idx="240">
                  <c:v>45822</c:v>
                </c:pt>
                <c:pt idx="241">
                  <c:v>45823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45829</c:v>
                </c:pt>
                <c:pt idx="248">
                  <c:v>45830</c:v>
                </c:pt>
                <c:pt idx="249">
                  <c:v>45831</c:v>
                </c:pt>
                <c:pt idx="250">
                  <c:v>45832</c:v>
                </c:pt>
                <c:pt idx="251">
                  <c:v>45833</c:v>
                </c:pt>
                <c:pt idx="252">
                  <c:v>45834</c:v>
                </c:pt>
                <c:pt idx="253">
                  <c:v>45835</c:v>
                </c:pt>
                <c:pt idx="254">
                  <c:v>45836</c:v>
                </c:pt>
                <c:pt idx="255">
                  <c:v>45837</c:v>
                </c:pt>
                <c:pt idx="256">
                  <c:v>45838</c:v>
                </c:pt>
                <c:pt idx="257">
                  <c:v>45839</c:v>
                </c:pt>
                <c:pt idx="258">
                  <c:v>45840</c:v>
                </c:pt>
                <c:pt idx="259">
                  <c:v>45841</c:v>
                </c:pt>
                <c:pt idx="260">
                  <c:v>45842</c:v>
                </c:pt>
                <c:pt idx="261">
                  <c:v>45843</c:v>
                </c:pt>
                <c:pt idx="262">
                  <c:v>45844</c:v>
                </c:pt>
                <c:pt idx="263">
                  <c:v>45845</c:v>
                </c:pt>
                <c:pt idx="264">
                  <c:v>45846</c:v>
                </c:pt>
                <c:pt idx="265">
                  <c:v>45847</c:v>
                </c:pt>
                <c:pt idx="266">
                  <c:v>45848</c:v>
                </c:pt>
                <c:pt idx="267">
                  <c:v>45849</c:v>
                </c:pt>
                <c:pt idx="268">
                  <c:v>45850</c:v>
                </c:pt>
                <c:pt idx="269">
                  <c:v>45851</c:v>
                </c:pt>
                <c:pt idx="270">
                  <c:v>45852</c:v>
                </c:pt>
                <c:pt idx="271">
                  <c:v>45853</c:v>
                </c:pt>
                <c:pt idx="272">
                  <c:v>45854</c:v>
                </c:pt>
                <c:pt idx="273">
                  <c:v>45855</c:v>
                </c:pt>
                <c:pt idx="274">
                  <c:v>45856</c:v>
                </c:pt>
                <c:pt idx="275">
                  <c:v>45857</c:v>
                </c:pt>
                <c:pt idx="276">
                  <c:v>45858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45864</c:v>
                </c:pt>
                <c:pt idx="283">
                  <c:v>45865</c:v>
                </c:pt>
                <c:pt idx="284">
                  <c:v>45866</c:v>
                </c:pt>
                <c:pt idx="285">
                  <c:v>45867</c:v>
                </c:pt>
                <c:pt idx="286">
                  <c:v>45868</c:v>
                </c:pt>
                <c:pt idx="287">
                  <c:v>45869</c:v>
                </c:pt>
                <c:pt idx="288">
                  <c:v>45870</c:v>
                </c:pt>
                <c:pt idx="289">
                  <c:v>45871</c:v>
                </c:pt>
                <c:pt idx="290">
                  <c:v>45872</c:v>
                </c:pt>
                <c:pt idx="291">
                  <c:v>45873</c:v>
                </c:pt>
                <c:pt idx="292">
                  <c:v>45874</c:v>
                </c:pt>
                <c:pt idx="293">
                  <c:v>45875</c:v>
                </c:pt>
                <c:pt idx="294">
                  <c:v>45876</c:v>
                </c:pt>
                <c:pt idx="295">
                  <c:v>45877</c:v>
                </c:pt>
                <c:pt idx="296">
                  <c:v>45878</c:v>
                </c:pt>
                <c:pt idx="297">
                  <c:v>45879</c:v>
                </c:pt>
                <c:pt idx="298">
                  <c:v>45880</c:v>
                </c:pt>
                <c:pt idx="299">
                  <c:v>45881</c:v>
                </c:pt>
                <c:pt idx="300">
                  <c:v>45882</c:v>
                </c:pt>
                <c:pt idx="301">
                  <c:v>45883</c:v>
                </c:pt>
                <c:pt idx="302">
                  <c:v>45884</c:v>
                </c:pt>
                <c:pt idx="303">
                  <c:v>45885</c:v>
                </c:pt>
                <c:pt idx="304">
                  <c:v>45886</c:v>
                </c:pt>
                <c:pt idx="305">
                  <c:v>45887</c:v>
                </c:pt>
                <c:pt idx="306">
                  <c:v>45888</c:v>
                </c:pt>
                <c:pt idx="307">
                  <c:v>45889</c:v>
                </c:pt>
                <c:pt idx="308">
                  <c:v>45890</c:v>
                </c:pt>
                <c:pt idx="309">
                  <c:v>45891</c:v>
                </c:pt>
                <c:pt idx="310">
                  <c:v>45892</c:v>
                </c:pt>
                <c:pt idx="311">
                  <c:v>45893</c:v>
                </c:pt>
                <c:pt idx="312">
                  <c:v>45894</c:v>
                </c:pt>
                <c:pt idx="313">
                  <c:v>45895</c:v>
                </c:pt>
                <c:pt idx="314">
                  <c:v>45896</c:v>
                </c:pt>
                <c:pt idx="315">
                  <c:v>45897</c:v>
                </c:pt>
                <c:pt idx="316">
                  <c:v>45898</c:v>
                </c:pt>
                <c:pt idx="317">
                  <c:v>45899</c:v>
                </c:pt>
                <c:pt idx="318">
                  <c:v>45900</c:v>
                </c:pt>
                <c:pt idx="319">
                  <c:v>45901</c:v>
                </c:pt>
                <c:pt idx="320">
                  <c:v>45902</c:v>
                </c:pt>
                <c:pt idx="321">
                  <c:v>45903</c:v>
                </c:pt>
                <c:pt idx="322">
                  <c:v>45904</c:v>
                </c:pt>
                <c:pt idx="323">
                  <c:v>45905</c:v>
                </c:pt>
                <c:pt idx="324">
                  <c:v>45906</c:v>
                </c:pt>
                <c:pt idx="325">
                  <c:v>45907</c:v>
                </c:pt>
                <c:pt idx="326">
                  <c:v>45908</c:v>
                </c:pt>
                <c:pt idx="327">
                  <c:v>45909</c:v>
                </c:pt>
                <c:pt idx="328">
                  <c:v>45910</c:v>
                </c:pt>
                <c:pt idx="329">
                  <c:v>45911</c:v>
                </c:pt>
                <c:pt idx="330">
                  <c:v>45912</c:v>
                </c:pt>
                <c:pt idx="331">
                  <c:v>45913</c:v>
                </c:pt>
                <c:pt idx="332">
                  <c:v>45914</c:v>
                </c:pt>
                <c:pt idx="333">
                  <c:v>45915</c:v>
                </c:pt>
                <c:pt idx="334">
                  <c:v>45916</c:v>
                </c:pt>
                <c:pt idx="335">
                  <c:v>45917</c:v>
                </c:pt>
                <c:pt idx="336">
                  <c:v>45918</c:v>
                </c:pt>
                <c:pt idx="337">
                  <c:v>45919</c:v>
                </c:pt>
                <c:pt idx="338">
                  <c:v>45920</c:v>
                </c:pt>
                <c:pt idx="339">
                  <c:v>45921</c:v>
                </c:pt>
                <c:pt idx="340">
                  <c:v>45922</c:v>
                </c:pt>
                <c:pt idx="341">
                  <c:v>45923</c:v>
                </c:pt>
                <c:pt idx="342">
                  <c:v>45924</c:v>
                </c:pt>
                <c:pt idx="343">
                  <c:v>45925</c:v>
                </c:pt>
                <c:pt idx="344">
                  <c:v>45926</c:v>
                </c:pt>
                <c:pt idx="345">
                  <c:v>45927</c:v>
                </c:pt>
                <c:pt idx="346">
                  <c:v>45928</c:v>
                </c:pt>
                <c:pt idx="347">
                  <c:v>45929</c:v>
                </c:pt>
                <c:pt idx="348">
                  <c:v>45930</c:v>
                </c:pt>
                <c:pt idx="349">
                  <c:v>45931</c:v>
                </c:pt>
                <c:pt idx="350">
                  <c:v>45932</c:v>
                </c:pt>
                <c:pt idx="351">
                  <c:v>45933</c:v>
                </c:pt>
                <c:pt idx="352">
                  <c:v>45934</c:v>
                </c:pt>
                <c:pt idx="353">
                  <c:v>45935</c:v>
                </c:pt>
                <c:pt idx="354">
                  <c:v>45936</c:v>
                </c:pt>
                <c:pt idx="355">
                  <c:v>45937</c:v>
                </c:pt>
                <c:pt idx="356">
                  <c:v>45938</c:v>
                </c:pt>
                <c:pt idx="357">
                  <c:v>45939</c:v>
                </c:pt>
                <c:pt idx="358">
                  <c:v>45940</c:v>
                </c:pt>
                <c:pt idx="359">
                  <c:v>45941</c:v>
                </c:pt>
                <c:pt idx="360">
                  <c:v>45942</c:v>
                </c:pt>
                <c:pt idx="361">
                  <c:v>45943</c:v>
                </c:pt>
                <c:pt idx="362">
                  <c:v>45944</c:v>
                </c:pt>
                <c:pt idx="363">
                  <c:v>45945</c:v>
                </c:pt>
                <c:pt idx="364">
                  <c:v>45946</c:v>
                </c:pt>
                <c:pt idx="365">
                  <c:v>45947</c:v>
                </c:pt>
                <c:pt idx="366">
                  <c:v>45948</c:v>
                </c:pt>
                <c:pt idx="367">
                  <c:v>45949</c:v>
                </c:pt>
                <c:pt idx="368">
                  <c:v>45950</c:v>
                </c:pt>
                <c:pt idx="369">
                  <c:v>45951</c:v>
                </c:pt>
                <c:pt idx="370">
                  <c:v>45952</c:v>
                </c:pt>
                <c:pt idx="371">
                  <c:v>45953</c:v>
                </c:pt>
                <c:pt idx="372">
                  <c:v>45954</c:v>
                </c:pt>
                <c:pt idx="373">
                  <c:v>45955</c:v>
                </c:pt>
                <c:pt idx="374">
                  <c:v>45956</c:v>
                </c:pt>
                <c:pt idx="375">
                  <c:v>45957</c:v>
                </c:pt>
                <c:pt idx="376">
                  <c:v>45958</c:v>
                </c:pt>
                <c:pt idx="377">
                  <c:v>45959</c:v>
                </c:pt>
                <c:pt idx="378">
                  <c:v>45960</c:v>
                </c:pt>
                <c:pt idx="379">
                  <c:v>45961</c:v>
                </c:pt>
                <c:pt idx="380">
                  <c:v>45962</c:v>
                </c:pt>
                <c:pt idx="381">
                  <c:v>45963</c:v>
                </c:pt>
                <c:pt idx="382">
                  <c:v>45964</c:v>
                </c:pt>
                <c:pt idx="383">
                  <c:v>45965</c:v>
                </c:pt>
                <c:pt idx="384">
                  <c:v>45966</c:v>
                </c:pt>
                <c:pt idx="385">
                  <c:v>45967</c:v>
                </c:pt>
                <c:pt idx="386">
                  <c:v>45968</c:v>
                </c:pt>
                <c:pt idx="387">
                  <c:v>45969</c:v>
                </c:pt>
                <c:pt idx="388">
                  <c:v>45970</c:v>
                </c:pt>
                <c:pt idx="389">
                  <c:v>45971</c:v>
                </c:pt>
                <c:pt idx="390">
                  <c:v>45972</c:v>
                </c:pt>
                <c:pt idx="391">
                  <c:v>45973</c:v>
                </c:pt>
                <c:pt idx="392">
                  <c:v>45974</c:v>
                </c:pt>
                <c:pt idx="393">
                  <c:v>45975</c:v>
                </c:pt>
                <c:pt idx="394">
                  <c:v>45976</c:v>
                </c:pt>
                <c:pt idx="395">
                  <c:v>45977</c:v>
                </c:pt>
                <c:pt idx="396">
                  <c:v>45978</c:v>
                </c:pt>
                <c:pt idx="397">
                  <c:v>45979</c:v>
                </c:pt>
                <c:pt idx="398">
                  <c:v>45980</c:v>
                </c:pt>
                <c:pt idx="399">
                  <c:v>45981</c:v>
                </c:pt>
                <c:pt idx="400">
                  <c:v>45982</c:v>
                </c:pt>
                <c:pt idx="401">
                  <c:v>45983</c:v>
                </c:pt>
                <c:pt idx="402">
                  <c:v>45984</c:v>
                </c:pt>
                <c:pt idx="403">
                  <c:v>45985</c:v>
                </c:pt>
                <c:pt idx="404">
                  <c:v>45986</c:v>
                </c:pt>
                <c:pt idx="405">
                  <c:v>45987</c:v>
                </c:pt>
                <c:pt idx="406">
                  <c:v>45988</c:v>
                </c:pt>
                <c:pt idx="407">
                  <c:v>45989</c:v>
                </c:pt>
                <c:pt idx="408">
                  <c:v>45990</c:v>
                </c:pt>
                <c:pt idx="409">
                  <c:v>45991</c:v>
                </c:pt>
                <c:pt idx="410">
                  <c:v>45992</c:v>
                </c:pt>
                <c:pt idx="411">
                  <c:v>45993</c:v>
                </c:pt>
                <c:pt idx="412">
                  <c:v>45994</c:v>
                </c:pt>
                <c:pt idx="413">
                  <c:v>45995</c:v>
                </c:pt>
                <c:pt idx="414">
                  <c:v>45996</c:v>
                </c:pt>
                <c:pt idx="415">
                  <c:v>45997</c:v>
                </c:pt>
                <c:pt idx="416">
                  <c:v>45998</c:v>
                </c:pt>
                <c:pt idx="417">
                  <c:v>45999</c:v>
                </c:pt>
                <c:pt idx="418">
                  <c:v>46000</c:v>
                </c:pt>
                <c:pt idx="419">
                  <c:v>46001</c:v>
                </c:pt>
                <c:pt idx="420">
                  <c:v>46002</c:v>
                </c:pt>
                <c:pt idx="421">
                  <c:v>46003</c:v>
                </c:pt>
                <c:pt idx="422">
                  <c:v>46004</c:v>
                </c:pt>
                <c:pt idx="423">
                  <c:v>46005</c:v>
                </c:pt>
                <c:pt idx="424">
                  <c:v>46006</c:v>
                </c:pt>
                <c:pt idx="425">
                  <c:v>46007</c:v>
                </c:pt>
                <c:pt idx="426">
                  <c:v>46008</c:v>
                </c:pt>
                <c:pt idx="427">
                  <c:v>46009</c:v>
                </c:pt>
                <c:pt idx="428">
                  <c:v>46010</c:v>
                </c:pt>
                <c:pt idx="429">
                  <c:v>46011</c:v>
                </c:pt>
                <c:pt idx="430">
                  <c:v>46012</c:v>
                </c:pt>
                <c:pt idx="431">
                  <c:v>46013</c:v>
                </c:pt>
                <c:pt idx="432">
                  <c:v>46014</c:v>
                </c:pt>
                <c:pt idx="433">
                  <c:v>46015</c:v>
                </c:pt>
                <c:pt idx="434">
                  <c:v>46016</c:v>
                </c:pt>
                <c:pt idx="435">
                  <c:v>46017</c:v>
                </c:pt>
                <c:pt idx="436">
                  <c:v>46018</c:v>
                </c:pt>
                <c:pt idx="437">
                  <c:v>46019</c:v>
                </c:pt>
                <c:pt idx="438">
                  <c:v>46020</c:v>
                </c:pt>
                <c:pt idx="439">
                  <c:v>46021</c:v>
                </c:pt>
                <c:pt idx="440">
                  <c:v>46022</c:v>
                </c:pt>
                <c:pt idx="441">
                  <c:v>46023</c:v>
                </c:pt>
                <c:pt idx="442">
                  <c:v>46024</c:v>
                </c:pt>
                <c:pt idx="443">
                  <c:v>46025</c:v>
                </c:pt>
                <c:pt idx="444">
                  <c:v>46026</c:v>
                </c:pt>
                <c:pt idx="445">
                  <c:v>46027</c:v>
                </c:pt>
                <c:pt idx="446">
                  <c:v>46028</c:v>
                </c:pt>
                <c:pt idx="447">
                  <c:v>46029</c:v>
                </c:pt>
                <c:pt idx="448">
                  <c:v>46030</c:v>
                </c:pt>
                <c:pt idx="449">
                  <c:v>46031</c:v>
                </c:pt>
                <c:pt idx="450">
                  <c:v>46032</c:v>
                </c:pt>
                <c:pt idx="451">
                  <c:v>46033</c:v>
                </c:pt>
                <c:pt idx="452">
                  <c:v>46034</c:v>
                </c:pt>
                <c:pt idx="453">
                  <c:v>46035</c:v>
                </c:pt>
                <c:pt idx="454">
                  <c:v>46036</c:v>
                </c:pt>
                <c:pt idx="455">
                  <c:v>46037</c:v>
                </c:pt>
                <c:pt idx="456">
                  <c:v>46038</c:v>
                </c:pt>
                <c:pt idx="457">
                  <c:v>46039</c:v>
                </c:pt>
                <c:pt idx="458">
                  <c:v>46040</c:v>
                </c:pt>
                <c:pt idx="459">
                  <c:v>46041</c:v>
                </c:pt>
                <c:pt idx="460">
                  <c:v>46042</c:v>
                </c:pt>
                <c:pt idx="461">
                  <c:v>46043</c:v>
                </c:pt>
                <c:pt idx="462">
                  <c:v>46044</c:v>
                </c:pt>
                <c:pt idx="463">
                  <c:v>46045</c:v>
                </c:pt>
                <c:pt idx="464">
                  <c:v>46046</c:v>
                </c:pt>
                <c:pt idx="465">
                  <c:v>46047</c:v>
                </c:pt>
                <c:pt idx="466">
                  <c:v>46048</c:v>
                </c:pt>
                <c:pt idx="467">
                  <c:v>46049</c:v>
                </c:pt>
                <c:pt idx="468">
                  <c:v>46050</c:v>
                </c:pt>
                <c:pt idx="469">
                  <c:v>46051</c:v>
                </c:pt>
                <c:pt idx="470">
                  <c:v>46052</c:v>
                </c:pt>
                <c:pt idx="471">
                  <c:v>46053</c:v>
                </c:pt>
                <c:pt idx="472">
                  <c:v>46054</c:v>
                </c:pt>
                <c:pt idx="473">
                  <c:v>46055</c:v>
                </c:pt>
                <c:pt idx="474">
                  <c:v>46056</c:v>
                </c:pt>
                <c:pt idx="475">
                  <c:v>46057</c:v>
                </c:pt>
                <c:pt idx="476">
                  <c:v>46058</c:v>
                </c:pt>
                <c:pt idx="477">
                  <c:v>46059</c:v>
                </c:pt>
                <c:pt idx="478">
                  <c:v>46060</c:v>
                </c:pt>
                <c:pt idx="479">
                  <c:v>46061</c:v>
                </c:pt>
                <c:pt idx="480">
                  <c:v>46062</c:v>
                </c:pt>
                <c:pt idx="481">
                  <c:v>46063</c:v>
                </c:pt>
                <c:pt idx="482">
                  <c:v>46064</c:v>
                </c:pt>
                <c:pt idx="483">
                  <c:v>46065</c:v>
                </c:pt>
                <c:pt idx="484">
                  <c:v>46066</c:v>
                </c:pt>
                <c:pt idx="485">
                  <c:v>46067</c:v>
                </c:pt>
                <c:pt idx="486">
                  <c:v>46068</c:v>
                </c:pt>
                <c:pt idx="487">
                  <c:v>46069</c:v>
                </c:pt>
                <c:pt idx="488">
                  <c:v>46070</c:v>
                </c:pt>
                <c:pt idx="489">
                  <c:v>46071</c:v>
                </c:pt>
                <c:pt idx="490">
                  <c:v>46072</c:v>
                </c:pt>
                <c:pt idx="491">
                  <c:v>46073</c:v>
                </c:pt>
                <c:pt idx="492">
                  <c:v>46074</c:v>
                </c:pt>
                <c:pt idx="493">
                  <c:v>46075</c:v>
                </c:pt>
                <c:pt idx="494">
                  <c:v>46076</c:v>
                </c:pt>
                <c:pt idx="495">
                  <c:v>46077</c:v>
                </c:pt>
                <c:pt idx="496">
                  <c:v>46078</c:v>
                </c:pt>
                <c:pt idx="497">
                  <c:v>46079</c:v>
                </c:pt>
                <c:pt idx="498">
                  <c:v>46080</c:v>
                </c:pt>
                <c:pt idx="499">
                  <c:v>46081</c:v>
                </c:pt>
                <c:pt idx="500">
                  <c:v>46082</c:v>
                </c:pt>
                <c:pt idx="501">
                  <c:v>46083</c:v>
                </c:pt>
                <c:pt idx="502">
                  <c:v>46084</c:v>
                </c:pt>
                <c:pt idx="503">
                  <c:v>46085</c:v>
                </c:pt>
                <c:pt idx="504">
                  <c:v>46086</c:v>
                </c:pt>
                <c:pt idx="505">
                  <c:v>46087</c:v>
                </c:pt>
                <c:pt idx="506">
                  <c:v>46088</c:v>
                </c:pt>
                <c:pt idx="507">
                  <c:v>46089</c:v>
                </c:pt>
                <c:pt idx="508">
                  <c:v>46090</c:v>
                </c:pt>
                <c:pt idx="509">
                  <c:v>46091</c:v>
                </c:pt>
                <c:pt idx="510">
                  <c:v>46092</c:v>
                </c:pt>
                <c:pt idx="511">
                  <c:v>46093</c:v>
                </c:pt>
                <c:pt idx="512">
                  <c:v>46094</c:v>
                </c:pt>
                <c:pt idx="513">
                  <c:v>46095</c:v>
                </c:pt>
                <c:pt idx="514">
                  <c:v>46096</c:v>
                </c:pt>
                <c:pt idx="515">
                  <c:v>46097</c:v>
                </c:pt>
                <c:pt idx="516">
                  <c:v>46098</c:v>
                </c:pt>
                <c:pt idx="517">
                  <c:v>46099</c:v>
                </c:pt>
                <c:pt idx="518">
                  <c:v>46100</c:v>
                </c:pt>
                <c:pt idx="519">
                  <c:v>46101</c:v>
                </c:pt>
                <c:pt idx="520">
                  <c:v>46102</c:v>
                </c:pt>
                <c:pt idx="521">
                  <c:v>46103</c:v>
                </c:pt>
                <c:pt idx="522">
                  <c:v>46104</c:v>
                </c:pt>
                <c:pt idx="523">
                  <c:v>46105</c:v>
                </c:pt>
                <c:pt idx="524">
                  <c:v>46106</c:v>
                </c:pt>
                <c:pt idx="525">
                  <c:v>46107</c:v>
                </c:pt>
                <c:pt idx="526">
                  <c:v>46108</c:v>
                </c:pt>
                <c:pt idx="527">
                  <c:v>46109</c:v>
                </c:pt>
                <c:pt idx="528">
                  <c:v>46110</c:v>
                </c:pt>
                <c:pt idx="529">
                  <c:v>46111</c:v>
                </c:pt>
                <c:pt idx="530">
                  <c:v>46112</c:v>
                </c:pt>
                <c:pt idx="531">
                  <c:v>46113</c:v>
                </c:pt>
                <c:pt idx="532">
                  <c:v>46114</c:v>
                </c:pt>
                <c:pt idx="533">
                  <c:v>46115</c:v>
                </c:pt>
                <c:pt idx="534">
                  <c:v>46116</c:v>
                </c:pt>
                <c:pt idx="535">
                  <c:v>46117</c:v>
                </c:pt>
                <c:pt idx="536">
                  <c:v>46118</c:v>
                </c:pt>
                <c:pt idx="537">
                  <c:v>46119</c:v>
                </c:pt>
                <c:pt idx="538">
                  <c:v>46120</c:v>
                </c:pt>
                <c:pt idx="539">
                  <c:v>46121</c:v>
                </c:pt>
                <c:pt idx="540">
                  <c:v>46122</c:v>
                </c:pt>
                <c:pt idx="541">
                  <c:v>46123</c:v>
                </c:pt>
                <c:pt idx="542">
                  <c:v>46124</c:v>
                </c:pt>
                <c:pt idx="543">
                  <c:v>46125</c:v>
                </c:pt>
                <c:pt idx="544">
                  <c:v>46126</c:v>
                </c:pt>
                <c:pt idx="545">
                  <c:v>46127</c:v>
                </c:pt>
                <c:pt idx="546">
                  <c:v>46128</c:v>
                </c:pt>
                <c:pt idx="547">
                  <c:v>46129</c:v>
                </c:pt>
                <c:pt idx="548">
                  <c:v>46130</c:v>
                </c:pt>
                <c:pt idx="549">
                  <c:v>46131</c:v>
                </c:pt>
                <c:pt idx="550">
                  <c:v>46132</c:v>
                </c:pt>
                <c:pt idx="551">
                  <c:v>46133</c:v>
                </c:pt>
                <c:pt idx="552">
                  <c:v>46134</c:v>
                </c:pt>
                <c:pt idx="553">
                  <c:v>46135</c:v>
                </c:pt>
                <c:pt idx="554">
                  <c:v>46136</c:v>
                </c:pt>
                <c:pt idx="555">
                  <c:v>46137</c:v>
                </c:pt>
                <c:pt idx="556">
                  <c:v>46138</c:v>
                </c:pt>
                <c:pt idx="557">
                  <c:v>46139</c:v>
                </c:pt>
                <c:pt idx="558">
                  <c:v>46140</c:v>
                </c:pt>
                <c:pt idx="559">
                  <c:v>46141</c:v>
                </c:pt>
                <c:pt idx="560">
                  <c:v>46142</c:v>
                </c:pt>
              </c:numCache>
            </c:numRef>
          </c:cat>
          <c:val>
            <c:numRef>
              <c:f>'Tasa_BCVUSDT Grafico1'!$E$3:$E$559</c:f>
              <c:numCache>
                <c:formatCode>0.000</c:formatCode>
                <c:ptCount val="557"/>
                <c:pt idx="0">
                  <c:v>47.136000000000003</c:v>
                </c:pt>
                <c:pt idx="1">
                  <c:v>47.127000000000002</c:v>
                </c:pt>
                <c:pt idx="2">
                  <c:v>47.125</c:v>
                </c:pt>
                <c:pt idx="3">
                  <c:v>47.295999999999999</c:v>
                </c:pt>
                <c:pt idx="4">
                  <c:v>47.889000000000003</c:v>
                </c:pt>
                <c:pt idx="5">
                  <c:v>48.531399999999998</c:v>
                </c:pt>
                <c:pt idx="6">
                  <c:v>49.130800000000001</c:v>
                </c:pt>
                <c:pt idx="7">
                  <c:v>49.613199999999999</c:v>
                </c:pt>
                <c:pt idx="8">
                  <c:v>48.895200000000003</c:v>
                </c:pt>
                <c:pt idx="9">
                  <c:v>49.0334</c:v>
                </c:pt>
                <c:pt idx="10">
                  <c:v>49.081600000000002</c:v>
                </c:pt>
                <c:pt idx="11">
                  <c:v>50.107799999999997</c:v>
                </c:pt>
                <c:pt idx="12">
                  <c:v>52.134</c:v>
                </c:pt>
                <c:pt idx="13">
                  <c:v>51.998800000000003</c:v>
                </c:pt>
                <c:pt idx="14">
                  <c:v>51.189799999999998</c:v>
                </c:pt>
                <c:pt idx="15">
                  <c:v>50.525599999999997</c:v>
                </c:pt>
                <c:pt idx="16">
                  <c:v>50.729199999999999</c:v>
                </c:pt>
                <c:pt idx="17">
                  <c:v>51.201999999999998</c:v>
                </c:pt>
                <c:pt idx="18">
                  <c:v>50.892000000000003</c:v>
                </c:pt>
                <c:pt idx="19">
                  <c:v>51.801400000000001</c:v>
                </c:pt>
                <c:pt idx="20">
                  <c:v>52.9878</c:v>
                </c:pt>
                <c:pt idx="21">
                  <c:v>52.128999999999998</c:v>
                </c:pt>
                <c:pt idx="22">
                  <c:v>51.9482</c:v>
                </c:pt>
                <c:pt idx="23">
                  <c:v>51.853200000000001</c:v>
                </c:pt>
                <c:pt idx="24">
                  <c:v>51.8232</c:v>
                </c:pt>
                <c:pt idx="25">
                  <c:v>52.393999999999998</c:v>
                </c:pt>
                <c:pt idx="26">
                  <c:v>53.160600000000002</c:v>
                </c:pt>
                <c:pt idx="27">
                  <c:v>53.631</c:v>
                </c:pt>
                <c:pt idx="28">
                  <c:v>53.543199999999999</c:v>
                </c:pt>
                <c:pt idx="29">
                  <c:v>53.3322</c:v>
                </c:pt>
                <c:pt idx="30">
                  <c:v>53.396599999999999</c:v>
                </c:pt>
                <c:pt idx="31">
                  <c:v>53.854399999999998</c:v>
                </c:pt>
                <c:pt idx="32">
                  <c:v>54.829799999999999</c:v>
                </c:pt>
                <c:pt idx="33">
                  <c:v>55.938000000000002</c:v>
                </c:pt>
                <c:pt idx="34">
                  <c:v>57.956400000000002</c:v>
                </c:pt>
                <c:pt idx="35">
                  <c:v>56.768799999999999</c:v>
                </c:pt>
                <c:pt idx="36">
                  <c:v>56.589799999999997</c:v>
                </c:pt>
                <c:pt idx="37">
                  <c:v>56.691800000000001</c:v>
                </c:pt>
                <c:pt idx="38">
                  <c:v>56.835000000000001</c:v>
                </c:pt>
                <c:pt idx="39">
                  <c:v>57.345599999999997</c:v>
                </c:pt>
                <c:pt idx="40">
                  <c:v>57.897599999999997</c:v>
                </c:pt>
                <c:pt idx="41">
                  <c:v>58.1526</c:v>
                </c:pt>
                <c:pt idx="42">
                  <c:v>57.370800000000003</c:v>
                </c:pt>
                <c:pt idx="43">
                  <c:v>55.864800000000002</c:v>
                </c:pt>
                <c:pt idx="44">
                  <c:v>55.753999999999998</c:v>
                </c:pt>
                <c:pt idx="45">
                  <c:v>55.973799999999997</c:v>
                </c:pt>
                <c:pt idx="46">
                  <c:v>57.085799999999999</c:v>
                </c:pt>
                <c:pt idx="47">
                  <c:v>57.53</c:v>
                </c:pt>
                <c:pt idx="48">
                  <c:v>57.787999999999997</c:v>
                </c:pt>
                <c:pt idx="49">
                  <c:v>57.395600000000002</c:v>
                </c:pt>
                <c:pt idx="50">
                  <c:v>56.726999999999997</c:v>
                </c:pt>
                <c:pt idx="51">
                  <c:v>56.427599999999998</c:v>
                </c:pt>
                <c:pt idx="52">
                  <c:v>56.566200000000002</c:v>
                </c:pt>
                <c:pt idx="53">
                  <c:v>57.697600000000001</c:v>
                </c:pt>
                <c:pt idx="54">
                  <c:v>57.892000000000003</c:v>
                </c:pt>
                <c:pt idx="55">
                  <c:v>57.667400000000001</c:v>
                </c:pt>
                <c:pt idx="56">
                  <c:v>58.049599999999998</c:v>
                </c:pt>
                <c:pt idx="57">
                  <c:v>57.9786</c:v>
                </c:pt>
                <c:pt idx="58">
                  <c:v>58.1432</c:v>
                </c:pt>
                <c:pt idx="59">
                  <c:v>58.4298</c:v>
                </c:pt>
                <c:pt idx="60">
                  <c:v>59.807000000000002</c:v>
                </c:pt>
                <c:pt idx="61">
                  <c:v>61.724400000000003</c:v>
                </c:pt>
                <c:pt idx="62">
                  <c:v>63.2682</c:v>
                </c:pt>
                <c:pt idx="63">
                  <c:v>64.929599999999994</c:v>
                </c:pt>
                <c:pt idx="64">
                  <c:v>64.038600000000002</c:v>
                </c:pt>
                <c:pt idx="65">
                  <c:v>64.082599999999999</c:v>
                </c:pt>
                <c:pt idx="66">
                  <c:v>64.458799999999997</c:v>
                </c:pt>
                <c:pt idx="67">
                  <c:v>64.437799999999996</c:v>
                </c:pt>
                <c:pt idx="68">
                  <c:v>64.291799999999995</c:v>
                </c:pt>
                <c:pt idx="69">
                  <c:v>64.974599999999995</c:v>
                </c:pt>
                <c:pt idx="70">
                  <c:v>68.977800000000002</c:v>
                </c:pt>
                <c:pt idx="71">
                  <c:v>69.193200000000004</c:v>
                </c:pt>
                <c:pt idx="72">
                  <c:v>68.051400000000001</c:v>
                </c:pt>
                <c:pt idx="73">
                  <c:v>67.343800000000002</c:v>
                </c:pt>
                <c:pt idx="74">
                  <c:v>66.665999999999997</c:v>
                </c:pt>
                <c:pt idx="75">
                  <c:v>65.847999999999999</c:v>
                </c:pt>
                <c:pt idx="76">
                  <c:v>68.251599999999996</c:v>
                </c:pt>
                <c:pt idx="77">
                  <c:v>66.880600000000001</c:v>
                </c:pt>
                <c:pt idx="78">
                  <c:v>67.007800000000003</c:v>
                </c:pt>
                <c:pt idx="79">
                  <c:v>66.483800000000002</c:v>
                </c:pt>
                <c:pt idx="80">
                  <c:v>64.869</c:v>
                </c:pt>
                <c:pt idx="81">
                  <c:v>65.252399999999994</c:v>
                </c:pt>
                <c:pt idx="82">
                  <c:v>65.587999999999994</c:v>
                </c:pt>
                <c:pt idx="83">
                  <c:v>66.906800000000004</c:v>
                </c:pt>
                <c:pt idx="84">
                  <c:v>67.927800000000005</c:v>
                </c:pt>
                <c:pt idx="85">
                  <c:v>67.351399999999998</c:v>
                </c:pt>
                <c:pt idx="86">
                  <c:v>66.184600000000003</c:v>
                </c:pt>
                <c:pt idx="87">
                  <c:v>66.149000000000001</c:v>
                </c:pt>
                <c:pt idx="88">
                  <c:v>64.962000000000003</c:v>
                </c:pt>
                <c:pt idx="89">
                  <c:v>64.993600000000001</c:v>
                </c:pt>
                <c:pt idx="90">
                  <c:v>64.529600000000002</c:v>
                </c:pt>
                <c:pt idx="91">
                  <c:v>64.7196</c:v>
                </c:pt>
                <c:pt idx="92">
                  <c:v>64.199399999999997</c:v>
                </c:pt>
                <c:pt idx="93">
                  <c:v>64.157200000000003</c:v>
                </c:pt>
                <c:pt idx="94">
                  <c:v>64.358999999999995</c:v>
                </c:pt>
                <c:pt idx="95">
                  <c:v>64.637600000000006</c:v>
                </c:pt>
                <c:pt idx="96">
                  <c:v>65.929599999999994</c:v>
                </c:pt>
                <c:pt idx="97">
                  <c:v>67.161600000000007</c:v>
                </c:pt>
                <c:pt idx="98">
                  <c:v>66.497799999999998</c:v>
                </c:pt>
                <c:pt idx="99">
                  <c:v>65.938400000000001</c:v>
                </c:pt>
                <c:pt idx="100">
                  <c:v>65.25</c:v>
                </c:pt>
                <c:pt idx="101">
                  <c:v>65.209599999999995</c:v>
                </c:pt>
                <c:pt idx="102">
                  <c:v>67.583200000000005</c:v>
                </c:pt>
                <c:pt idx="103">
                  <c:v>68.625399999999999</c:v>
                </c:pt>
                <c:pt idx="104">
                  <c:v>70.373400000000004</c:v>
                </c:pt>
                <c:pt idx="105">
                  <c:v>69.383799999999994</c:v>
                </c:pt>
                <c:pt idx="106">
                  <c:v>68.131</c:v>
                </c:pt>
                <c:pt idx="107">
                  <c:v>68.065399999999997</c:v>
                </c:pt>
                <c:pt idx="108">
                  <c:v>68.457599999999999</c:v>
                </c:pt>
                <c:pt idx="109">
                  <c:v>69.923000000000002</c:v>
                </c:pt>
                <c:pt idx="110">
                  <c:v>71.999600000000001</c:v>
                </c:pt>
                <c:pt idx="111">
                  <c:v>72.954800000000006</c:v>
                </c:pt>
                <c:pt idx="112">
                  <c:v>72.177599999999998</c:v>
                </c:pt>
                <c:pt idx="113">
                  <c:v>71.960800000000006</c:v>
                </c:pt>
                <c:pt idx="114">
                  <c:v>71.927599999999998</c:v>
                </c:pt>
                <c:pt idx="115">
                  <c:v>72.13</c:v>
                </c:pt>
                <c:pt idx="116">
                  <c:v>73.337800000000001</c:v>
                </c:pt>
                <c:pt idx="117">
                  <c:v>75.439599999999999</c:v>
                </c:pt>
                <c:pt idx="118">
                  <c:v>76.589799999999997</c:v>
                </c:pt>
                <c:pt idx="119">
                  <c:v>77.413600000000002</c:v>
                </c:pt>
                <c:pt idx="120">
                  <c:v>75.658799999999999</c:v>
                </c:pt>
                <c:pt idx="121">
                  <c:v>75.575400000000002</c:v>
                </c:pt>
                <c:pt idx="122">
                  <c:v>76.094999999999999</c:v>
                </c:pt>
                <c:pt idx="123">
                  <c:v>78.194999999999993</c:v>
                </c:pt>
                <c:pt idx="124">
                  <c:v>80.295000000000002</c:v>
                </c:pt>
                <c:pt idx="125">
                  <c:v>80.861999999999995</c:v>
                </c:pt>
                <c:pt idx="126">
                  <c:v>79.019400000000005</c:v>
                </c:pt>
                <c:pt idx="127">
                  <c:v>79.06</c:v>
                </c:pt>
                <c:pt idx="128">
                  <c:v>78.975399999999993</c:v>
                </c:pt>
                <c:pt idx="129">
                  <c:v>79.013999999999996</c:v>
                </c:pt>
                <c:pt idx="130">
                  <c:v>80.969399999999993</c:v>
                </c:pt>
                <c:pt idx="131">
                  <c:v>82.269000000000005</c:v>
                </c:pt>
                <c:pt idx="132">
                  <c:v>82.001000000000005</c:v>
                </c:pt>
                <c:pt idx="133">
                  <c:v>80.058400000000006</c:v>
                </c:pt>
                <c:pt idx="134">
                  <c:v>78.92</c:v>
                </c:pt>
                <c:pt idx="135">
                  <c:v>77.843199999999996</c:v>
                </c:pt>
                <c:pt idx="136">
                  <c:v>78.899799999999999</c:v>
                </c:pt>
                <c:pt idx="137">
                  <c:v>78.0732</c:v>
                </c:pt>
                <c:pt idx="138">
                  <c:v>78.217600000000004</c:v>
                </c:pt>
                <c:pt idx="139">
                  <c:v>78.924199999999999</c:v>
                </c:pt>
                <c:pt idx="140">
                  <c:v>79.300200000000004</c:v>
                </c:pt>
                <c:pt idx="141">
                  <c:v>78.015799999999999</c:v>
                </c:pt>
                <c:pt idx="142">
                  <c:v>77.595600000000005</c:v>
                </c:pt>
                <c:pt idx="143">
                  <c:v>78.007800000000003</c:v>
                </c:pt>
                <c:pt idx="144">
                  <c:v>79.863799999999998</c:v>
                </c:pt>
                <c:pt idx="145">
                  <c:v>80.840199999999996</c:v>
                </c:pt>
                <c:pt idx="146">
                  <c:v>79.943799999999996</c:v>
                </c:pt>
                <c:pt idx="147">
                  <c:v>80.535600000000002</c:v>
                </c:pt>
                <c:pt idx="148">
                  <c:v>80.227800000000002</c:v>
                </c:pt>
                <c:pt idx="149">
                  <c:v>79.9876</c:v>
                </c:pt>
                <c:pt idx="150">
                  <c:v>80.217600000000004</c:v>
                </c:pt>
                <c:pt idx="151">
                  <c:v>82.318799999999996</c:v>
                </c:pt>
                <c:pt idx="152">
                  <c:v>85.774600000000007</c:v>
                </c:pt>
                <c:pt idx="153">
                  <c:v>86.224599999999995</c:v>
                </c:pt>
                <c:pt idx="154">
                  <c:v>86.879599999999996</c:v>
                </c:pt>
                <c:pt idx="155">
                  <c:v>88.941400000000002</c:v>
                </c:pt>
                <c:pt idx="156">
                  <c:v>88.213800000000006</c:v>
                </c:pt>
                <c:pt idx="157">
                  <c:v>88.143600000000006</c:v>
                </c:pt>
                <c:pt idx="158">
                  <c:v>92.555999999999997</c:v>
                </c:pt>
                <c:pt idx="159">
                  <c:v>98.119200000000006</c:v>
                </c:pt>
                <c:pt idx="160">
                  <c:v>104.9478</c:v>
                </c:pt>
                <c:pt idx="161">
                  <c:v>108.1298</c:v>
                </c:pt>
                <c:pt idx="162">
                  <c:v>99.116</c:v>
                </c:pt>
                <c:pt idx="163">
                  <c:v>97.327600000000004</c:v>
                </c:pt>
                <c:pt idx="164">
                  <c:v>97.649600000000007</c:v>
                </c:pt>
                <c:pt idx="165">
                  <c:v>100.14100000000001</c:v>
                </c:pt>
                <c:pt idx="166">
                  <c:v>103.0976</c:v>
                </c:pt>
                <c:pt idx="167">
                  <c:v>103.11360000000001</c:v>
                </c:pt>
                <c:pt idx="168">
                  <c:v>99.053399999999996</c:v>
                </c:pt>
                <c:pt idx="169">
                  <c:v>97.1892</c:v>
                </c:pt>
                <c:pt idx="170">
                  <c:v>96.758600000000001</c:v>
                </c:pt>
                <c:pt idx="171">
                  <c:v>96.605800000000002</c:v>
                </c:pt>
                <c:pt idx="172">
                  <c:v>101.85939999999999</c:v>
                </c:pt>
                <c:pt idx="173">
                  <c:v>105.42100000000001</c:v>
                </c:pt>
                <c:pt idx="174">
                  <c:v>102.9748</c:v>
                </c:pt>
                <c:pt idx="175">
                  <c:v>100.3198</c:v>
                </c:pt>
                <c:pt idx="176">
                  <c:v>101.64960000000001</c:v>
                </c:pt>
                <c:pt idx="177">
                  <c:v>100.2136</c:v>
                </c:pt>
                <c:pt idx="178">
                  <c:v>100.27200000000001</c:v>
                </c:pt>
                <c:pt idx="179">
                  <c:v>100.5038</c:v>
                </c:pt>
                <c:pt idx="180">
                  <c:v>100.45</c:v>
                </c:pt>
                <c:pt idx="181">
                  <c:v>100.8032</c:v>
                </c:pt>
                <c:pt idx="182">
                  <c:v>101.3788</c:v>
                </c:pt>
                <c:pt idx="183">
                  <c:v>100.75320000000001</c:v>
                </c:pt>
                <c:pt idx="184">
                  <c:v>100.2978</c:v>
                </c:pt>
                <c:pt idx="185">
                  <c:v>100.67959999999999</c:v>
                </c:pt>
                <c:pt idx="186">
                  <c:v>102.756</c:v>
                </c:pt>
                <c:pt idx="187">
                  <c:v>105.7088</c:v>
                </c:pt>
                <c:pt idx="188">
                  <c:v>105.9196</c:v>
                </c:pt>
                <c:pt idx="189">
                  <c:v>105.2786</c:v>
                </c:pt>
                <c:pt idx="190">
                  <c:v>105.0258</c:v>
                </c:pt>
                <c:pt idx="191">
                  <c:v>103.9984</c:v>
                </c:pt>
                <c:pt idx="192">
                  <c:v>104.3366</c:v>
                </c:pt>
                <c:pt idx="193">
                  <c:v>108.8164</c:v>
                </c:pt>
                <c:pt idx="194">
                  <c:v>111.14400000000001</c:v>
                </c:pt>
                <c:pt idx="195">
                  <c:v>108.3784</c:v>
                </c:pt>
                <c:pt idx="196">
                  <c:v>109.0992</c:v>
                </c:pt>
                <c:pt idx="197">
                  <c:v>108.9376</c:v>
                </c:pt>
                <c:pt idx="198">
                  <c:v>108.6618</c:v>
                </c:pt>
                <c:pt idx="199">
                  <c:v>109.19</c:v>
                </c:pt>
                <c:pt idx="200">
                  <c:v>114.8456</c:v>
                </c:pt>
                <c:pt idx="201">
                  <c:v>114.3818</c:v>
                </c:pt>
                <c:pt idx="202">
                  <c:v>115.5078</c:v>
                </c:pt>
                <c:pt idx="203">
                  <c:v>116.854</c:v>
                </c:pt>
                <c:pt idx="204">
                  <c:v>114.1618</c:v>
                </c:pt>
                <c:pt idx="205">
                  <c:v>114.498</c:v>
                </c:pt>
                <c:pt idx="206">
                  <c:v>113.07</c:v>
                </c:pt>
                <c:pt idx="207">
                  <c:v>117.066</c:v>
                </c:pt>
                <c:pt idx="208">
                  <c:v>119.81399999999999</c:v>
                </c:pt>
                <c:pt idx="209">
                  <c:v>118.01600000000001</c:v>
                </c:pt>
                <c:pt idx="210">
                  <c:v>118.99</c:v>
                </c:pt>
                <c:pt idx="211">
                  <c:v>118.9576</c:v>
                </c:pt>
                <c:pt idx="212">
                  <c:v>119.50320000000001</c:v>
                </c:pt>
                <c:pt idx="213">
                  <c:v>121.4436</c:v>
                </c:pt>
                <c:pt idx="214">
                  <c:v>130.41560000000001</c:v>
                </c:pt>
                <c:pt idx="215">
                  <c:v>131.73400000000001</c:v>
                </c:pt>
                <c:pt idx="216">
                  <c:v>131.97239999999999</c:v>
                </c:pt>
                <c:pt idx="217">
                  <c:v>134.4778</c:v>
                </c:pt>
                <c:pt idx="218">
                  <c:v>133.01400000000001</c:v>
                </c:pt>
                <c:pt idx="219">
                  <c:v>132.6054</c:v>
                </c:pt>
                <c:pt idx="220">
                  <c:v>134.13059999999999</c:v>
                </c:pt>
                <c:pt idx="221">
                  <c:v>137.40940000000001</c:v>
                </c:pt>
                <c:pt idx="222">
                  <c:v>146.32980000000001</c:v>
                </c:pt>
                <c:pt idx="223">
                  <c:v>140.9708</c:v>
                </c:pt>
                <c:pt idx="224">
                  <c:v>136.76259999999999</c:v>
                </c:pt>
                <c:pt idx="225">
                  <c:v>124.854</c:v>
                </c:pt>
                <c:pt idx="226">
                  <c:v>127.6962</c:v>
                </c:pt>
                <c:pt idx="227">
                  <c:v>129.85980000000001</c:v>
                </c:pt>
                <c:pt idx="228">
                  <c:v>125.727</c:v>
                </c:pt>
                <c:pt idx="229">
                  <c:v>130.53960000000001</c:v>
                </c:pt>
                <c:pt idx="230">
                  <c:v>135.7978</c:v>
                </c:pt>
                <c:pt idx="231">
                  <c:v>132.90960000000001</c:v>
                </c:pt>
                <c:pt idx="232">
                  <c:v>131.428</c:v>
                </c:pt>
                <c:pt idx="233">
                  <c:v>130.43440000000001</c:v>
                </c:pt>
                <c:pt idx="234">
                  <c:v>129.99799999999999</c:v>
                </c:pt>
                <c:pt idx="235">
                  <c:v>133.85400000000001</c:v>
                </c:pt>
                <c:pt idx="236">
                  <c:v>135.001</c:v>
                </c:pt>
                <c:pt idx="237">
                  <c:v>134.51560000000001</c:v>
                </c:pt>
                <c:pt idx="238">
                  <c:v>133.77799999999999</c:v>
                </c:pt>
                <c:pt idx="239">
                  <c:v>133.3948</c:v>
                </c:pt>
                <c:pt idx="240">
                  <c:v>132.1208</c:v>
                </c:pt>
                <c:pt idx="241">
                  <c:v>133.7372</c:v>
                </c:pt>
                <c:pt idx="242">
                  <c:v>134.01900000000001</c:v>
                </c:pt>
                <c:pt idx="243">
                  <c:v>137.40360000000001</c:v>
                </c:pt>
                <c:pt idx="244">
                  <c:v>140.80779999999999</c:v>
                </c:pt>
                <c:pt idx="245">
                  <c:v>141.03380000000001</c:v>
                </c:pt>
                <c:pt idx="246">
                  <c:v>138.8338</c:v>
                </c:pt>
                <c:pt idx="247">
                  <c:v>139.8098</c:v>
                </c:pt>
                <c:pt idx="248">
                  <c:v>140.80279999999999</c:v>
                </c:pt>
                <c:pt idx="249">
                  <c:v>141.01779999999999</c:v>
                </c:pt>
                <c:pt idx="250">
                  <c:v>140.756</c:v>
                </c:pt>
                <c:pt idx="251">
                  <c:v>141.3656</c:v>
                </c:pt>
                <c:pt idx="252">
                  <c:v>141.63380000000001</c:v>
                </c:pt>
                <c:pt idx="253">
                  <c:v>140.53479999999999</c:v>
                </c:pt>
                <c:pt idx="254">
                  <c:v>139.46799999999999</c:v>
                </c:pt>
                <c:pt idx="255">
                  <c:v>140.1696</c:v>
                </c:pt>
                <c:pt idx="256">
                  <c:v>140.166</c:v>
                </c:pt>
                <c:pt idx="257">
                  <c:v>141.94579999999999</c:v>
                </c:pt>
                <c:pt idx="258">
                  <c:v>141.8768</c:v>
                </c:pt>
                <c:pt idx="259">
                  <c:v>142.56780000000001</c:v>
                </c:pt>
                <c:pt idx="260">
                  <c:v>142.1086</c:v>
                </c:pt>
                <c:pt idx="261">
                  <c:v>140.48560000000001</c:v>
                </c:pt>
                <c:pt idx="262">
                  <c:v>140.71860000000001</c:v>
                </c:pt>
                <c:pt idx="263">
                  <c:v>144.364</c:v>
                </c:pt>
                <c:pt idx="264">
                  <c:v>149.0292</c:v>
                </c:pt>
                <c:pt idx="265">
                  <c:v>148.70760000000001</c:v>
                </c:pt>
                <c:pt idx="266">
                  <c:v>149.56</c:v>
                </c:pt>
                <c:pt idx="267">
                  <c:v>149.29519999999999</c:v>
                </c:pt>
                <c:pt idx="268">
                  <c:v>149.5258</c:v>
                </c:pt>
                <c:pt idx="269">
                  <c:v>150.17179999999999</c:v>
                </c:pt>
                <c:pt idx="270">
                  <c:v>151.804</c:v>
                </c:pt>
                <c:pt idx="271">
                  <c:v>151.7456</c:v>
                </c:pt>
                <c:pt idx="272">
                  <c:v>151.99979999999999</c:v>
                </c:pt>
                <c:pt idx="273">
                  <c:v>152.04599999999999</c:v>
                </c:pt>
                <c:pt idx="274">
                  <c:v>152.13499999999999</c:v>
                </c:pt>
                <c:pt idx="275">
                  <c:v>151.39400000000001</c:v>
                </c:pt>
                <c:pt idx="276">
                  <c:v>151.97559999999999</c:v>
                </c:pt>
                <c:pt idx="277">
                  <c:v>158.88679999999999</c:v>
                </c:pt>
                <c:pt idx="278">
                  <c:v>165.5966</c:v>
                </c:pt>
                <c:pt idx="279">
                  <c:v>164.8758</c:v>
                </c:pt>
                <c:pt idx="280">
                  <c:v>162.29159999999999</c:v>
                </c:pt>
                <c:pt idx="281">
                  <c:v>151.59780000000001</c:v>
                </c:pt>
                <c:pt idx="282">
                  <c:v>161.21799999999999</c:v>
                </c:pt>
                <c:pt idx="283">
                  <c:v>162.12459999999999</c:v>
                </c:pt>
                <c:pt idx="284">
                  <c:v>166.01679999999999</c:v>
                </c:pt>
                <c:pt idx="285">
                  <c:v>166.8998</c:v>
                </c:pt>
                <c:pt idx="286">
                  <c:v>165.49979999999999</c:v>
                </c:pt>
                <c:pt idx="287">
                  <c:v>165.25460000000001</c:v>
                </c:pt>
                <c:pt idx="288">
                  <c:v>164.79</c:v>
                </c:pt>
                <c:pt idx="289">
                  <c:v>165.36760000000001</c:v>
                </c:pt>
                <c:pt idx="290">
                  <c:v>166.21799999999999</c:v>
                </c:pt>
                <c:pt idx="291">
                  <c:v>174.79400000000001</c:v>
                </c:pt>
                <c:pt idx="292">
                  <c:v>178.50579999999999</c:v>
                </c:pt>
                <c:pt idx="293">
                  <c:v>186.94</c:v>
                </c:pt>
                <c:pt idx="294">
                  <c:v>185.97980000000001</c:v>
                </c:pt>
                <c:pt idx="295">
                  <c:v>183.89940000000001</c:v>
                </c:pt>
                <c:pt idx="296">
                  <c:v>183.93940000000001</c:v>
                </c:pt>
                <c:pt idx="297">
                  <c:v>184.84780000000001</c:v>
                </c:pt>
                <c:pt idx="298">
                  <c:v>186.43119999999999</c:v>
                </c:pt>
                <c:pt idx="299">
                  <c:v>190.46600000000001</c:v>
                </c:pt>
                <c:pt idx="300">
                  <c:v>193.3768</c:v>
                </c:pt>
                <c:pt idx="301">
                  <c:v>190.8852</c:v>
                </c:pt>
                <c:pt idx="302">
                  <c:v>192.298</c:v>
                </c:pt>
                <c:pt idx="303">
                  <c:v>192.8578</c:v>
                </c:pt>
                <c:pt idx="304">
                  <c:v>197.96039999999999</c:v>
                </c:pt>
                <c:pt idx="305">
                  <c:v>195.32</c:v>
                </c:pt>
                <c:pt idx="306">
                  <c:v>203.11699999999999</c:v>
                </c:pt>
                <c:pt idx="307">
                  <c:v>212.31120000000001</c:v>
                </c:pt>
                <c:pt idx="308">
                  <c:v>225.45359999999999</c:v>
                </c:pt>
                <c:pt idx="309">
                  <c:v>218.15960000000001</c:v>
                </c:pt>
                <c:pt idx="310">
                  <c:v>205.67179999999999</c:v>
                </c:pt>
                <c:pt idx="311">
                  <c:v>210.9136</c:v>
                </c:pt>
                <c:pt idx="312">
                  <c:v>215.8194</c:v>
                </c:pt>
                <c:pt idx="313">
                  <c:v>215.7998</c:v>
                </c:pt>
                <c:pt idx="314">
                  <c:v>217.83680000000001</c:v>
                </c:pt>
                <c:pt idx="315">
                  <c:v>213.40360000000001</c:v>
                </c:pt>
                <c:pt idx="316">
                  <c:v>205.6506</c:v>
                </c:pt>
                <c:pt idx="317">
                  <c:v>202.75460000000001</c:v>
                </c:pt>
                <c:pt idx="318">
                  <c:v>206.99979999999999</c:v>
                </c:pt>
                <c:pt idx="319">
                  <c:v>209.702</c:v>
                </c:pt>
                <c:pt idx="320">
                  <c:v>214.89940000000001</c:v>
                </c:pt>
                <c:pt idx="321">
                  <c:v>218.99780000000001</c:v>
                </c:pt>
                <c:pt idx="322">
                  <c:v>217.58799999999999</c:v>
                </c:pt>
                <c:pt idx="323">
                  <c:v>217.40979999999999</c:v>
                </c:pt>
                <c:pt idx="324">
                  <c:v>216.73740000000001</c:v>
                </c:pt>
                <c:pt idx="325">
                  <c:v>217.4958</c:v>
                </c:pt>
                <c:pt idx="326">
                  <c:v>224.0076</c:v>
                </c:pt>
                <c:pt idx="327">
                  <c:v>230.4598</c:v>
                </c:pt>
                <c:pt idx="328">
                  <c:v>238.02</c:v>
                </c:pt>
                <c:pt idx="329">
                  <c:v>237.14779999999999</c:v>
                </c:pt>
                <c:pt idx="330">
                  <c:v>242.33600000000001</c:v>
                </c:pt>
                <c:pt idx="331">
                  <c:v>242.2594</c:v>
                </c:pt>
                <c:pt idx="332">
                  <c:v>240.828</c:v>
                </c:pt>
                <c:pt idx="333">
                  <c:v>244.28</c:v>
                </c:pt>
                <c:pt idx="334">
                  <c:v>252.93379999999999</c:v>
                </c:pt>
                <c:pt idx="335">
                  <c:v>265.83850000000001</c:v>
                </c:pt>
                <c:pt idx="336">
                  <c:v>269.27449999999999</c:v>
                </c:pt>
                <c:pt idx="337">
                  <c:v>269.2758</c:v>
                </c:pt>
                <c:pt idx="338">
                  <c:v>265.95920000000001</c:v>
                </c:pt>
                <c:pt idx="339">
                  <c:v>265.57940000000002</c:v>
                </c:pt>
                <c:pt idx="340">
                  <c:v>268.99889999999999</c:v>
                </c:pt>
                <c:pt idx="341">
                  <c:v>279.97579999999999</c:v>
                </c:pt>
                <c:pt idx="342">
                  <c:v>292.13799999999998</c:v>
                </c:pt>
                <c:pt idx="343">
                  <c:v>292.95639999999997</c:v>
                </c:pt>
                <c:pt idx="344">
                  <c:v>293.89940000000001</c:v>
                </c:pt>
                <c:pt idx="345">
                  <c:v>282.94900000000001</c:v>
                </c:pt>
                <c:pt idx="346">
                  <c:v>284.06020000000001</c:v>
                </c:pt>
                <c:pt idx="347">
                  <c:v>288.62540000000001</c:v>
                </c:pt>
                <c:pt idx="348">
                  <c:v>291.95600000000002</c:v>
                </c:pt>
                <c:pt idx="349">
                  <c:v>293.298</c:v>
                </c:pt>
                <c:pt idx="350">
                  <c:v>296.36599999999999</c:v>
                </c:pt>
                <c:pt idx="351">
                  <c:v>295.08780000000002</c:v>
                </c:pt>
                <c:pt idx="352">
                  <c:v>291.0376</c:v>
                </c:pt>
                <c:pt idx="353">
                  <c:v>291.1798</c:v>
                </c:pt>
                <c:pt idx="354">
                  <c:v>295.47919999999999</c:v>
                </c:pt>
                <c:pt idx="355">
                  <c:v>299.73700000000002</c:v>
                </c:pt>
                <c:pt idx="356">
                  <c:v>301.88959999999997</c:v>
                </c:pt>
                <c:pt idx="357">
                  <c:v>299.45060000000001</c:v>
                </c:pt>
                <c:pt idx="358">
                  <c:v>297.06979999999999</c:v>
                </c:pt>
                <c:pt idx="359">
                  <c:v>293.43799999999999</c:v>
                </c:pt>
                <c:pt idx="360">
                  <c:v>294.55560000000003</c:v>
                </c:pt>
                <c:pt idx="361">
                  <c:v>297.03179999999998</c:v>
                </c:pt>
                <c:pt idx="362">
                  <c:v>295.97039999999998</c:v>
                </c:pt>
                <c:pt idx="363">
                  <c:v>294.4776</c:v>
                </c:pt>
                <c:pt idx="364">
                  <c:v>295.88240000000002</c:v>
                </c:pt>
                <c:pt idx="365">
                  <c:v>296.42</c:v>
                </c:pt>
                <c:pt idx="366" formatCode="General">
                  <c:v>297.67739999999998</c:v>
                </c:pt>
                <c:pt idx="367" formatCode="General">
                  <c:v>301.92540000000002</c:v>
                </c:pt>
                <c:pt idx="368" formatCode="General">
                  <c:v>302.19560000000001</c:v>
                </c:pt>
                <c:pt idx="369" formatCode="General">
                  <c:v>305.57659999999998</c:v>
                </c:pt>
                <c:pt idx="370" formatCode="General">
                  <c:v>305.2998</c:v>
                </c:pt>
                <c:pt idx="371" formatCode="General">
                  <c:v>306.14600000000002</c:v>
                </c:pt>
                <c:pt idx="372" formatCode="General">
                  <c:v>306.75799999999998</c:v>
                </c:pt>
                <c:pt idx="373" formatCode="General">
                  <c:v>305.55799999999999</c:v>
                </c:pt>
                <c:pt idx="374" formatCode="General">
                  <c:v>304.476</c:v>
                </c:pt>
                <c:pt idx="375" formatCode="General">
                  <c:v>304.41980000000001</c:v>
                </c:pt>
                <c:pt idx="376" formatCode="General">
                  <c:v>310.57299999999998</c:v>
                </c:pt>
                <c:pt idx="377" formatCode="General">
                  <c:v>307.87</c:v>
                </c:pt>
                <c:pt idx="378" formatCode="General">
                  <c:v>304.77999999999997</c:v>
                </c:pt>
                <c:pt idx="379" formatCode="General">
                  <c:v>302.19</c:v>
                </c:pt>
                <c:pt idx="380" formatCode="General">
                  <c:v>300.37</c:v>
                </c:pt>
                <c:pt idx="381" formatCode="General">
                  <c:v>302.51</c:v>
                </c:pt>
                <c:pt idx="382" formatCode="General">
                  <c:v>306.36</c:v>
                </c:pt>
                <c:pt idx="383" formatCode="General">
                  <c:v>310.58999999999997</c:v>
                </c:pt>
                <c:pt idx="384" formatCode="General">
                  <c:v>316.95</c:v>
                </c:pt>
                <c:pt idx="385" formatCode="General">
                  <c:v>316.60000000000002</c:v>
                </c:pt>
                <c:pt idx="386" formatCode="General">
                  <c:v>316.95999999999998</c:v>
                </c:pt>
                <c:pt idx="387" formatCode="General">
                  <c:v>314.95</c:v>
                </c:pt>
                <c:pt idx="388" formatCode="General">
                  <c:v>316.64999999999998</c:v>
                </c:pt>
                <c:pt idx="389" formatCode="General">
                  <c:v>326.8</c:v>
                </c:pt>
                <c:pt idx="390" formatCode="General">
                  <c:v>334.37</c:v>
                </c:pt>
                <c:pt idx="391" formatCode="General">
                  <c:v>343.54</c:v>
                </c:pt>
                <c:pt idx="392" formatCode="General">
                  <c:v>328.56</c:v>
                </c:pt>
                <c:pt idx="393" formatCode="General">
                  <c:v>326.83999999999997</c:v>
                </c:pt>
                <c:pt idx="394" formatCode="General">
                  <c:v>324.11</c:v>
                </c:pt>
                <c:pt idx="395" formatCode="General">
                  <c:v>331.65</c:v>
                </c:pt>
                <c:pt idx="396" formatCode="General">
                  <c:v>328.88</c:v>
                </c:pt>
                <c:pt idx="397" formatCode="General">
                  <c:v>337.09</c:v>
                </c:pt>
                <c:pt idx="398" formatCode="General">
                  <c:v>343.82</c:v>
                </c:pt>
                <c:pt idx="399" formatCode="General">
                  <c:v>345.96</c:v>
                </c:pt>
                <c:pt idx="400" formatCode="General">
                  <c:v>340.12</c:v>
                </c:pt>
                <c:pt idx="401" formatCode="General">
                  <c:v>340.32</c:v>
                </c:pt>
                <c:pt idx="402" formatCode="General">
                  <c:v>350.69</c:v>
                </c:pt>
                <c:pt idx="403" formatCode="General">
                  <c:v>357.63</c:v>
                </c:pt>
                <c:pt idx="404" formatCode="General">
                  <c:v>369.49</c:v>
                </c:pt>
                <c:pt idx="405" formatCode="General">
                  <c:v>369.36</c:v>
                </c:pt>
                <c:pt idx="406" formatCode="General">
                  <c:v>360.97</c:v>
                </c:pt>
                <c:pt idx="407" formatCode="General">
                  <c:v>363.7</c:v>
                </c:pt>
                <c:pt idx="408" formatCode="General">
                  <c:v>358.6</c:v>
                </c:pt>
                <c:pt idx="409" formatCode="General">
                  <c:v>372.71</c:v>
                </c:pt>
                <c:pt idx="410" formatCode="General">
                  <c:v>370.49</c:v>
                </c:pt>
                <c:pt idx="411" formatCode="General">
                  <c:v>387.95</c:v>
                </c:pt>
                <c:pt idx="412" formatCode="General">
                  <c:v>384.18</c:v>
                </c:pt>
                <c:pt idx="413" formatCode="General">
                  <c:v>421.27</c:v>
                </c:pt>
                <c:pt idx="414" formatCode="General">
                  <c:v>409.84</c:v>
                </c:pt>
                <c:pt idx="415" formatCode="General">
                  <c:v>402.79</c:v>
                </c:pt>
                <c:pt idx="416" formatCode="General">
                  <c:v>403.92</c:v>
                </c:pt>
                <c:pt idx="417" formatCode="General">
                  <c:v>419.62</c:v>
                </c:pt>
                <c:pt idx="418" formatCode="General">
                  <c:v>424.04</c:v>
                </c:pt>
                <c:pt idx="419" formatCode="General">
                  <c:v>414.44</c:v>
                </c:pt>
                <c:pt idx="420" formatCode="General">
                  <c:v>413.54</c:v>
                </c:pt>
                <c:pt idx="421" formatCode="General">
                  <c:v>418.86</c:v>
                </c:pt>
                <c:pt idx="422" formatCode="General">
                  <c:v>419.13</c:v>
                </c:pt>
                <c:pt idx="423" formatCode="General">
                  <c:v>411.96</c:v>
                </c:pt>
                <c:pt idx="424" formatCode="General">
                  <c:v>427.02</c:v>
                </c:pt>
                <c:pt idx="425" formatCode="General">
                  <c:v>426.79</c:v>
                </c:pt>
                <c:pt idx="426" formatCode="General">
                  <c:v>451.42</c:v>
                </c:pt>
                <c:pt idx="427" formatCode="General">
                  <c:v>476.4</c:v>
                </c:pt>
                <c:pt idx="428" formatCode="General">
                  <c:v>469.71</c:v>
                </c:pt>
                <c:pt idx="429" formatCode="General">
                  <c:v>459.69</c:v>
                </c:pt>
                <c:pt idx="430" formatCode="General">
                  <c:v>466.26</c:v>
                </c:pt>
                <c:pt idx="431" formatCode="General">
                  <c:v>475</c:v>
                </c:pt>
                <c:pt idx="432" formatCode="General">
                  <c:v>467.62</c:v>
                </c:pt>
                <c:pt idx="433" formatCode="General">
                  <c:v>469.95</c:v>
                </c:pt>
                <c:pt idx="434" formatCode="General">
                  <c:v>486.59</c:v>
                </c:pt>
                <c:pt idx="435" formatCode="General">
                  <c:v>523.99</c:v>
                </c:pt>
                <c:pt idx="436" formatCode="General">
                  <c:v>532.6</c:v>
                </c:pt>
                <c:pt idx="437" formatCode="General">
                  <c:v>547.37</c:v>
                </c:pt>
                <c:pt idx="438" formatCode="General">
                  <c:v>556.59</c:v>
                </c:pt>
                <c:pt idx="439" formatCode="General">
                  <c:v>579.55999999999995</c:v>
                </c:pt>
                <c:pt idx="440" formatCode="General">
                  <c:v>561.16</c:v>
                </c:pt>
                <c:pt idx="441" formatCode="General">
                  <c:v>571.46</c:v>
                </c:pt>
                <c:pt idx="442" formatCode="General">
                  <c:v>596.79</c:v>
                </c:pt>
                <c:pt idx="443" formatCode="General">
                  <c:v>596.66</c:v>
                </c:pt>
                <c:pt idx="444" formatCode="General">
                  <c:v>597.29</c:v>
                </c:pt>
                <c:pt idx="445" formatCode="General">
                  <c:v>642.16</c:v>
                </c:pt>
                <c:pt idx="446" formatCode="General">
                  <c:v>759.74</c:v>
                </c:pt>
                <c:pt idx="447" formatCode="General">
                  <c:v>769.2</c:v>
                </c:pt>
                <c:pt idx="448" formatCode="General">
                  <c:v>717.08</c:v>
                </c:pt>
                <c:pt idx="449" formatCode="General">
                  <c:v>585.09</c:v>
                </c:pt>
                <c:pt idx="450" formatCode="General">
                  <c:v>514.89</c:v>
                </c:pt>
                <c:pt idx="451" formatCode="General">
                  <c:v>518.86</c:v>
                </c:pt>
                <c:pt idx="452" formatCode="General">
                  <c:v>549.98</c:v>
                </c:pt>
                <c:pt idx="453" formatCode="General">
                  <c:v>606.38</c:v>
                </c:pt>
                <c:pt idx="454" formatCode="General">
                  <c:v>601.65</c:v>
                </c:pt>
                <c:pt idx="455" formatCode="General">
                  <c:v>492.23</c:v>
                </c:pt>
                <c:pt idx="456" formatCode="General">
                  <c:v>454.26</c:v>
                </c:pt>
                <c:pt idx="457" formatCode="General">
                  <c:v>451.27</c:v>
                </c:pt>
                <c:pt idx="458" formatCode="General">
                  <c:v>449.83</c:v>
                </c:pt>
                <c:pt idx="459" formatCode="General">
                  <c:v>421.93</c:v>
                </c:pt>
                <c:pt idx="460" formatCode="General">
                  <c:v>454.05</c:v>
                </c:pt>
                <c:pt idx="461" formatCode="General">
                  <c:v>465.79</c:v>
                </c:pt>
                <c:pt idx="462" formatCode="General">
                  <c:v>463.16</c:v>
                </c:pt>
                <c:pt idx="463" formatCode="General">
                  <c:v>470.49</c:v>
                </c:pt>
                <c:pt idx="464" formatCode="General">
                  <c:v>450.71</c:v>
                </c:pt>
                <c:pt idx="465" formatCode="General">
                  <c:v>465.74</c:v>
                </c:pt>
                <c:pt idx="466" formatCode="General">
                  <c:v>488.2</c:v>
                </c:pt>
                <c:pt idx="467" formatCode="General">
                  <c:v>517.09</c:v>
                </c:pt>
                <c:pt idx="468" formatCode="General">
                  <c:v>510.46</c:v>
                </c:pt>
                <c:pt idx="469" formatCode="General">
                  <c:v>504.18</c:v>
                </c:pt>
                <c:pt idx="470" formatCode="General">
                  <c:v>499.33</c:v>
                </c:pt>
                <c:pt idx="471" formatCode="General">
                  <c:v>498.75</c:v>
                </c:pt>
                <c:pt idx="472" formatCode="General">
                  <c:v>498.59</c:v>
                </c:pt>
                <c:pt idx="473" formatCode="General">
                  <c:v>506.89</c:v>
                </c:pt>
                <c:pt idx="474" formatCode="General">
                  <c:v>513.34</c:v>
                </c:pt>
                <c:pt idx="475" formatCode="General">
                  <c:v>514.19000000000005</c:v>
                </c:pt>
                <c:pt idx="476" formatCode="General">
                  <c:v>521.87</c:v>
                </c:pt>
                <c:pt idx="477" formatCode="General">
                  <c:v>521.29</c:v>
                </c:pt>
                <c:pt idx="478" formatCode="General">
                  <c:v>518.84</c:v>
                </c:pt>
                <c:pt idx="479" formatCode="General">
                  <c:v>535.44000000000005</c:v>
                </c:pt>
                <c:pt idx="480" formatCode="General">
                  <c:v>544.26</c:v>
                </c:pt>
                <c:pt idx="481" formatCode="General">
                  <c:v>549.28</c:v>
                </c:pt>
                <c:pt idx="482" formatCode="General">
                  <c:v>549.80999999999995</c:v>
                </c:pt>
                <c:pt idx="483" formatCode="General">
                  <c:v>536.17999999999995</c:v>
                </c:pt>
                <c:pt idx="484" formatCode="General">
                  <c:v>525.77</c:v>
                </c:pt>
                <c:pt idx="485" formatCode="General">
                  <c:v>525.74</c:v>
                </c:pt>
                <c:pt idx="486" formatCode="General">
                  <c:v>531.74</c:v>
                </c:pt>
                <c:pt idx="487" formatCode="General">
                  <c:v>526.72</c:v>
                </c:pt>
                <c:pt idx="488" formatCode="General">
                  <c:v>527.08000000000004</c:v>
                </c:pt>
                <c:pt idx="489" formatCode="General">
                  <c:v>566.74</c:v>
                </c:pt>
                <c:pt idx="490" formatCode="General">
                  <c:v>584.91</c:v>
                </c:pt>
                <c:pt idx="491" formatCode="General">
                  <c:v>560.29</c:v>
                </c:pt>
                <c:pt idx="492" formatCode="General">
                  <c:v>556.59</c:v>
                </c:pt>
                <c:pt idx="493" formatCode="General">
                  <c:v>550.67999999999995</c:v>
                </c:pt>
                <c:pt idx="494" formatCode="General">
                  <c:v>574.55999999999995</c:v>
                </c:pt>
                <c:pt idx="495" formatCode="General">
                  <c:v>595.47</c:v>
                </c:pt>
                <c:pt idx="496" formatCode="General">
                  <c:v>613.37</c:v>
                </c:pt>
                <c:pt idx="497" formatCode="General">
                  <c:v>613.26</c:v>
                </c:pt>
                <c:pt idx="498" formatCode="General">
                  <c:v>606.55999999999995</c:v>
                </c:pt>
                <c:pt idx="499" formatCode="General">
                  <c:v>604.72</c:v>
                </c:pt>
                <c:pt idx="500" formatCode="General">
                  <c:v>606.78</c:v>
                </c:pt>
                <c:pt idx="501" formatCode="General">
                  <c:v>616.91999999999996</c:v>
                </c:pt>
                <c:pt idx="502" formatCode="General">
                  <c:v>627.79</c:v>
                </c:pt>
                <c:pt idx="503" formatCode="General">
                  <c:v>632.41</c:v>
                </c:pt>
                <c:pt idx="504" formatCode="General">
                  <c:v>627.76</c:v>
                </c:pt>
                <c:pt idx="505" formatCode="General">
                  <c:v>615.46</c:v>
                </c:pt>
                <c:pt idx="506" formatCode="General">
                  <c:v>604.67999999999995</c:v>
                </c:pt>
                <c:pt idx="507" formatCode="General">
                  <c:v>609.89</c:v>
                </c:pt>
                <c:pt idx="508" formatCode="General">
                  <c:v>617.99</c:v>
                </c:pt>
                <c:pt idx="509" formatCode="General">
                  <c:v>621.55999999999995</c:v>
                </c:pt>
                <c:pt idx="510" formatCode="General">
                  <c:v>599.6</c:v>
                </c:pt>
                <c:pt idx="511" formatCode="General">
                  <c:v>609.21</c:v>
                </c:pt>
                <c:pt idx="512" formatCode="General">
                  <c:v>626.52</c:v>
                </c:pt>
                <c:pt idx="513" formatCode="General">
                  <c:v>624.78</c:v>
                </c:pt>
                <c:pt idx="514" formatCode="General">
                  <c:v>633.79</c:v>
                </c:pt>
                <c:pt idx="515" formatCode="General">
                  <c:v>651.14</c:v>
                </c:pt>
                <c:pt idx="516" formatCode="General">
                  <c:v>665.79</c:v>
                </c:pt>
                <c:pt idx="517" formatCode="General">
                  <c:v>666.63</c:v>
                </c:pt>
                <c:pt idx="518" formatCode="General">
                  <c:v>661.01</c:v>
                </c:pt>
                <c:pt idx="519" formatCode="General">
                  <c:v>657.52</c:v>
                </c:pt>
                <c:pt idx="520" formatCode="General">
                  <c:v>655.98</c:v>
                </c:pt>
                <c:pt idx="521" formatCode="General">
                  <c:v>657.54</c:v>
                </c:pt>
                <c:pt idx="522" formatCode="General">
                  <c:v>660.99</c:v>
                </c:pt>
                <c:pt idx="523" formatCode="General">
                  <c:v>668</c:v>
                </c:pt>
                <c:pt idx="524" formatCode="General">
                  <c:v>672.77</c:v>
                </c:pt>
                <c:pt idx="525" formatCode="General">
                  <c:v>665.22</c:v>
                </c:pt>
                <c:pt idx="526" formatCode="General">
                  <c:v>664.74</c:v>
                </c:pt>
                <c:pt idx="527" formatCode="General">
                  <c:v>666.92</c:v>
                </c:pt>
                <c:pt idx="528" formatCode="General">
                  <c:v>666.13</c:v>
                </c:pt>
                <c:pt idx="529" formatCode="General">
                  <c:v>659.87</c:v>
                </c:pt>
                <c:pt idx="530" formatCode="General">
                  <c:v>656.94</c:v>
                </c:pt>
                <c:pt idx="531" formatCode="General">
                  <c:v>654.13580000000002</c:v>
                </c:pt>
                <c:pt idx="532" formatCode="General">
                  <c:v>651.7998</c:v>
                </c:pt>
                <c:pt idx="533" formatCode="General">
                  <c:v>639.95000000000005</c:v>
                </c:pt>
                <c:pt idx="534" formatCode="General">
                  <c:v>630.45780000000002</c:v>
                </c:pt>
                <c:pt idx="535" formatCode="General">
                  <c:v>629.06979999999999</c:v>
                </c:pt>
                <c:pt idx="536" formatCode="General">
                  <c:v>634.93820000000005</c:v>
                </c:pt>
                <c:pt idx="537" formatCode="General">
                  <c:v>638.13980000000004</c:v>
                </c:pt>
                <c:pt idx="538" formatCode="General">
                  <c:v>635.04</c:v>
                </c:pt>
                <c:pt idx="539" formatCode="General">
                  <c:v>635.41999999999996</c:v>
                </c:pt>
                <c:pt idx="540" formatCode="General">
                  <c:v>637.0136</c:v>
                </c:pt>
                <c:pt idx="541" formatCode="General">
                  <c:v>631.41399999999999</c:v>
                </c:pt>
                <c:pt idx="542" formatCode="General">
                  <c:v>628.93979999999999</c:v>
                </c:pt>
                <c:pt idx="543" formatCode="General">
                  <c:v>637.43979999999999</c:v>
                </c:pt>
                <c:pt idx="544" formatCode="General">
                  <c:v>629.61779999999999</c:v>
                </c:pt>
                <c:pt idx="545" formatCode="General">
                  <c:v>624.93960000000004</c:v>
                </c:pt>
                <c:pt idx="546" formatCode="General">
                  <c:v>624.25139999999999</c:v>
                </c:pt>
                <c:pt idx="547" formatCode="#,##0">
                  <c:v>619.62959999999998</c:v>
                </c:pt>
                <c:pt idx="548" formatCode="General">
                  <c:v>621.2586</c:v>
                </c:pt>
                <c:pt idx="549" formatCode="General">
                  <c:v>621.62099999999998</c:v>
                </c:pt>
                <c:pt idx="550" formatCode="General">
                  <c:v>632.9298</c:v>
                </c:pt>
                <c:pt idx="551" formatCode="General">
                  <c:v>626.96</c:v>
                </c:pt>
                <c:pt idx="552" formatCode="General">
                  <c:v>628.91800000000001</c:v>
                </c:pt>
                <c:pt idx="553" formatCode="General">
                  <c:v>629.91980000000001</c:v>
                </c:pt>
                <c:pt idx="554" formatCode="General">
                  <c:v>629.52020000000005</c:v>
                </c:pt>
                <c:pt idx="555" formatCode="General">
                  <c:v>630.15139999999997</c:v>
                </c:pt>
                <c:pt idx="556" formatCode="General">
                  <c:v>631.10619999999994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6-4CA3-B803-2F2A79525EB3}"/>
            </c:ext>
          </c:extLst>
        </c:ser>
        <c:ser>
          <c:idx val="1"/>
          <c:order val="1"/>
          <c:tx>
            <c:strRef>
              <c:f>'Tasa_BCVUSDT Grafico1'!$F$2</c:f>
              <c:strCache>
                <c:ptCount val="1"/>
                <c:pt idx="0">
                  <c:v>TASA BCV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'Tasa_BCVUSDT Grafico1'!$B$3:$B$563</c:f>
              <c:numCache>
                <c:formatCode>m/d/yyyy</c:formatCode>
                <c:ptCount val="561"/>
                <c:pt idx="0">
                  <c:v>45582</c:v>
                </c:pt>
                <c:pt idx="1">
                  <c:v>45583</c:v>
                </c:pt>
                <c:pt idx="2">
                  <c:v>45584</c:v>
                </c:pt>
                <c:pt idx="3">
                  <c:v>45585</c:v>
                </c:pt>
                <c:pt idx="4">
                  <c:v>45586</c:v>
                </c:pt>
                <c:pt idx="5">
                  <c:v>45587</c:v>
                </c:pt>
                <c:pt idx="6">
                  <c:v>45588</c:v>
                </c:pt>
                <c:pt idx="7">
                  <c:v>45589</c:v>
                </c:pt>
                <c:pt idx="8">
                  <c:v>45590</c:v>
                </c:pt>
                <c:pt idx="9">
                  <c:v>45591</c:v>
                </c:pt>
                <c:pt idx="10">
                  <c:v>45592</c:v>
                </c:pt>
                <c:pt idx="11">
                  <c:v>45593</c:v>
                </c:pt>
                <c:pt idx="12">
                  <c:v>45594</c:v>
                </c:pt>
                <c:pt idx="13">
                  <c:v>45595</c:v>
                </c:pt>
                <c:pt idx="14">
                  <c:v>45596</c:v>
                </c:pt>
                <c:pt idx="15">
                  <c:v>45597</c:v>
                </c:pt>
                <c:pt idx="16">
                  <c:v>45598</c:v>
                </c:pt>
                <c:pt idx="17">
                  <c:v>45599</c:v>
                </c:pt>
                <c:pt idx="18">
                  <c:v>45600</c:v>
                </c:pt>
                <c:pt idx="19">
                  <c:v>45601</c:v>
                </c:pt>
                <c:pt idx="20">
                  <c:v>45602</c:v>
                </c:pt>
                <c:pt idx="21">
                  <c:v>45603</c:v>
                </c:pt>
                <c:pt idx="22">
                  <c:v>45604</c:v>
                </c:pt>
                <c:pt idx="23">
                  <c:v>45605</c:v>
                </c:pt>
                <c:pt idx="24">
                  <c:v>45606</c:v>
                </c:pt>
                <c:pt idx="25">
                  <c:v>45607</c:v>
                </c:pt>
                <c:pt idx="26">
                  <c:v>45608</c:v>
                </c:pt>
                <c:pt idx="27">
                  <c:v>45609</c:v>
                </c:pt>
                <c:pt idx="28">
                  <c:v>45610</c:v>
                </c:pt>
                <c:pt idx="29">
                  <c:v>45611</c:v>
                </c:pt>
                <c:pt idx="30">
                  <c:v>45612</c:v>
                </c:pt>
                <c:pt idx="31">
                  <c:v>45613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45619</c:v>
                </c:pt>
                <c:pt idx="38">
                  <c:v>45620</c:v>
                </c:pt>
                <c:pt idx="39">
                  <c:v>45621</c:v>
                </c:pt>
                <c:pt idx="40">
                  <c:v>45622</c:v>
                </c:pt>
                <c:pt idx="41">
                  <c:v>45623</c:v>
                </c:pt>
                <c:pt idx="42">
                  <c:v>45624</c:v>
                </c:pt>
                <c:pt idx="43">
                  <c:v>45625</c:v>
                </c:pt>
                <c:pt idx="44">
                  <c:v>45626</c:v>
                </c:pt>
                <c:pt idx="45">
                  <c:v>45627</c:v>
                </c:pt>
                <c:pt idx="46">
                  <c:v>45628</c:v>
                </c:pt>
                <c:pt idx="47">
                  <c:v>45629</c:v>
                </c:pt>
                <c:pt idx="48">
                  <c:v>45630</c:v>
                </c:pt>
                <c:pt idx="49">
                  <c:v>45631</c:v>
                </c:pt>
                <c:pt idx="50">
                  <c:v>45632</c:v>
                </c:pt>
                <c:pt idx="51">
                  <c:v>45633</c:v>
                </c:pt>
                <c:pt idx="52">
                  <c:v>45634</c:v>
                </c:pt>
                <c:pt idx="53">
                  <c:v>45635</c:v>
                </c:pt>
                <c:pt idx="54">
                  <c:v>45636</c:v>
                </c:pt>
                <c:pt idx="55">
                  <c:v>45637</c:v>
                </c:pt>
                <c:pt idx="56">
                  <c:v>45638</c:v>
                </c:pt>
                <c:pt idx="57">
                  <c:v>45639</c:v>
                </c:pt>
                <c:pt idx="58">
                  <c:v>45640</c:v>
                </c:pt>
                <c:pt idx="59">
                  <c:v>45641</c:v>
                </c:pt>
                <c:pt idx="60">
                  <c:v>45642</c:v>
                </c:pt>
                <c:pt idx="61">
                  <c:v>45643</c:v>
                </c:pt>
                <c:pt idx="62">
                  <c:v>45644</c:v>
                </c:pt>
                <c:pt idx="63">
                  <c:v>45645</c:v>
                </c:pt>
                <c:pt idx="64">
                  <c:v>45646</c:v>
                </c:pt>
                <c:pt idx="65">
                  <c:v>45647</c:v>
                </c:pt>
                <c:pt idx="66">
                  <c:v>45648</c:v>
                </c:pt>
                <c:pt idx="67">
                  <c:v>45649</c:v>
                </c:pt>
                <c:pt idx="68">
                  <c:v>45650</c:v>
                </c:pt>
                <c:pt idx="69">
                  <c:v>45651</c:v>
                </c:pt>
                <c:pt idx="70">
                  <c:v>45652</c:v>
                </c:pt>
                <c:pt idx="71">
                  <c:v>45653</c:v>
                </c:pt>
                <c:pt idx="72">
                  <c:v>45654</c:v>
                </c:pt>
                <c:pt idx="73">
                  <c:v>45655</c:v>
                </c:pt>
                <c:pt idx="74">
                  <c:v>45656</c:v>
                </c:pt>
                <c:pt idx="75">
                  <c:v>45657</c:v>
                </c:pt>
                <c:pt idx="76">
                  <c:v>45658</c:v>
                </c:pt>
                <c:pt idx="77">
                  <c:v>45659</c:v>
                </c:pt>
                <c:pt idx="78">
                  <c:v>45660</c:v>
                </c:pt>
                <c:pt idx="79">
                  <c:v>45661</c:v>
                </c:pt>
                <c:pt idx="80">
                  <c:v>45662</c:v>
                </c:pt>
                <c:pt idx="81">
                  <c:v>45663</c:v>
                </c:pt>
                <c:pt idx="82">
                  <c:v>45664</c:v>
                </c:pt>
                <c:pt idx="83">
                  <c:v>45665</c:v>
                </c:pt>
                <c:pt idx="84">
                  <c:v>45666</c:v>
                </c:pt>
                <c:pt idx="85">
                  <c:v>45667</c:v>
                </c:pt>
                <c:pt idx="86">
                  <c:v>45668</c:v>
                </c:pt>
                <c:pt idx="87">
                  <c:v>45669</c:v>
                </c:pt>
                <c:pt idx="88">
                  <c:v>45670</c:v>
                </c:pt>
                <c:pt idx="89">
                  <c:v>45671</c:v>
                </c:pt>
                <c:pt idx="90">
                  <c:v>45672</c:v>
                </c:pt>
                <c:pt idx="91">
                  <c:v>45673</c:v>
                </c:pt>
                <c:pt idx="92">
                  <c:v>45674</c:v>
                </c:pt>
                <c:pt idx="93">
                  <c:v>45675</c:v>
                </c:pt>
                <c:pt idx="94">
                  <c:v>45676</c:v>
                </c:pt>
                <c:pt idx="95">
                  <c:v>45677</c:v>
                </c:pt>
                <c:pt idx="96">
                  <c:v>45678</c:v>
                </c:pt>
                <c:pt idx="97">
                  <c:v>45679</c:v>
                </c:pt>
                <c:pt idx="98">
                  <c:v>45680</c:v>
                </c:pt>
                <c:pt idx="99">
                  <c:v>45681</c:v>
                </c:pt>
                <c:pt idx="100">
                  <c:v>45682</c:v>
                </c:pt>
                <c:pt idx="101">
                  <c:v>45683</c:v>
                </c:pt>
                <c:pt idx="102">
                  <c:v>45684</c:v>
                </c:pt>
                <c:pt idx="103">
                  <c:v>45685</c:v>
                </c:pt>
                <c:pt idx="104">
                  <c:v>45686</c:v>
                </c:pt>
                <c:pt idx="105">
                  <c:v>45687</c:v>
                </c:pt>
                <c:pt idx="106">
                  <c:v>45688</c:v>
                </c:pt>
                <c:pt idx="107">
                  <c:v>45689</c:v>
                </c:pt>
                <c:pt idx="108">
                  <c:v>45690</c:v>
                </c:pt>
                <c:pt idx="109">
                  <c:v>45691</c:v>
                </c:pt>
                <c:pt idx="110">
                  <c:v>45692</c:v>
                </c:pt>
                <c:pt idx="111">
                  <c:v>45693</c:v>
                </c:pt>
                <c:pt idx="112">
                  <c:v>45694</c:v>
                </c:pt>
                <c:pt idx="113">
                  <c:v>45695</c:v>
                </c:pt>
                <c:pt idx="114">
                  <c:v>45696</c:v>
                </c:pt>
                <c:pt idx="115">
                  <c:v>45697</c:v>
                </c:pt>
                <c:pt idx="116">
                  <c:v>45698</c:v>
                </c:pt>
                <c:pt idx="117">
                  <c:v>45699</c:v>
                </c:pt>
                <c:pt idx="118">
                  <c:v>45700</c:v>
                </c:pt>
                <c:pt idx="119">
                  <c:v>45701</c:v>
                </c:pt>
                <c:pt idx="120">
                  <c:v>45702</c:v>
                </c:pt>
                <c:pt idx="121">
                  <c:v>45703</c:v>
                </c:pt>
                <c:pt idx="122">
                  <c:v>45704</c:v>
                </c:pt>
                <c:pt idx="123">
                  <c:v>45705</c:v>
                </c:pt>
                <c:pt idx="124">
                  <c:v>45706</c:v>
                </c:pt>
                <c:pt idx="125">
                  <c:v>45707</c:v>
                </c:pt>
                <c:pt idx="126">
                  <c:v>45708</c:v>
                </c:pt>
                <c:pt idx="127">
                  <c:v>45709</c:v>
                </c:pt>
                <c:pt idx="128">
                  <c:v>45710</c:v>
                </c:pt>
                <c:pt idx="129">
                  <c:v>45711</c:v>
                </c:pt>
                <c:pt idx="130">
                  <c:v>45712</c:v>
                </c:pt>
                <c:pt idx="131">
                  <c:v>45713</c:v>
                </c:pt>
                <c:pt idx="132">
                  <c:v>45714</c:v>
                </c:pt>
                <c:pt idx="133">
                  <c:v>45715</c:v>
                </c:pt>
                <c:pt idx="134">
                  <c:v>45716</c:v>
                </c:pt>
                <c:pt idx="135">
                  <c:v>45717</c:v>
                </c:pt>
                <c:pt idx="136">
                  <c:v>45718</c:v>
                </c:pt>
                <c:pt idx="137">
                  <c:v>45719</c:v>
                </c:pt>
                <c:pt idx="138">
                  <c:v>45720</c:v>
                </c:pt>
                <c:pt idx="139">
                  <c:v>45721</c:v>
                </c:pt>
                <c:pt idx="140">
                  <c:v>45722</c:v>
                </c:pt>
                <c:pt idx="141">
                  <c:v>45723</c:v>
                </c:pt>
                <c:pt idx="142">
                  <c:v>45724</c:v>
                </c:pt>
                <c:pt idx="143">
                  <c:v>45725</c:v>
                </c:pt>
                <c:pt idx="144">
                  <c:v>45726</c:v>
                </c:pt>
                <c:pt idx="145">
                  <c:v>45727</c:v>
                </c:pt>
                <c:pt idx="146">
                  <c:v>45728</c:v>
                </c:pt>
                <c:pt idx="147">
                  <c:v>45729</c:v>
                </c:pt>
                <c:pt idx="148">
                  <c:v>45730</c:v>
                </c:pt>
                <c:pt idx="149">
                  <c:v>45731</c:v>
                </c:pt>
                <c:pt idx="150">
                  <c:v>45732</c:v>
                </c:pt>
                <c:pt idx="151">
                  <c:v>45733</c:v>
                </c:pt>
                <c:pt idx="152">
                  <c:v>45734</c:v>
                </c:pt>
                <c:pt idx="153">
                  <c:v>45735</c:v>
                </c:pt>
                <c:pt idx="154">
                  <c:v>45736</c:v>
                </c:pt>
                <c:pt idx="155">
                  <c:v>45737</c:v>
                </c:pt>
                <c:pt idx="156">
                  <c:v>45738</c:v>
                </c:pt>
                <c:pt idx="157">
                  <c:v>45739</c:v>
                </c:pt>
                <c:pt idx="158">
                  <c:v>45740</c:v>
                </c:pt>
                <c:pt idx="159">
                  <c:v>45741</c:v>
                </c:pt>
                <c:pt idx="160">
                  <c:v>45742</c:v>
                </c:pt>
                <c:pt idx="161">
                  <c:v>45743</c:v>
                </c:pt>
                <c:pt idx="162">
                  <c:v>45744</c:v>
                </c:pt>
                <c:pt idx="163">
                  <c:v>45745</c:v>
                </c:pt>
                <c:pt idx="164">
                  <c:v>45746</c:v>
                </c:pt>
                <c:pt idx="165">
                  <c:v>45747</c:v>
                </c:pt>
                <c:pt idx="166">
                  <c:v>45748</c:v>
                </c:pt>
                <c:pt idx="167">
                  <c:v>45749</c:v>
                </c:pt>
                <c:pt idx="168">
                  <c:v>45750</c:v>
                </c:pt>
                <c:pt idx="169">
                  <c:v>45751</c:v>
                </c:pt>
                <c:pt idx="170">
                  <c:v>45752</c:v>
                </c:pt>
                <c:pt idx="171">
                  <c:v>45753</c:v>
                </c:pt>
                <c:pt idx="172">
                  <c:v>45754</c:v>
                </c:pt>
                <c:pt idx="173">
                  <c:v>45755</c:v>
                </c:pt>
                <c:pt idx="174">
                  <c:v>45756</c:v>
                </c:pt>
                <c:pt idx="175">
                  <c:v>45757</c:v>
                </c:pt>
                <c:pt idx="176">
                  <c:v>45758</c:v>
                </c:pt>
                <c:pt idx="177">
                  <c:v>45759</c:v>
                </c:pt>
                <c:pt idx="178">
                  <c:v>45760</c:v>
                </c:pt>
                <c:pt idx="179">
                  <c:v>45761</c:v>
                </c:pt>
                <c:pt idx="180">
                  <c:v>45762</c:v>
                </c:pt>
                <c:pt idx="181">
                  <c:v>45763</c:v>
                </c:pt>
                <c:pt idx="182">
                  <c:v>45764</c:v>
                </c:pt>
                <c:pt idx="183">
                  <c:v>45765</c:v>
                </c:pt>
                <c:pt idx="184">
                  <c:v>45766</c:v>
                </c:pt>
                <c:pt idx="185">
                  <c:v>45767</c:v>
                </c:pt>
                <c:pt idx="186">
                  <c:v>45768</c:v>
                </c:pt>
                <c:pt idx="187">
                  <c:v>45769</c:v>
                </c:pt>
                <c:pt idx="188">
                  <c:v>45770</c:v>
                </c:pt>
                <c:pt idx="189">
                  <c:v>45771</c:v>
                </c:pt>
                <c:pt idx="190">
                  <c:v>45772</c:v>
                </c:pt>
                <c:pt idx="191">
                  <c:v>45773</c:v>
                </c:pt>
                <c:pt idx="192">
                  <c:v>45774</c:v>
                </c:pt>
                <c:pt idx="193">
                  <c:v>45775</c:v>
                </c:pt>
                <c:pt idx="194">
                  <c:v>45776</c:v>
                </c:pt>
                <c:pt idx="195">
                  <c:v>45777</c:v>
                </c:pt>
                <c:pt idx="196">
                  <c:v>45778</c:v>
                </c:pt>
                <c:pt idx="197">
                  <c:v>45779</c:v>
                </c:pt>
                <c:pt idx="198">
                  <c:v>45780</c:v>
                </c:pt>
                <c:pt idx="199">
                  <c:v>45781</c:v>
                </c:pt>
                <c:pt idx="200">
                  <c:v>45782</c:v>
                </c:pt>
                <c:pt idx="201">
                  <c:v>45783</c:v>
                </c:pt>
                <c:pt idx="202">
                  <c:v>45784</c:v>
                </c:pt>
                <c:pt idx="203">
                  <c:v>45785</c:v>
                </c:pt>
                <c:pt idx="204">
                  <c:v>45786</c:v>
                </c:pt>
                <c:pt idx="205">
                  <c:v>45787</c:v>
                </c:pt>
                <c:pt idx="206">
                  <c:v>45788</c:v>
                </c:pt>
                <c:pt idx="207">
                  <c:v>45789</c:v>
                </c:pt>
                <c:pt idx="208">
                  <c:v>45790</c:v>
                </c:pt>
                <c:pt idx="209">
                  <c:v>45791</c:v>
                </c:pt>
                <c:pt idx="210">
                  <c:v>45792</c:v>
                </c:pt>
                <c:pt idx="211">
                  <c:v>45793</c:v>
                </c:pt>
                <c:pt idx="212">
                  <c:v>45794</c:v>
                </c:pt>
                <c:pt idx="213">
                  <c:v>45795</c:v>
                </c:pt>
                <c:pt idx="214">
                  <c:v>45796</c:v>
                </c:pt>
                <c:pt idx="215">
                  <c:v>45797</c:v>
                </c:pt>
                <c:pt idx="216">
                  <c:v>45798</c:v>
                </c:pt>
                <c:pt idx="217">
                  <c:v>45799</c:v>
                </c:pt>
                <c:pt idx="218">
                  <c:v>45800</c:v>
                </c:pt>
                <c:pt idx="219">
                  <c:v>45801</c:v>
                </c:pt>
                <c:pt idx="220">
                  <c:v>45802</c:v>
                </c:pt>
                <c:pt idx="221">
                  <c:v>45803</c:v>
                </c:pt>
                <c:pt idx="222">
                  <c:v>45804</c:v>
                </c:pt>
                <c:pt idx="223">
                  <c:v>45805</c:v>
                </c:pt>
                <c:pt idx="224">
                  <c:v>45806</c:v>
                </c:pt>
                <c:pt idx="225">
                  <c:v>45807</c:v>
                </c:pt>
                <c:pt idx="226">
                  <c:v>45808</c:v>
                </c:pt>
                <c:pt idx="227">
                  <c:v>45809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45815</c:v>
                </c:pt>
                <c:pt idx="234">
                  <c:v>45816</c:v>
                </c:pt>
                <c:pt idx="235">
                  <c:v>45817</c:v>
                </c:pt>
                <c:pt idx="236">
                  <c:v>45818</c:v>
                </c:pt>
                <c:pt idx="237">
                  <c:v>45819</c:v>
                </c:pt>
                <c:pt idx="238">
                  <c:v>45820</c:v>
                </c:pt>
                <c:pt idx="239">
                  <c:v>45821</c:v>
                </c:pt>
                <c:pt idx="240">
                  <c:v>45822</c:v>
                </c:pt>
                <c:pt idx="241">
                  <c:v>45823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45829</c:v>
                </c:pt>
                <c:pt idx="248">
                  <c:v>45830</c:v>
                </c:pt>
                <c:pt idx="249">
                  <c:v>45831</c:v>
                </c:pt>
                <c:pt idx="250">
                  <c:v>45832</c:v>
                </c:pt>
                <c:pt idx="251">
                  <c:v>45833</c:v>
                </c:pt>
                <c:pt idx="252">
                  <c:v>45834</c:v>
                </c:pt>
                <c:pt idx="253">
                  <c:v>45835</c:v>
                </c:pt>
                <c:pt idx="254">
                  <c:v>45836</c:v>
                </c:pt>
                <c:pt idx="255">
                  <c:v>45837</c:v>
                </c:pt>
                <c:pt idx="256">
                  <c:v>45838</c:v>
                </c:pt>
                <c:pt idx="257">
                  <c:v>45839</c:v>
                </c:pt>
                <c:pt idx="258">
                  <c:v>45840</c:v>
                </c:pt>
                <c:pt idx="259">
                  <c:v>45841</c:v>
                </c:pt>
                <c:pt idx="260">
                  <c:v>45842</c:v>
                </c:pt>
                <c:pt idx="261">
                  <c:v>45843</c:v>
                </c:pt>
                <c:pt idx="262">
                  <c:v>45844</c:v>
                </c:pt>
                <c:pt idx="263">
                  <c:v>45845</c:v>
                </c:pt>
                <c:pt idx="264">
                  <c:v>45846</c:v>
                </c:pt>
                <c:pt idx="265">
                  <c:v>45847</c:v>
                </c:pt>
                <c:pt idx="266">
                  <c:v>45848</c:v>
                </c:pt>
                <c:pt idx="267">
                  <c:v>45849</c:v>
                </c:pt>
                <c:pt idx="268">
                  <c:v>45850</c:v>
                </c:pt>
                <c:pt idx="269">
                  <c:v>45851</c:v>
                </c:pt>
                <c:pt idx="270">
                  <c:v>45852</c:v>
                </c:pt>
                <c:pt idx="271">
                  <c:v>45853</c:v>
                </c:pt>
                <c:pt idx="272">
                  <c:v>45854</c:v>
                </c:pt>
                <c:pt idx="273">
                  <c:v>45855</c:v>
                </c:pt>
                <c:pt idx="274">
                  <c:v>45856</c:v>
                </c:pt>
                <c:pt idx="275">
                  <c:v>45857</c:v>
                </c:pt>
                <c:pt idx="276">
                  <c:v>45858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45864</c:v>
                </c:pt>
                <c:pt idx="283">
                  <c:v>45865</c:v>
                </c:pt>
                <c:pt idx="284">
                  <c:v>45866</c:v>
                </c:pt>
                <c:pt idx="285">
                  <c:v>45867</c:v>
                </c:pt>
                <c:pt idx="286">
                  <c:v>45868</c:v>
                </c:pt>
                <c:pt idx="287">
                  <c:v>45869</c:v>
                </c:pt>
                <c:pt idx="288">
                  <c:v>45870</c:v>
                </c:pt>
                <c:pt idx="289">
                  <c:v>45871</c:v>
                </c:pt>
                <c:pt idx="290">
                  <c:v>45872</c:v>
                </c:pt>
                <c:pt idx="291">
                  <c:v>45873</c:v>
                </c:pt>
                <c:pt idx="292">
                  <c:v>45874</c:v>
                </c:pt>
                <c:pt idx="293">
                  <c:v>45875</c:v>
                </c:pt>
                <c:pt idx="294">
                  <c:v>45876</c:v>
                </c:pt>
                <c:pt idx="295">
                  <c:v>45877</c:v>
                </c:pt>
                <c:pt idx="296">
                  <c:v>45878</c:v>
                </c:pt>
                <c:pt idx="297">
                  <c:v>45879</c:v>
                </c:pt>
                <c:pt idx="298">
                  <c:v>45880</c:v>
                </c:pt>
                <c:pt idx="299">
                  <c:v>45881</c:v>
                </c:pt>
                <c:pt idx="300">
                  <c:v>45882</c:v>
                </c:pt>
                <c:pt idx="301">
                  <c:v>45883</c:v>
                </c:pt>
                <c:pt idx="302">
                  <c:v>45884</c:v>
                </c:pt>
                <c:pt idx="303">
                  <c:v>45885</c:v>
                </c:pt>
                <c:pt idx="304">
                  <c:v>45886</c:v>
                </c:pt>
                <c:pt idx="305">
                  <c:v>45887</c:v>
                </c:pt>
                <c:pt idx="306">
                  <c:v>45888</c:v>
                </c:pt>
                <c:pt idx="307">
                  <c:v>45889</c:v>
                </c:pt>
                <c:pt idx="308">
                  <c:v>45890</c:v>
                </c:pt>
                <c:pt idx="309">
                  <c:v>45891</c:v>
                </c:pt>
                <c:pt idx="310">
                  <c:v>45892</c:v>
                </c:pt>
                <c:pt idx="311">
                  <c:v>45893</c:v>
                </c:pt>
                <c:pt idx="312">
                  <c:v>45894</c:v>
                </c:pt>
                <c:pt idx="313">
                  <c:v>45895</c:v>
                </c:pt>
                <c:pt idx="314">
                  <c:v>45896</c:v>
                </c:pt>
                <c:pt idx="315">
                  <c:v>45897</c:v>
                </c:pt>
                <c:pt idx="316">
                  <c:v>45898</c:v>
                </c:pt>
                <c:pt idx="317">
                  <c:v>45899</c:v>
                </c:pt>
                <c:pt idx="318">
                  <c:v>45900</c:v>
                </c:pt>
                <c:pt idx="319">
                  <c:v>45901</c:v>
                </c:pt>
                <c:pt idx="320">
                  <c:v>45902</c:v>
                </c:pt>
                <c:pt idx="321">
                  <c:v>45903</c:v>
                </c:pt>
                <c:pt idx="322">
                  <c:v>45904</c:v>
                </c:pt>
                <c:pt idx="323">
                  <c:v>45905</c:v>
                </c:pt>
                <c:pt idx="324">
                  <c:v>45906</c:v>
                </c:pt>
                <c:pt idx="325">
                  <c:v>45907</c:v>
                </c:pt>
                <c:pt idx="326">
                  <c:v>45908</c:v>
                </c:pt>
                <c:pt idx="327">
                  <c:v>45909</c:v>
                </c:pt>
                <c:pt idx="328">
                  <c:v>45910</c:v>
                </c:pt>
                <c:pt idx="329">
                  <c:v>45911</c:v>
                </c:pt>
                <c:pt idx="330">
                  <c:v>45912</c:v>
                </c:pt>
                <c:pt idx="331">
                  <c:v>45913</c:v>
                </c:pt>
                <c:pt idx="332">
                  <c:v>45914</c:v>
                </c:pt>
                <c:pt idx="333">
                  <c:v>45915</c:v>
                </c:pt>
                <c:pt idx="334">
                  <c:v>45916</c:v>
                </c:pt>
                <c:pt idx="335">
                  <c:v>45917</c:v>
                </c:pt>
                <c:pt idx="336">
                  <c:v>45918</c:v>
                </c:pt>
                <c:pt idx="337">
                  <c:v>45919</c:v>
                </c:pt>
                <c:pt idx="338">
                  <c:v>45920</c:v>
                </c:pt>
                <c:pt idx="339">
                  <c:v>45921</c:v>
                </c:pt>
                <c:pt idx="340">
                  <c:v>45922</c:v>
                </c:pt>
                <c:pt idx="341">
                  <c:v>45923</c:v>
                </c:pt>
                <c:pt idx="342">
                  <c:v>45924</c:v>
                </c:pt>
                <c:pt idx="343">
                  <c:v>45925</c:v>
                </c:pt>
                <c:pt idx="344">
                  <c:v>45926</c:v>
                </c:pt>
                <c:pt idx="345">
                  <c:v>45927</c:v>
                </c:pt>
                <c:pt idx="346">
                  <c:v>45928</c:v>
                </c:pt>
                <c:pt idx="347">
                  <c:v>45929</c:v>
                </c:pt>
                <c:pt idx="348">
                  <c:v>45930</c:v>
                </c:pt>
                <c:pt idx="349">
                  <c:v>45931</c:v>
                </c:pt>
                <c:pt idx="350">
                  <c:v>45932</c:v>
                </c:pt>
                <c:pt idx="351">
                  <c:v>45933</c:v>
                </c:pt>
                <c:pt idx="352">
                  <c:v>45934</c:v>
                </c:pt>
                <c:pt idx="353">
                  <c:v>45935</c:v>
                </c:pt>
                <c:pt idx="354">
                  <c:v>45936</c:v>
                </c:pt>
                <c:pt idx="355">
                  <c:v>45937</c:v>
                </c:pt>
                <c:pt idx="356">
                  <c:v>45938</c:v>
                </c:pt>
                <c:pt idx="357">
                  <c:v>45939</c:v>
                </c:pt>
                <c:pt idx="358">
                  <c:v>45940</c:v>
                </c:pt>
                <c:pt idx="359">
                  <c:v>45941</c:v>
                </c:pt>
                <c:pt idx="360">
                  <c:v>45942</c:v>
                </c:pt>
                <c:pt idx="361">
                  <c:v>45943</c:v>
                </c:pt>
                <c:pt idx="362">
                  <c:v>45944</c:v>
                </c:pt>
                <c:pt idx="363">
                  <c:v>45945</c:v>
                </c:pt>
                <c:pt idx="364">
                  <c:v>45946</c:v>
                </c:pt>
                <c:pt idx="365">
                  <c:v>45947</c:v>
                </c:pt>
                <c:pt idx="366">
                  <c:v>45948</c:v>
                </c:pt>
                <c:pt idx="367">
                  <c:v>45949</c:v>
                </c:pt>
                <c:pt idx="368">
                  <c:v>45950</c:v>
                </c:pt>
                <c:pt idx="369">
                  <c:v>45951</c:v>
                </c:pt>
                <c:pt idx="370">
                  <c:v>45952</c:v>
                </c:pt>
                <c:pt idx="371">
                  <c:v>45953</c:v>
                </c:pt>
                <c:pt idx="372">
                  <c:v>45954</c:v>
                </c:pt>
                <c:pt idx="373">
                  <c:v>45955</c:v>
                </c:pt>
                <c:pt idx="374">
                  <c:v>45956</c:v>
                </c:pt>
                <c:pt idx="375">
                  <c:v>45957</c:v>
                </c:pt>
                <c:pt idx="376">
                  <c:v>45958</c:v>
                </c:pt>
                <c:pt idx="377">
                  <c:v>45959</c:v>
                </c:pt>
                <c:pt idx="378">
                  <c:v>45960</c:v>
                </c:pt>
                <c:pt idx="379">
                  <c:v>45961</c:v>
                </c:pt>
                <c:pt idx="380">
                  <c:v>45962</c:v>
                </c:pt>
                <c:pt idx="381">
                  <c:v>45963</c:v>
                </c:pt>
                <c:pt idx="382">
                  <c:v>45964</c:v>
                </c:pt>
                <c:pt idx="383">
                  <c:v>45965</c:v>
                </c:pt>
                <c:pt idx="384">
                  <c:v>45966</c:v>
                </c:pt>
                <c:pt idx="385">
                  <c:v>45967</c:v>
                </c:pt>
                <c:pt idx="386">
                  <c:v>45968</c:v>
                </c:pt>
                <c:pt idx="387">
                  <c:v>45969</c:v>
                </c:pt>
                <c:pt idx="388">
                  <c:v>45970</c:v>
                </c:pt>
                <c:pt idx="389">
                  <c:v>45971</c:v>
                </c:pt>
                <c:pt idx="390">
                  <c:v>45972</c:v>
                </c:pt>
                <c:pt idx="391">
                  <c:v>45973</c:v>
                </c:pt>
                <c:pt idx="392">
                  <c:v>45974</c:v>
                </c:pt>
                <c:pt idx="393">
                  <c:v>45975</c:v>
                </c:pt>
                <c:pt idx="394">
                  <c:v>45976</c:v>
                </c:pt>
                <c:pt idx="395">
                  <c:v>45977</c:v>
                </c:pt>
                <c:pt idx="396">
                  <c:v>45978</c:v>
                </c:pt>
                <c:pt idx="397">
                  <c:v>45979</c:v>
                </c:pt>
                <c:pt idx="398">
                  <c:v>45980</c:v>
                </c:pt>
                <c:pt idx="399">
                  <c:v>45981</c:v>
                </c:pt>
                <c:pt idx="400">
                  <c:v>45982</c:v>
                </c:pt>
                <c:pt idx="401">
                  <c:v>45983</c:v>
                </c:pt>
                <c:pt idx="402">
                  <c:v>45984</c:v>
                </c:pt>
                <c:pt idx="403">
                  <c:v>45985</c:v>
                </c:pt>
                <c:pt idx="404">
                  <c:v>45986</c:v>
                </c:pt>
                <c:pt idx="405">
                  <c:v>45987</c:v>
                </c:pt>
                <c:pt idx="406">
                  <c:v>45988</c:v>
                </c:pt>
                <c:pt idx="407">
                  <c:v>45989</c:v>
                </c:pt>
                <c:pt idx="408">
                  <c:v>45990</c:v>
                </c:pt>
                <c:pt idx="409">
                  <c:v>45991</c:v>
                </c:pt>
                <c:pt idx="410">
                  <c:v>45992</c:v>
                </c:pt>
                <c:pt idx="411">
                  <c:v>45993</c:v>
                </c:pt>
                <c:pt idx="412">
                  <c:v>45994</c:v>
                </c:pt>
                <c:pt idx="413">
                  <c:v>45995</c:v>
                </c:pt>
                <c:pt idx="414">
                  <c:v>45996</c:v>
                </c:pt>
                <c:pt idx="415">
                  <c:v>45997</c:v>
                </c:pt>
                <c:pt idx="416">
                  <c:v>45998</c:v>
                </c:pt>
                <c:pt idx="417">
                  <c:v>45999</c:v>
                </c:pt>
                <c:pt idx="418">
                  <c:v>46000</c:v>
                </c:pt>
                <c:pt idx="419">
                  <c:v>46001</c:v>
                </c:pt>
                <c:pt idx="420">
                  <c:v>46002</c:v>
                </c:pt>
                <c:pt idx="421">
                  <c:v>46003</c:v>
                </c:pt>
                <c:pt idx="422">
                  <c:v>46004</c:v>
                </c:pt>
                <c:pt idx="423">
                  <c:v>46005</c:v>
                </c:pt>
                <c:pt idx="424">
                  <c:v>46006</c:v>
                </c:pt>
                <c:pt idx="425">
                  <c:v>46007</c:v>
                </c:pt>
                <c:pt idx="426">
                  <c:v>46008</c:v>
                </c:pt>
                <c:pt idx="427">
                  <c:v>46009</c:v>
                </c:pt>
                <c:pt idx="428">
                  <c:v>46010</c:v>
                </c:pt>
                <c:pt idx="429">
                  <c:v>46011</c:v>
                </c:pt>
                <c:pt idx="430">
                  <c:v>46012</c:v>
                </c:pt>
                <c:pt idx="431">
                  <c:v>46013</c:v>
                </c:pt>
                <c:pt idx="432">
                  <c:v>46014</c:v>
                </c:pt>
                <c:pt idx="433">
                  <c:v>46015</c:v>
                </c:pt>
                <c:pt idx="434">
                  <c:v>46016</c:v>
                </c:pt>
                <c:pt idx="435">
                  <c:v>46017</c:v>
                </c:pt>
                <c:pt idx="436">
                  <c:v>46018</c:v>
                </c:pt>
                <c:pt idx="437">
                  <c:v>46019</c:v>
                </c:pt>
                <c:pt idx="438">
                  <c:v>46020</c:v>
                </c:pt>
                <c:pt idx="439">
                  <c:v>46021</c:v>
                </c:pt>
                <c:pt idx="440">
                  <c:v>46022</c:v>
                </c:pt>
                <c:pt idx="441">
                  <c:v>46023</c:v>
                </c:pt>
                <c:pt idx="442">
                  <c:v>46024</c:v>
                </c:pt>
                <c:pt idx="443">
                  <c:v>46025</c:v>
                </c:pt>
                <c:pt idx="444">
                  <c:v>46026</c:v>
                </c:pt>
                <c:pt idx="445">
                  <c:v>46027</c:v>
                </c:pt>
                <c:pt idx="446">
                  <c:v>46028</c:v>
                </c:pt>
                <c:pt idx="447">
                  <c:v>46029</c:v>
                </c:pt>
                <c:pt idx="448">
                  <c:v>46030</c:v>
                </c:pt>
                <c:pt idx="449">
                  <c:v>46031</c:v>
                </c:pt>
                <c:pt idx="450">
                  <c:v>46032</c:v>
                </c:pt>
                <c:pt idx="451">
                  <c:v>46033</c:v>
                </c:pt>
                <c:pt idx="452">
                  <c:v>46034</c:v>
                </c:pt>
                <c:pt idx="453">
                  <c:v>46035</c:v>
                </c:pt>
                <c:pt idx="454">
                  <c:v>46036</c:v>
                </c:pt>
                <c:pt idx="455">
                  <c:v>46037</c:v>
                </c:pt>
                <c:pt idx="456">
                  <c:v>46038</c:v>
                </c:pt>
                <c:pt idx="457">
                  <c:v>46039</c:v>
                </c:pt>
                <c:pt idx="458">
                  <c:v>46040</c:v>
                </c:pt>
                <c:pt idx="459">
                  <c:v>46041</c:v>
                </c:pt>
                <c:pt idx="460">
                  <c:v>46042</c:v>
                </c:pt>
                <c:pt idx="461">
                  <c:v>46043</c:v>
                </c:pt>
                <c:pt idx="462">
                  <c:v>46044</c:v>
                </c:pt>
                <c:pt idx="463">
                  <c:v>46045</c:v>
                </c:pt>
                <c:pt idx="464">
                  <c:v>46046</c:v>
                </c:pt>
                <c:pt idx="465">
                  <c:v>46047</c:v>
                </c:pt>
                <c:pt idx="466">
                  <c:v>46048</c:v>
                </c:pt>
                <c:pt idx="467">
                  <c:v>46049</c:v>
                </c:pt>
                <c:pt idx="468">
                  <c:v>46050</c:v>
                </c:pt>
                <c:pt idx="469">
                  <c:v>46051</c:v>
                </c:pt>
                <c:pt idx="470">
                  <c:v>46052</c:v>
                </c:pt>
                <c:pt idx="471">
                  <c:v>46053</c:v>
                </c:pt>
                <c:pt idx="472">
                  <c:v>46054</c:v>
                </c:pt>
                <c:pt idx="473">
                  <c:v>46055</c:v>
                </c:pt>
                <c:pt idx="474">
                  <c:v>46056</c:v>
                </c:pt>
                <c:pt idx="475">
                  <c:v>46057</c:v>
                </c:pt>
                <c:pt idx="476">
                  <c:v>46058</c:v>
                </c:pt>
                <c:pt idx="477">
                  <c:v>46059</c:v>
                </c:pt>
                <c:pt idx="478">
                  <c:v>46060</c:v>
                </c:pt>
                <c:pt idx="479">
                  <c:v>46061</c:v>
                </c:pt>
                <c:pt idx="480">
                  <c:v>46062</c:v>
                </c:pt>
                <c:pt idx="481">
                  <c:v>46063</c:v>
                </c:pt>
                <c:pt idx="482">
                  <c:v>46064</c:v>
                </c:pt>
                <c:pt idx="483">
                  <c:v>46065</c:v>
                </c:pt>
                <c:pt idx="484">
                  <c:v>46066</c:v>
                </c:pt>
                <c:pt idx="485">
                  <c:v>46067</c:v>
                </c:pt>
                <c:pt idx="486">
                  <c:v>46068</c:v>
                </c:pt>
                <c:pt idx="487">
                  <c:v>46069</c:v>
                </c:pt>
                <c:pt idx="488">
                  <c:v>46070</c:v>
                </c:pt>
                <c:pt idx="489">
                  <c:v>46071</c:v>
                </c:pt>
                <c:pt idx="490">
                  <c:v>46072</c:v>
                </c:pt>
                <c:pt idx="491">
                  <c:v>46073</c:v>
                </c:pt>
                <c:pt idx="492">
                  <c:v>46074</c:v>
                </c:pt>
                <c:pt idx="493">
                  <c:v>46075</c:v>
                </c:pt>
                <c:pt idx="494">
                  <c:v>46076</c:v>
                </c:pt>
                <c:pt idx="495">
                  <c:v>46077</c:v>
                </c:pt>
                <c:pt idx="496">
                  <c:v>46078</c:v>
                </c:pt>
                <c:pt idx="497">
                  <c:v>46079</c:v>
                </c:pt>
                <c:pt idx="498">
                  <c:v>46080</c:v>
                </c:pt>
                <c:pt idx="499">
                  <c:v>46081</c:v>
                </c:pt>
                <c:pt idx="500">
                  <c:v>46082</c:v>
                </c:pt>
                <c:pt idx="501">
                  <c:v>46083</c:v>
                </c:pt>
                <c:pt idx="502">
                  <c:v>46084</c:v>
                </c:pt>
                <c:pt idx="503">
                  <c:v>46085</c:v>
                </c:pt>
                <c:pt idx="504">
                  <c:v>46086</c:v>
                </c:pt>
                <c:pt idx="505">
                  <c:v>46087</c:v>
                </c:pt>
                <c:pt idx="506">
                  <c:v>46088</c:v>
                </c:pt>
                <c:pt idx="507">
                  <c:v>46089</c:v>
                </c:pt>
                <c:pt idx="508">
                  <c:v>46090</c:v>
                </c:pt>
                <c:pt idx="509">
                  <c:v>46091</c:v>
                </c:pt>
                <c:pt idx="510">
                  <c:v>46092</c:v>
                </c:pt>
                <c:pt idx="511">
                  <c:v>46093</c:v>
                </c:pt>
                <c:pt idx="512">
                  <c:v>46094</c:v>
                </c:pt>
                <c:pt idx="513">
                  <c:v>46095</c:v>
                </c:pt>
                <c:pt idx="514">
                  <c:v>46096</c:v>
                </c:pt>
                <c:pt idx="515">
                  <c:v>46097</c:v>
                </c:pt>
                <c:pt idx="516">
                  <c:v>46098</c:v>
                </c:pt>
                <c:pt idx="517">
                  <c:v>46099</c:v>
                </c:pt>
                <c:pt idx="518">
                  <c:v>46100</c:v>
                </c:pt>
                <c:pt idx="519">
                  <c:v>46101</c:v>
                </c:pt>
                <c:pt idx="520">
                  <c:v>46102</c:v>
                </c:pt>
                <c:pt idx="521">
                  <c:v>46103</c:v>
                </c:pt>
                <c:pt idx="522">
                  <c:v>46104</c:v>
                </c:pt>
                <c:pt idx="523">
                  <c:v>46105</c:v>
                </c:pt>
                <c:pt idx="524">
                  <c:v>46106</c:v>
                </c:pt>
                <c:pt idx="525">
                  <c:v>46107</c:v>
                </c:pt>
                <c:pt idx="526">
                  <c:v>46108</c:v>
                </c:pt>
                <c:pt idx="527">
                  <c:v>46109</c:v>
                </c:pt>
                <c:pt idx="528">
                  <c:v>46110</c:v>
                </c:pt>
                <c:pt idx="529">
                  <c:v>46111</c:v>
                </c:pt>
                <c:pt idx="530">
                  <c:v>46112</c:v>
                </c:pt>
                <c:pt idx="531">
                  <c:v>46113</c:v>
                </c:pt>
                <c:pt idx="532">
                  <c:v>46114</c:v>
                </c:pt>
                <c:pt idx="533">
                  <c:v>46115</c:v>
                </c:pt>
                <c:pt idx="534">
                  <c:v>46116</c:v>
                </c:pt>
                <c:pt idx="535">
                  <c:v>46117</c:v>
                </c:pt>
                <c:pt idx="536">
                  <c:v>46118</c:v>
                </c:pt>
                <c:pt idx="537">
                  <c:v>46119</c:v>
                </c:pt>
                <c:pt idx="538">
                  <c:v>46120</c:v>
                </c:pt>
                <c:pt idx="539">
                  <c:v>46121</c:v>
                </c:pt>
                <c:pt idx="540">
                  <c:v>46122</c:v>
                </c:pt>
                <c:pt idx="541">
                  <c:v>46123</c:v>
                </c:pt>
                <c:pt idx="542">
                  <c:v>46124</c:v>
                </c:pt>
                <c:pt idx="543">
                  <c:v>46125</c:v>
                </c:pt>
                <c:pt idx="544">
                  <c:v>46126</c:v>
                </c:pt>
                <c:pt idx="545">
                  <c:v>46127</c:v>
                </c:pt>
                <c:pt idx="546">
                  <c:v>46128</c:v>
                </c:pt>
                <c:pt idx="547">
                  <c:v>46129</c:v>
                </c:pt>
                <c:pt idx="548">
                  <c:v>46130</c:v>
                </c:pt>
                <c:pt idx="549">
                  <c:v>46131</c:v>
                </c:pt>
                <c:pt idx="550">
                  <c:v>46132</c:v>
                </c:pt>
                <c:pt idx="551">
                  <c:v>46133</c:v>
                </c:pt>
                <c:pt idx="552">
                  <c:v>46134</c:v>
                </c:pt>
                <c:pt idx="553">
                  <c:v>46135</c:v>
                </c:pt>
                <c:pt idx="554">
                  <c:v>46136</c:v>
                </c:pt>
                <c:pt idx="555">
                  <c:v>46137</c:v>
                </c:pt>
                <c:pt idx="556">
                  <c:v>46138</c:v>
                </c:pt>
                <c:pt idx="557">
                  <c:v>46139</c:v>
                </c:pt>
                <c:pt idx="558">
                  <c:v>46140</c:v>
                </c:pt>
                <c:pt idx="559">
                  <c:v>46141</c:v>
                </c:pt>
                <c:pt idx="560">
                  <c:v>46142</c:v>
                </c:pt>
              </c:numCache>
            </c:numRef>
          </c:cat>
          <c:val>
            <c:numRef>
              <c:f>'Tasa_BCVUSDT Grafico1'!$F$3:$F$559</c:f>
              <c:numCache>
                <c:formatCode>0.000</c:formatCode>
                <c:ptCount val="557"/>
                <c:pt idx="0">
                  <c:v>39.0366</c:v>
                </c:pt>
                <c:pt idx="1">
                  <c:v>39.072000000000003</c:v>
                </c:pt>
                <c:pt idx="2">
                  <c:v>39.072000000000003</c:v>
                </c:pt>
                <c:pt idx="3">
                  <c:v>39.072000000000003</c:v>
                </c:pt>
                <c:pt idx="4">
                  <c:v>39.083300000000001</c:v>
                </c:pt>
                <c:pt idx="5">
                  <c:v>39.224699999999999</c:v>
                </c:pt>
                <c:pt idx="6">
                  <c:v>39.363</c:v>
                </c:pt>
                <c:pt idx="7">
                  <c:v>40.778100000000002</c:v>
                </c:pt>
                <c:pt idx="8">
                  <c:v>40.940300000000001</c:v>
                </c:pt>
                <c:pt idx="9">
                  <c:v>40.940300000000001</c:v>
                </c:pt>
                <c:pt idx="10">
                  <c:v>40.940300000000001</c:v>
                </c:pt>
                <c:pt idx="11">
                  <c:v>41.631799999999998</c:v>
                </c:pt>
                <c:pt idx="12">
                  <c:v>42.12</c:v>
                </c:pt>
                <c:pt idx="13">
                  <c:v>42.455800000000004</c:v>
                </c:pt>
                <c:pt idx="14">
                  <c:v>42.603299999999997</c:v>
                </c:pt>
                <c:pt idx="15">
                  <c:v>42.7498</c:v>
                </c:pt>
                <c:pt idx="16">
                  <c:v>42.7498</c:v>
                </c:pt>
                <c:pt idx="17">
                  <c:v>42.7498</c:v>
                </c:pt>
                <c:pt idx="18">
                  <c:v>42.7498</c:v>
                </c:pt>
                <c:pt idx="19">
                  <c:v>43.348999999999997</c:v>
                </c:pt>
                <c:pt idx="20">
                  <c:v>43.672699999999999</c:v>
                </c:pt>
                <c:pt idx="21">
                  <c:v>44.075600000000001</c:v>
                </c:pt>
                <c:pt idx="22">
                  <c:v>44.591700000000003</c:v>
                </c:pt>
                <c:pt idx="23">
                  <c:v>44.591700000000003</c:v>
                </c:pt>
                <c:pt idx="24">
                  <c:v>44.591700000000003</c:v>
                </c:pt>
                <c:pt idx="25">
                  <c:v>44.642499999999998</c:v>
                </c:pt>
                <c:pt idx="26">
                  <c:v>44.816600000000001</c:v>
                </c:pt>
                <c:pt idx="27">
                  <c:v>44.940399999999997</c:v>
                </c:pt>
                <c:pt idx="28">
                  <c:v>45.3932</c:v>
                </c:pt>
                <c:pt idx="29">
                  <c:v>45.674900000000001</c:v>
                </c:pt>
                <c:pt idx="30">
                  <c:v>45.674900000000001</c:v>
                </c:pt>
                <c:pt idx="31">
                  <c:v>45.674900000000001</c:v>
                </c:pt>
                <c:pt idx="32">
                  <c:v>45.674900000000001</c:v>
                </c:pt>
                <c:pt idx="33">
                  <c:v>45.726399999999998</c:v>
                </c:pt>
                <c:pt idx="34">
                  <c:v>45.9437</c:v>
                </c:pt>
                <c:pt idx="35">
                  <c:v>46.211500000000001</c:v>
                </c:pt>
                <c:pt idx="36">
                  <c:v>46.501100000000001</c:v>
                </c:pt>
                <c:pt idx="37">
                  <c:v>46.501100000000001</c:v>
                </c:pt>
                <c:pt idx="38">
                  <c:v>46.501100000000001</c:v>
                </c:pt>
                <c:pt idx="39">
                  <c:v>46.5261</c:v>
                </c:pt>
                <c:pt idx="40">
                  <c:v>46.636800000000001</c:v>
                </c:pt>
                <c:pt idx="41">
                  <c:v>46.738300000000002</c:v>
                </c:pt>
                <c:pt idx="42">
                  <c:v>47.195500000000003</c:v>
                </c:pt>
                <c:pt idx="43">
                  <c:v>47.488399999999999</c:v>
                </c:pt>
                <c:pt idx="44">
                  <c:v>47.488399999999999</c:v>
                </c:pt>
                <c:pt idx="45">
                  <c:v>47.488399999999999</c:v>
                </c:pt>
                <c:pt idx="46">
                  <c:v>47.61</c:v>
                </c:pt>
                <c:pt idx="47">
                  <c:v>47.735599999999998</c:v>
                </c:pt>
                <c:pt idx="48">
                  <c:v>47.997999999999998</c:v>
                </c:pt>
                <c:pt idx="49">
                  <c:v>48.2057</c:v>
                </c:pt>
                <c:pt idx="50">
                  <c:v>48.668300000000002</c:v>
                </c:pt>
                <c:pt idx="51">
                  <c:v>48.747300000000003</c:v>
                </c:pt>
                <c:pt idx="52">
                  <c:v>48.747300000000003</c:v>
                </c:pt>
                <c:pt idx="53">
                  <c:v>48.747300000000003</c:v>
                </c:pt>
                <c:pt idx="54">
                  <c:v>48.988300000000002</c:v>
                </c:pt>
                <c:pt idx="55">
                  <c:v>49.351999999999997</c:v>
                </c:pt>
                <c:pt idx="56">
                  <c:v>49.781999999999996</c:v>
                </c:pt>
                <c:pt idx="57">
                  <c:v>50.206099999999999</c:v>
                </c:pt>
                <c:pt idx="58">
                  <c:v>50.245100000000001</c:v>
                </c:pt>
                <c:pt idx="59">
                  <c:v>50.245100000000001</c:v>
                </c:pt>
                <c:pt idx="60">
                  <c:v>50.245100000000001</c:v>
                </c:pt>
                <c:pt idx="61">
                  <c:v>50.415500000000002</c:v>
                </c:pt>
                <c:pt idx="62">
                  <c:v>50.827100000000002</c:v>
                </c:pt>
                <c:pt idx="63">
                  <c:v>51.222000000000001</c:v>
                </c:pt>
                <c:pt idx="64">
                  <c:v>51.410899999999998</c:v>
                </c:pt>
                <c:pt idx="65">
                  <c:v>51.410899999999998</c:v>
                </c:pt>
                <c:pt idx="66">
                  <c:v>51.410899999999998</c:v>
                </c:pt>
                <c:pt idx="67">
                  <c:v>51.510899999999999</c:v>
                </c:pt>
                <c:pt idx="68">
                  <c:v>51.510899999999999</c:v>
                </c:pt>
                <c:pt idx="69">
                  <c:v>51.510899999999999</c:v>
                </c:pt>
                <c:pt idx="70">
                  <c:v>51.636499999999998</c:v>
                </c:pt>
                <c:pt idx="71">
                  <c:v>51.804699999999997</c:v>
                </c:pt>
                <c:pt idx="72">
                  <c:v>51.804699999999997</c:v>
                </c:pt>
                <c:pt idx="73">
                  <c:v>51.804699999999997</c:v>
                </c:pt>
                <c:pt idx="74">
                  <c:v>51.896999999999998</c:v>
                </c:pt>
                <c:pt idx="75">
                  <c:v>51.896999999999998</c:v>
                </c:pt>
                <c:pt idx="76">
                  <c:v>51.9345</c:v>
                </c:pt>
                <c:pt idx="77">
                  <c:v>52.027099999999997</c:v>
                </c:pt>
                <c:pt idx="78">
                  <c:v>52.572299999999998</c:v>
                </c:pt>
                <c:pt idx="79">
                  <c:v>52.572299999999998</c:v>
                </c:pt>
                <c:pt idx="80">
                  <c:v>52.572299999999998</c:v>
                </c:pt>
                <c:pt idx="81">
                  <c:v>52.572299999999998</c:v>
                </c:pt>
                <c:pt idx="82">
                  <c:v>53.012</c:v>
                </c:pt>
                <c:pt idx="83">
                  <c:v>53.070399999999999</c:v>
                </c:pt>
                <c:pt idx="84">
                  <c:v>53.282699999999998</c:v>
                </c:pt>
                <c:pt idx="85">
                  <c:v>53.852200000000003</c:v>
                </c:pt>
                <c:pt idx="86">
                  <c:v>53.852200000000003</c:v>
                </c:pt>
                <c:pt idx="87">
                  <c:v>53.852200000000003</c:v>
                </c:pt>
                <c:pt idx="88">
                  <c:v>53.852200000000003</c:v>
                </c:pt>
                <c:pt idx="89">
                  <c:v>53.879100000000001</c:v>
                </c:pt>
                <c:pt idx="90">
                  <c:v>53.964199999999998</c:v>
                </c:pt>
                <c:pt idx="91">
                  <c:v>54.369399999999999</c:v>
                </c:pt>
                <c:pt idx="92">
                  <c:v>54.76</c:v>
                </c:pt>
                <c:pt idx="93">
                  <c:v>54.76</c:v>
                </c:pt>
                <c:pt idx="94">
                  <c:v>54.76</c:v>
                </c:pt>
                <c:pt idx="95">
                  <c:v>54.911299999999997</c:v>
                </c:pt>
                <c:pt idx="96">
                  <c:v>54.985199999999999</c:v>
                </c:pt>
                <c:pt idx="97">
                  <c:v>55.299900000000001</c:v>
                </c:pt>
                <c:pt idx="98">
                  <c:v>55.761099999999999</c:v>
                </c:pt>
                <c:pt idx="99">
                  <c:v>56.283000000000001</c:v>
                </c:pt>
                <c:pt idx="100">
                  <c:v>56.283000000000001</c:v>
                </c:pt>
                <c:pt idx="101">
                  <c:v>56.283000000000001</c:v>
                </c:pt>
                <c:pt idx="102">
                  <c:v>56.652200000000001</c:v>
                </c:pt>
                <c:pt idx="103">
                  <c:v>56.856200000000001</c:v>
                </c:pt>
                <c:pt idx="104">
                  <c:v>57.297400000000003</c:v>
                </c:pt>
                <c:pt idx="105">
                  <c:v>57.392899999999997</c:v>
                </c:pt>
                <c:pt idx="106">
                  <c:v>57.9666</c:v>
                </c:pt>
                <c:pt idx="107">
                  <c:v>57.9666</c:v>
                </c:pt>
                <c:pt idx="108">
                  <c:v>57.9666</c:v>
                </c:pt>
                <c:pt idx="109">
                  <c:v>58.4437</c:v>
                </c:pt>
                <c:pt idx="110">
                  <c:v>58.540399999999998</c:v>
                </c:pt>
                <c:pt idx="111">
                  <c:v>58.793799999999997</c:v>
                </c:pt>
                <c:pt idx="112">
                  <c:v>59.460500000000003</c:v>
                </c:pt>
                <c:pt idx="113">
                  <c:v>60.1417</c:v>
                </c:pt>
                <c:pt idx="114">
                  <c:v>60.1417</c:v>
                </c:pt>
                <c:pt idx="115">
                  <c:v>60.1417</c:v>
                </c:pt>
                <c:pt idx="116">
                  <c:v>60.521099999999997</c:v>
                </c:pt>
                <c:pt idx="117">
                  <c:v>60.5428</c:v>
                </c:pt>
                <c:pt idx="118">
                  <c:v>61.027799999999999</c:v>
                </c:pt>
                <c:pt idx="119">
                  <c:v>61.346200000000003</c:v>
                </c:pt>
                <c:pt idx="120">
                  <c:v>61.822699999999998</c:v>
                </c:pt>
                <c:pt idx="121">
                  <c:v>61.822699999999998</c:v>
                </c:pt>
                <c:pt idx="122">
                  <c:v>61.822699999999998</c:v>
                </c:pt>
                <c:pt idx="123">
                  <c:v>62.070799999999998</c:v>
                </c:pt>
                <c:pt idx="124">
                  <c:v>62.099899999999998</c:v>
                </c:pt>
                <c:pt idx="125">
                  <c:v>62.183399999999999</c:v>
                </c:pt>
                <c:pt idx="126">
                  <c:v>62.5107</c:v>
                </c:pt>
                <c:pt idx="127">
                  <c:v>63.206499999999998</c:v>
                </c:pt>
                <c:pt idx="128">
                  <c:v>63.206499999999998</c:v>
                </c:pt>
                <c:pt idx="129">
                  <c:v>63.206499999999998</c:v>
                </c:pt>
                <c:pt idx="130">
                  <c:v>63.413899999999998</c:v>
                </c:pt>
                <c:pt idx="131">
                  <c:v>63.4938</c:v>
                </c:pt>
                <c:pt idx="132">
                  <c:v>64.019099999999995</c:v>
                </c:pt>
                <c:pt idx="133">
                  <c:v>64.240600000000001</c:v>
                </c:pt>
                <c:pt idx="134">
                  <c:v>64.246399999999994</c:v>
                </c:pt>
                <c:pt idx="135">
                  <c:v>64.246399999999994</c:v>
                </c:pt>
                <c:pt idx="136">
                  <c:v>64.246399999999994</c:v>
                </c:pt>
                <c:pt idx="137">
                  <c:v>64.246399999999994</c:v>
                </c:pt>
                <c:pt idx="138">
                  <c:v>64.246399999999994</c:v>
                </c:pt>
                <c:pt idx="139">
                  <c:v>64.484399999999994</c:v>
                </c:pt>
                <c:pt idx="140">
                  <c:v>64.611599999999996</c:v>
                </c:pt>
                <c:pt idx="141">
                  <c:v>64.745999999999995</c:v>
                </c:pt>
                <c:pt idx="142">
                  <c:v>64.745999999999995</c:v>
                </c:pt>
                <c:pt idx="143">
                  <c:v>64.745999999999995</c:v>
                </c:pt>
                <c:pt idx="144">
                  <c:v>65.266199999999998</c:v>
                </c:pt>
                <c:pt idx="145">
                  <c:v>65.415099999999995</c:v>
                </c:pt>
                <c:pt idx="146">
                  <c:v>65.626800000000003</c:v>
                </c:pt>
                <c:pt idx="147">
                  <c:v>66.254199999999997</c:v>
                </c:pt>
                <c:pt idx="148">
                  <c:v>66.436800000000005</c:v>
                </c:pt>
                <c:pt idx="149">
                  <c:v>66.436800000000005</c:v>
                </c:pt>
                <c:pt idx="150">
                  <c:v>66.436800000000005</c:v>
                </c:pt>
                <c:pt idx="151">
                  <c:v>66.557299999999998</c:v>
                </c:pt>
                <c:pt idx="152">
                  <c:v>66.787999999999997</c:v>
                </c:pt>
                <c:pt idx="153">
                  <c:v>66.787999999999997</c:v>
                </c:pt>
                <c:pt idx="154">
                  <c:v>67.634399999999999</c:v>
                </c:pt>
                <c:pt idx="155">
                  <c:v>67.8583</c:v>
                </c:pt>
                <c:pt idx="156">
                  <c:v>67.8583</c:v>
                </c:pt>
                <c:pt idx="157">
                  <c:v>67.8583</c:v>
                </c:pt>
                <c:pt idx="158">
                  <c:v>68.311599999999999</c:v>
                </c:pt>
                <c:pt idx="159">
                  <c:v>68.393600000000006</c:v>
                </c:pt>
                <c:pt idx="160">
                  <c:v>68.699399999999997</c:v>
                </c:pt>
                <c:pt idx="161">
                  <c:v>69.018799999999999</c:v>
                </c:pt>
                <c:pt idx="162">
                  <c:v>69.438699999999997</c:v>
                </c:pt>
                <c:pt idx="163">
                  <c:v>69.438699999999997</c:v>
                </c:pt>
                <c:pt idx="164">
                  <c:v>69.438699999999997</c:v>
                </c:pt>
                <c:pt idx="165">
                  <c:v>69.566400000000002</c:v>
                </c:pt>
                <c:pt idx="166">
                  <c:v>69.775999999999996</c:v>
                </c:pt>
                <c:pt idx="167">
                  <c:v>70.014099999999999</c:v>
                </c:pt>
                <c:pt idx="168">
                  <c:v>70.249300000000005</c:v>
                </c:pt>
                <c:pt idx="169">
                  <c:v>70.5852</c:v>
                </c:pt>
                <c:pt idx="170">
                  <c:v>70.5852</c:v>
                </c:pt>
                <c:pt idx="171">
                  <c:v>70.5852</c:v>
                </c:pt>
                <c:pt idx="172">
                  <c:v>72.185599999999994</c:v>
                </c:pt>
                <c:pt idx="173">
                  <c:v>73.357600000000005</c:v>
                </c:pt>
                <c:pt idx="174">
                  <c:v>74.278700000000001</c:v>
                </c:pt>
                <c:pt idx="175">
                  <c:v>75.802499999999995</c:v>
                </c:pt>
                <c:pt idx="176">
                  <c:v>77.264600000000002</c:v>
                </c:pt>
                <c:pt idx="177">
                  <c:v>77.264600000000002</c:v>
                </c:pt>
                <c:pt idx="178">
                  <c:v>77.264600000000002</c:v>
                </c:pt>
                <c:pt idx="179">
                  <c:v>78.363500000000002</c:v>
                </c:pt>
                <c:pt idx="180">
                  <c:v>78.591399999999993</c:v>
                </c:pt>
                <c:pt idx="181">
                  <c:v>79.784400000000005</c:v>
                </c:pt>
                <c:pt idx="182">
                  <c:v>79.784400000000005</c:v>
                </c:pt>
                <c:pt idx="183">
                  <c:v>79.784400000000005</c:v>
                </c:pt>
                <c:pt idx="184">
                  <c:v>79.784400000000005</c:v>
                </c:pt>
                <c:pt idx="185">
                  <c:v>79.784400000000005</c:v>
                </c:pt>
                <c:pt idx="186">
                  <c:v>80.959800000000001</c:v>
                </c:pt>
                <c:pt idx="187">
                  <c:v>81.761300000000006</c:v>
                </c:pt>
                <c:pt idx="188">
                  <c:v>82.378799999999998</c:v>
                </c:pt>
                <c:pt idx="189">
                  <c:v>83.418199999999999</c:v>
                </c:pt>
                <c:pt idx="190">
                  <c:v>84.420400000000001</c:v>
                </c:pt>
                <c:pt idx="191">
                  <c:v>84.420400000000001</c:v>
                </c:pt>
                <c:pt idx="192">
                  <c:v>84.420400000000001</c:v>
                </c:pt>
                <c:pt idx="193">
                  <c:v>86.1143</c:v>
                </c:pt>
                <c:pt idx="194">
                  <c:v>86.656400000000005</c:v>
                </c:pt>
                <c:pt idx="195">
                  <c:v>86.846500000000006</c:v>
                </c:pt>
                <c:pt idx="196">
                  <c:v>86.846500000000006</c:v>
                </c:pt>
                <c:pt idx="197">
                  <c:v>87.568100000000001</c:v>
                </c:pt>
                <c:pt idx="198">
                  <c:v>87.568100000000001</c:v>
                </c:pt>
                <c:pt idx="199">
                  <c:v>87.568100000000001</c:v>
                </c:pt>
                <c:pt idx="200">
                  <c:v>88.640500000000003</c:v>
                </c:pt>
                <c:pt idx="201">
                  <c:v>88.722399999999993</c:v>
                </c:pt>
                <c:pt idx="202">
                  <c:v>91.211299999999994</c:v>
                </c:pt>
                <c:pt idx="203">
                  <c:v>91.916499999999999</c:v>
                </c:pt>
                <c:pt idx="204">
                  <c:v>92.831000000000003</c:v>
                </c:pt>
                <c:pt idx="205">
                  <c:v>92.831000000000003</c:v>
                </c:pt>
                <c:pt idx="206">
                  <c:v>92.831000000000003</c:v>
                </c:pt>
                <c:pt idx="207">
                  <c:v>93.049499999999995</c:v>
                </c:pt>
                <c:pt idx="208">
                  <c:v>93.062299999999993</c:v>
                </c:pt>
                <c:pt idx="209">
                  <c:v>93.579599999999999</c:v>
                </c:pt>
                <c:pt idx="210">
                  <c:v>94.155699999999996</c:v>
                </c:pt>
                <c:pt idx="211">
                  <c:v>94.324100000000001</c:v>
                </c:pt>
                <c:pt idx="212">
                  <c:v>94.324100000000001</c:v>
                </c:pt>
                <c:pt idx="213">
                  <c:v>94.324100000000001</c:v>
                </c:pt>
                <c:pt idx="214">
                  <c:v>94.763000000000005</c:v>
                </c:pt>
                <c:pt idx="215">
                  <c:v>94.802400000000006</c:v>
                </c:pt>
                <c:pt idx="216">
                  <c:v>94.855599999999995</c:v>
                </c:pt>
                <c:pt idx="217">
                  <c:v>94.965199999999996</c:v>
                </c:pt>
                <c:pt idx="218">
                  <c:v>95.018900000000002</c:v>
                </c:pt>
                <c:pt idx="219">
                  <c:v>95.018900000000002</c:v>
                </c:pt>
                <c:pt idx="220">
                  <c:v>95.018900000000002</c:v>
                </c:pt>
                <c:pt idx="221">
                  <c:v>95.084000000000003</c:v>
                </c:pt>
                <c:pt idx="222">
                  <c:v>95.238699999999994</c:v>
                </c:pt>
                <c:pt idx="223">
                  <c:v>95.805199999999999</c:v>
                </c:pt>
                <c:pt idx="224">
                  <c:v>96.530299999999997</c:v>
                </c:pt>
                <c:pt idx="225">
                  <c:v>96.857699999999994</c:v>
                </c:pt>
                <c:pt idx="226">
                  <c:v>96.857699999999994</c:v>
                </c:pt>
                <c:pt idx="227">
                  <c:v>96.857699999999994</c:v>
                </c:pt>
                <c:pt idx="228">
                  <c:v>96.857699999999994</c:v>
                </c:pt>
                <c:pt idx="229">
                  <c:v>97.312600000000003</c:v>
                </c:pt>
                <c:pt idx="230">
                  <c:v>97.419399999999996</c:v>
                </c:pt>
                <c:pt idx="231">
                  <c:v>97.903099999999995</c:v>
                </c:pt>
                <c:pt idx="232">
                  <c:v>98.513199999999998</c:v>
                </c:pt>
                <c:pt idx="233">
                  <c:v>98.513199999999998</c:v>
                </c:pt>
                <c:pt idx="234">
                  <c:v>98.513199999999998</c:v>
                </c:pt>
                <c:pt idx="235">
                  <c:v>99.0916</c:v>
                </c:pt>
                <c:pt idx="236">
                  <c:v>99.124700000000004</c:v>
                </c:pt>
                <c:pt idx="237">
                  <c:v>99.698300000000003</c:v>
                </c:pt>
                <c:pt idx="238">
                  <c:v>100.3396</c:v>
                </c:pt>
                <c:pt idx="239">
                  <c:v>101.0822</c:v>
                </c:pt>
                <c:pt idx="240">
                  <c:v>101.0822</c:v>
                </c:pt>
                <c:pt idx="241">
                  <c:v>101.0822</c:v>
                </c:pt>
                <c:pt idx="242">
                  <c:v>101.0822</c:v>
                </c:pt>
                <c:pt idx="243">
                  <c:v>102.157</c:v>
                </c:pt>
                <c:pt idx="244">
                  <c:v>102.8083</c:v>
                </c:pt>
                <c:pt idx="245">
                  <c:v>103.7355</c:v>
                </c:pt>
                <c:pt idx="246">
                  <c:v>104.54340000000001</c:v>
                </c:pt>
                <c:pt idx="247">
                  <c:v>104.54340000000001</c:v>
                </c:pt>
                <c:pt idx="248">
                  <c:v>104.54340000000001</c:v>
                </c:pt>
                <c:pt idx="249">
                  <c:v>105.45269999999999</c:v>
                </c:pt>
                <c:pt idx="250">
                  <c:v>105.45269999999999</c:v>
                </c:pt>
                <c:pt idx="251">
                  <c:v>105.45269999999999</c:v>
                </c:pt>
                <c:pt idx="252">
                  <c:v>106.16849999999999</c:v>
                </c:pt>
                <c:pt idx="253">
                  <c:v>106.86199999999999</c:v>
                </c:pt>
                <c:pt idx="254">
                  <c:v>106.86199999999999</c:v>
                </c:pt>
                <c:pt idx="255">
                  <c:v>106.86199999999999</c:v>
                </c:pt>
                <c:pt idx="256">
                  <c:v>107.6245</c:v>
                </c:pt>
                <c:pt idx="257">
                  <c:v>108.84229999999999</c:v>
                </c:pt>
                <c:pt idx="258">
                  <c:v>109.6352</c:v>
                </c:pt>
                <c:pt idx="259">
                  <c:v>110.4187</c:v>
                </c:pt>
                <c:pt idx="260">
                  <c:v>111.27930000000001</c:v>
                </c:pt>
                <c:pt idx="261">
                  <c:v>111.27930000000001</c:v>
                </c:pt>
                <c:pt idx="262">
                  <c:v>111.27930000000001</c:v>
                </c:pt>
                <c:pt idx="263">
                  <c:v>111.9876</c:v>
                </c:pt>
                <c:pt idx="264">
                  <c:v>112.6875</c:v>
                </c:pt>
                <c:pt idx="265">
                  <c:v>113.6083</c:v>
                </c:pt>
                <c:pt idx="266">
                  <c:v>114.2685</c:v>
                </c:pt>
                <c:pt idx="267">
                  <c:v>115.1837</c:v>
                </c:pt>
                <c:pt idx="268">
                  <c:v>115.1837</c:v>
                </c:pt>
                <c:pt idx="269">
                  <c:v>115.1837</c:v>
                </c:pt>
                <c:pt idx="270">
                  <c:v>115.6998</c:v>
                </c:pt>
                <c:pt idx="271">
                  <c:v>116.67310000000001</c:v>
                </c:pt>
                <c:pt idx="272">
                  <c:v>117.2568</c:v>
                </c:pt>
                <c:pt idx="273">
                  <c:v>118.1395</c:v>
                </c:pt>
                <c:pt idx="274">
                  <c:v>118.9957</c:v>
                </c:pt>
                <c:pt idx="275">
                  <c:v>118.9957</c:v>
                </c:pt>
                <c:pt idx="276">
                  <c:v>118.9957</c:v>
                </c:pt>
                <c:pt idx="277">
                  <c:v>119.5166</c:v>
                </c:pt>
                <c:pt idx="278">
                  <c:v>120.2734</c:v>
                </c:pt>
                <c:pt idx="279">
                  <c:v>121.1952</c:v>
                </c:pt>
                <c:pt idx="280">
                  <c:v>121.1952</c:v>
                </c:pt>
                <c:pt idx="281">
                  <c:v>122.01730000000001</c:v>
                </c:pt>
                <c:pt idx="282">
                  <c:v>122.01730000000001</c:v>
                </c:pt>
                <c:pt idx="283">
                  <c:v>122.01730000000001</c:v>
                </c:pt>
                <c:pt idx="284">
                  <c:v>122.6872</c:v>
                </c:pt>
                <c:pt idx="285">
                  <c:v>123.717</c:v>
                </c:pt>
                <c:pt idx="286">
                  <c:v>124.3546</c:v>
                </c:pt>
                <c:pt idx="287">
                  <c:v>125.2679</c:v>
                </c:pt>
                <c:pt idx="288">
                  <c:v>126.1224</c:v>
                </c:pt>
                <c:pt idx="289">
                  <c:v>126.1224</c:v>
                </c:pt>
                <c:pt idx="290">
                  <c:v>126.1224</c:v>
                </c:pt>
                <c:pt idx="291">
                  <c:v>126.9508</c:v>
                </c:pt>
                <c:pt idx="292">
                  <c:v>128.0806</c:v>
                </c:pt>
                <c:pt idx="293">
                  <c:v>128.8922</c:v>
                </c:pt>
                <c:pt idx="294">
                  <c:v>129.90260000000001</c:v>
                </c:pt>
                <c:pt idx="295">
                  <c:v>130.96019999999999</c:v>
                </c:pt>
                <c:pt idx="296">
                  <c:v>130.96019999999999</c:v>
                </c:pt>
                <c:pt idx="297">
                  <c:v>130.96019999999999</c:v>
                </c:pt>
                <c:pt idx="298">
                  <c:v>132.13720000000001</c:v>
                </c:pt>
                <c:pt idx="299">
                  <c:v>133.34899999999999</c:v>
                </c:pt>
                <c:pt idx="300">
                  <c:v>134.31309999999999</c:v>
                </c:pt>
                <c:pt idx="301">
                  <c:v>135.47040000000001</c:v>
                </c:pt>
                <c:pt idx="302">
                  <c:v>136.72200000000001</c:v>
                </c:pt>
                <c:pt idx="303">
                  <c:v>136.72200000000001</c:v>
                </c:pt>
                <c:pt idx="304">
                  <c:v>136.72200000000001</c:v>
                </c:pt>
                <c:pt idx="305">
                  <c:v>136.72200000000001</c:v>
                </c:pt>
                <c:pt idx="306">
                  <c:v>137.9556</c:v>
                </c:pt>
                <c:pt idx="307">
                  <c:v>139.22730000000001</c:v>
                </c:pt>
                <c:pt idx="308">
                  <c:v>140.48419999999999</c:v>
                </c:pt>
                <c:pt idx="309">
                  <c:v>141.70689999999999</c:v>
                </c:pt>
                <c:pt idx="310">
                  <c:v>141.70689999999999</c:v>
                </c:pt>
                <c:pt idx="311">
                  <c:v>141.70689999999999</c:v>
                </c:pt>
                <c:pt idx="312">
                  <c:v>142.85929999999999</c:v>
                </c:pt>
                <c:pt idx="313">
                  <c:v>144.1927</c:v>
                </c:pt>
                <c:pt idx="314">
                  <c:v>145.56309999999999</c:v>
                </c:pt>
                <c:pt idx="315">
                  <c:v>146.89859999999999</c:v>
                </c:pt>
                <c:pt idx="316">
                  <c:v>148.25839999999999</c:v>
                </c:pt>
                <c:pt idx="317">
                  <c:v>148.25839999999999</c:v>
                </c:pt>
                <c:pt idx="318">
                  <c:v>148.25839999999999</c:v>
                </c:pt>
                <c:pt idx="319">
                  <c:v>149.2809</c:v>
                </c:pt>
                <c:pt idx="320">
                  <c:v>150.60669999999999</c:v>
                </c:pt>
                <c:pt idx="321">
                  <c:v>151.57300000000001</c:v>
                </c:pt>
                <c:pt idx="322">
                  <c:v>152.63059999999999</c:v>
                </c:pt>
                <c:pt idx="323">
                  <c:v>153.81829999999999</c:v>
                </c:pt>
                <c:pt idx="324">
                  <c:v>153.81829999999999</c:v>
                </c:pt>
                <c:pt idx="325">
                  <c:v>153.81829999999999</c:v>
                </c:pt>
                <c:pt idx="326">
                  <c:v>154.78880000000001</c:v>
                </c:pt>
                <c:pt idx="327">
                  <c:v>156.17840000000001</c:v>
                </c:pt>
                <c:pt idx="328">
                  <c:v>157.53149999999999</c:v>
                </c:pt>
                <c:pt idx="329">
                  <c:v>158.7302</c:v>
                </c:pt>
                <c:pt idx="330">
                  <c:v>160.2473</c:v>
                </c:pt>
                <c:pt idx="331">
                  <c:v>160.2473</c:v>
                </c:pt>
                <c:pt idx="332">
                  <c:v>160.2473</c:v>
                </c:pt>
                <c:pt idx="333">
                  <c:v>160.2473</c:v>
                </c:pt>
                <c:pt idx="334">
                  <c:v>161.68559999999999</c:v>
                </c:pt>
                <c:pt idx="335">
                  <c:v>163.44280000000001</c:v>
                </c:pt>
                <c:pt idx="336">
                  <c:v>165.20330000000001</c:v>
                </c:pt>
                <c:pt idx="337">
                  <c:v>166.37520000000001</c:v>
                </c:pt>
                <c:pt idx="338">
                  <c:v>166.37520000000001</c:v>
                </c:pt>
                <c:pt idx="339">
                  <c:v>166.37520000000001</c:v>
                </c:pt>
                <c:pt idx="340">
                  <c:v>168.20519999999999</c:v>
                </c:pt>
                <c:pt idx="341">
                  <c:v>169.7636</c:v>
                </c:pt>
                <c:pt idx="342">
                  <c:v>171.631</c:v>
                </c:pt>
                <c:pt idx="343">
                  <c:v>173.5189</c:v>
                </c:pt>
                <c:pt idx="344">
                  <c:v>175.42750000000001</c:v>
                </c:pt>
                <c:pt idx="345">
                  <c:v>175.42750000000001</c:v>
                </c:pt>
                <c:pt idx="346">
                  <c:v>175.42750000000001</c:v>
                </c:pt>
                <c:pt idx="347">
                  <c:v>177.39230000000001</c:v>
                </c:pt>
                <c:pt idx="348">
                  <c:v>179.20650000000001</c:v>
                </c:pt>
                <c:pt idx="349">
                  <c:v>181.0771</c:v>
                </c:pt>
                <c:pt idx="350">
                  <c:v>182.90799999999999</c:v>
                </c:pt>
                <c:pt idx="351">
                  <c:v>185.16659999999999</c:v>
                </c:pt>
                <c:pt idx="352">
                  <c:v>185.16659999999999</c:v>
                </c:pt>
                <c:pt idx="353">
                  <c:v>185.16659999999999</c:v>
                </c:pt>
                <c:pt idx="354">
                  <c:v>187.05520000000001</c:v>
                </c:pt>
                <c:pt idx="355">
                  <c:v>189.02279999999999</c:v>
                </c:pt>
                <c:pt idx="356">
                  <c:v>191.12690000000001</c:v>
                </c:pt>
                <c:pt idx="357">
                  <c:v>193.05799999999999</c:v>
                </c:pt>
                <c:pt idx="358">
                  <c:v>195.005</c:v>
                </c:pt>
                <c:pt idx="359">
                  <c:v>195.005</c:v>
                </c:pt>
                <c:pt idx="360">
                  <c:v>195.005</c:v>
                </c:pt>
                <c:pt idx="361">
                  <c:v>196.999</c:v>
                </c:pt>
                <c:pt idx="362">
                  <c:v>198.85830000000001</c:v>
                </c:pt>
                <c:pt idx="363">
                  <c:v>201.21469999999999</c:v>
                </c:pt>
                <c:pt idx="364">
                  <c:v>203.4873</c:v>
                </c:pt>
                <c:pt idx="365" formatCode="General">
                  <c:v>203.74199999999999</c:v>
                </c:pt>
                <c:pt idx="366" formatCode="General">
                  <c:v>203.74199999999999</c:v>
                </c:pt>
                <c:pt idx="367" formatCode="General">
                  <c:v>203.74199999999999</c:v>
                </c:pt>
                <c:pt idx="368" formatCode="General">
                  <c:v>205.6754</c:v>
                </c:pt>
                <c:pt idx="369" formatCode="General">
                  <c:v>207.8938</c:v>
                </c:pt>
                <c:pt idx="370" formatCode="General">
                  <c:v>210.2825</c:v>
                </c:pt>
                <c:pt idx="371" formatCode="General">
                  <c:v>212.48</c:v>
                </c:pt>
                <c:pt idx="372" formatCode="General">
                  <c:v>214.41900000000001</c:v>
                </c:pt>
                <c:pt idx="373" formatCode="General">
                  <c:v>214.41900000000001</c:v>
                </c:pt>
                <c:pt idx="374" formatCode="General">
                  <c:v>214.41900000000001</c:v>
                </c:pt>
                <c:pt idx="375" formatCode="General">
                  <c:v>216.37139999999999</c:v>
                </c:pt>
                <c:pt idx="376" formatCode="General">
                  <c:v>218.17</c:v>
                </c:pt>
                <c:pt idx="377" formatCode="General">
                  <c:v>219.87370000000001</c:v>
                </c:pt>
                <c:pt idx="378" formatCode="General">
                  <c:v>221.74379999999999</c:v>
                </c:pt>
                <c:pt idx="379" formatCode="General">
                  <c:v>223.64590000000001</c:v>
                </c:pt>
                <c:pt idx="380" formatCode="General">
                  <c:v>223.64590000000001</c:v>
                </c:pt>
                <c:pt idx="381" formatCode="General">
                  <c:v>223.64590000000001</c:v>
                </c:pt>
                <c:pt idx="382" formatCode="General">
                  <c:v>223.9622</c:v>
                </c:pt>
                <c:pt idx="383" formatCode="General">
                  <c:v>224.37620000000001</c:v>
                </c:pt>
                <c:pt idx="384" formatCode="General">
                  <c:v>226.13050000000001</c:v>
                </c:pt>
                <c:pt idx="385" formatCode="General">
                  <c:v>227.55670000000001</c:v>
                </c:pt>
                <c:pt idx="386" formatCode="General">
                  <c:v>228.4796</c:v>
                </c:pt>
                <c:pt idx="387" formatCode="General">
                  <c:v>228.4796</c:v>
                </c:pt>
                <c:pt idx="388" formatCode="General">
                  <c:v>228.4796</c:v>
                </c:pt>
                <c:pt idx="389" formatCode="General">
                  <c:v>231.0462</c:v>
                </c:pt>
                <c:pt idx="390" formatCode="General">
                  <c:v>231.09379999999999</c:v>
                </c:pt>
                <c:pt idx="391" formatCode="General">
                  <c:v>233.04580000000001</c:v>
                </c:pt>
                <c:pt idx="392" formatCode="General">
                  <c:v>233.55760000000001</c:v>
                </c:pt>
                <c:pt idx="393" formatCode="General">
                  <c:v>234.8715</c:v>
                </c:pt>
                <c:pt idx="394" formatCode="General">
                  <c:v>234.8715</c:v>
                </c:pt>
                <c:pt idx="395" formatCode="General">
                  <c:v>234.8715</c:v>
                </c:pt>
                <c:pt idx="396" formatCode="General">
                  <c:v>236.46010000000001</c:v>
                </c:pt>
                <c:pt idx="397" formatCode="General">
                  <c:v>236.8389</c:v>
                </c:pt>
                <c:pt idx="398" formatCode="General">
                  <c:v>237.75049999999999</c:v>
                </c:pt>
                <c:pt idx="399" formatCode="General">
                  <c:v>240.32089999999999</c:v>
                </c:pt>
                <c:pt idx="400" formatCode="General">
                  <c:v>241.578</c:v>
                </c:pt>
                <c:pt idx="401" formatCode="General">
                  <c:v>241.578</c:v>
                </c:pt>
                <c:pt idx="402" formatCode="General">
                  <c:v>241.578</c:v>
                </c:pt>
                <c:pt idx="403" formatCode="General">
                  <c:v>241.578</c:v>
                </c:pt>
                <c:pt idx="404" formatCode="General">
                  <c:v>243.1105</c:v>
                </c:pt>
                <c:pt idx="405" formatCode="General">
                  <c:v>243.5727</c:v>
                </c:pt>
                <c:pt idx="406" formatCode="General">
                  <c:v>244.65039999999999</c:v>
                </c:pt>
                <c:pt idx="407" formatCode="General">
                  <c:v>245.66970000000001</c:v>
                </c:pt>
                <c:pt idx="408" formatCode="General">
                  <c:v>245.66970000000001</c:v>
                </c:pt>
                <c:pt idx="409" formatCode="General">
                  <c:v>245.66970000000001</c:v>
                </c:pt>
                <c:pt idx="410" formatCode="General">
                  <c:v>247.30029999999999</c:v>
                </c:pt>
                <c:pt idx="411" formatCode="General">
                  <c:v>247.40710000000001</c:v>
                </c:pt>
                <c:pt idx="412" formatCode="General">
                  <c:v>249.19890000000001</c:v>
                </c:pt>
                <c:pt idx="413" formatCode="General">
                  <c:v>251.88669999999999</c:v>
                </c:pt>
                <c:pt idx="414" formatCode="General">
                  <c:v>254.87049999999999</c:v>
                </c:pt>
                <c:pt idx="415" formatCode="General">
                  <c:v>254.87049999999999</c:v>
                </c:pt>
                <c:pt idx="416" formatCode="General">
                  <c:v>254.87049999999999</c:v>
                </c:pt>
                <c:pt idx="417" formatCode="General">
                  <c:v>254.87049999999999</c:v>
                </c:pt>
                <c:pt idx="418" formatCode="General">
                  <c:v>257.92869999999999</c:v>
                </c:pt>
                <c:pt idx="419" formatCode="General">
                  <c:v>262.10359999999997</c:v>
                </c:pt>
                <c:pt idx="420" formatCode="General">
                  <c:v>265.06619999999998</c:v>
                </c:pt>
                <c:pt idx="421" formatCode="General">
                  <c:v>267.74990000000003</c:v>
                </c:pt>
                <c:pt idx="422" formatCode="General">
                  <c:v>267.74990000000003</c:v>
                </c:pt>
                <c:pt idx="423" formatCode="General">
                  <c:v>267.74990000000003</c:v>
                </c:pt>
                <c:pt idx="424" formatCode="General">
                  <c:v>270.78930000000003</c:v>
                </c:pt>
                <c:pt idx="425" formatCode="General">
                  <c:v>273.58609999999999</c:v>
                </c:pt>
                <c:pt idx="426" formatCode="General">
                  <c:v>276.57690000000002</c:v>
                </c:pt>
                <c:pt idx="427" formatCode="General">
                  <c:v>279.56290000000001</c:v>
                </c:pt>
                <c:pt idx="428" formatCode="General">
                  <c:v>282.51280000000003</c:v>
                </c:pt>
                <c:pt idx="429" formatCode="General">
                  <c:v>282.51280000000003</c:v>
                </c:pt>
                <c:pt idx="430" formatCode="General">
                  <c:v>282.51280000000003</c:v>
                </c:pt>
                <c:pt idx="431" formatCode="General">
                  <c:v>285.4024</c:v>
                </c:pt>
                <c:pt idx="432" formatCode="General">
                  <c:v>288.44940000000003</c:v>
                </c:pt>
                <c:pt idx="433" formatCode="General">
                  <c:v>288.44940000000003</c:v>
                </c:pt>
                <c:pt idx="434" formatCode="General">
                  <c:v>288.44940000000003</c:v>
                </c:pt>
                <c:pt idx="435" formatCode="General">
                  <c:v>291.35239999999999</c:v>
                </c:pt>
                <c:pt idx="436" formatCode="General">
                  <c:v>291.35239999999999</c:v>
                </c:pt>
                <c:pt idx="437" formatCode="General">
                  <c:v>291.35239999999999</c:v>
                </c:pt>
                <c:pt idx="438" formatCode="General">
                  <c:v>294.9699</c:v>
                </c:pt>
                <c:pt idx="439" formatCode="General">
                  <c:v>298.1431</c:v>
                </c:pt>
                <c:pt idx="440" formatCode="General">
                  <c:v>298.1431</c:v>
                </c:pt>
                <c:pt idx="441" formatCode="General">
                  <c:v>298.1431</c:v>
                </c:pt>
                <c:pt idx="442" formatCode="General">
                  <c:v>301.37090000000001</c:v>
                </c:pt>
                <c:pt idx="443" formatCode="General">
                  <c:v>301.37090000000001</c:v>
                </c:pt>
                <c:pt idx="444" formatCode="General">
                  <c:v>301.37090000000001</c:v>
                </c:pt>
                <c:pt idx="445" formatCode="General">
                  <c:v>304.67959999999999</c:v>
                </c:pt>
                <c:pt idx="446" formatCode="General">
                  <c:v>308.15460000000002</c:v>
                </c:pt>
                <c:pt idx="447" formatCode="General">
                  <c:v>311.88139999999999</c:v>
                </c:pt>
                <c:pt idx="448" formatCode="General">
                  <c:v>321.03230000000002</c:v>
                </c:pt>
                <c:pt idx="449" formatCode="General">
                  <c:v>325.38940000000002</c:v>
                </c:pt>
                <c:pt idx="450" formatCode="General">
                  <c:v>325.38940000000002</c:v>
                </c:pt>
                <c:pt idx="451" formatCode="General">
                  <c:v>325.38940000000002</c:v>
                </c:pt>
                <c:pt idx="452" formatCode="General">
                  <c:v>325.38940000000002</c:v>
                </c:pt>
                <c:pt idx="453" formatCode="General">
                  <c:v>330.37509999999997</c:v>
                </c:pt>
                <c:pt idx="454" formatCode="General">
                  <c:v>336.45960000000002</c:v>
                </c:pt>
                <c:pt idx="455" formatCode="General">
                  <c:v>339.14949999999999</c:v>
                </c:pt>
                <c:pt idx="456" formatCode="General">
                  <c:v>341.74250000000001</c:v>
                </c:pt>
                <c:pt idx="457" formatCode="General">
                  <c:v>341.74250000000001</c:v>
                </c:pt>
                <c:pt idx="458" formatCode="General">
                  <c:v>341.74250000000001</c:v>
                </c:pt>
                <c:pt idx="459" formatCode="General">
                  <c:v>341.74250000000001</c:v>
                </c:pt>
                <c:pt idx="460" formatCode="General">
                  <c:v>344.50709999999998</c:v>
                </c:pt>
                <c:pt idx="461" formatCode="General">
                  <c:v>347.26310000000001</c:v>
                </c:pt>
                <c:pt idx="462" formatCode="General">
                  <c:v>349.92720000000003</c:v>
                </c:pt>
                <c:pt idx="463" formatCode="General">
                  <c:v>352.7063</c:v>
                </c:pt>
                <c:pt idx="464" formatCode="General">
                  <c:v>352.7063</c:v>
                </c:pt>
                <c:pt idx="465" formatCode="General">
                  <c:v>352.7063</c:v>
                </c:pt>
                <c:pt idx="466" formatCode="General">
                  <c:v>355.55279999999999</c:v>
                </c:pt>
                <c:pt idx="467" formatCode="General">
                  <c:v>358.92469999999997</c:v>
                </c:pt>
                <c:pt idx="468" formatCode="General">
                  <c:v>361.49059999999997</c:v>
                </c:pt>
                <c:pt idx="469" formatCode="General">
                  <c:v>363.66230000000002</c:v>
                </c:pt>
                <c:pt idx="470" formatCode="General">
                  <c:v>367.30689999999998</c:v>
                </c:pt>
                <c:pt idx="471" formatCode="General">
                  <c:v>367.30689999999998</c:v>
                </c:pt>
                <c:pt idx="472" formatCode="General">
                  <c:v>367.30689999999998</c:v>
                </c:pt>
                <c:pt idx="473" formatCode="General">
                  <c:v>370.25439999999998</c:v>
                </c:pt>
                <c:pt idx="474" formatCode="General">
                  <c:v>372.10570000000001</c:v>
                </c:pt>
                <c:pt idx="475" formatCode="General">
                  <c:v>375.08249999999998</c:v>
                </c:pt>
                <c:pt idx="476" formatCode="General">
                  <c:v>378.45819999999998</c:v>
                </c:pt>
                <c:pt idx="477" formatCode="General">
                  <c:v>381.10739999999998</c:v>
                </c:pt>
                <c:pt idx="478" formatCode="General">
                  <c:v>381.10739999999998</c:v>
                </c:pt>
                <c:pt idx="479" formatCode="General">
                  <c:v>381.10739999999998</c:v>
                </c:pt>
                <c:pt idx="480" formatCode="General">
                  <c:v>382.6318</c:v>
                </c:pt>
                <c:pt idx="481" formatCode="General">
                  <c:v>385.27199999999999</c:v>
                </c:pt>
                <c:pt idx="482" formatCode="General">
                  <c:v>388.73939999999999</c:v>
                </c:pt>
                <c:pt idx="483" formatCode="General">
                  <c:v>390.2944</c:v>
                </c:pt>
                <c:pt idx="484" formatCode="General">
                  <c:v>393.22160000000002</c:v>
                </c:pt>
                <c:pt idx="485" formatCode="General">
                  <c:v>393.22160000000002</c:v>
                </c:pt>
                <c:pt idx="486" formatCode="General">
                  <c:v>393.22160000000002</c:v>
                </c:pt>
                <c:pt idx="487" formatCode="General">
                  <c:v>393.22160000000002</c:v>
                </c:pt>
                <c:pt idx="488" formatCode="General">
                  <c:v>393.22160000000002</c:v>
                </c:pt>
                <c:pt idx="489" formatCode="General">
                  <c:v>396.36739999999998</c:v>
                </c:pt>
                <c:pt idx="490" formatCode="General">
                  <c:v>398.74560000000002</c:v>
                </c:pt>
                <c:pt idx="491" formatCode="General">
                  <c:v>402.33429999999998</c:v>
                </c:pt>
                <c:pt idx="492" formatCode="General">
                  <c:v>402.33429999999998</c:v>
                </c:pt>
                <c:pt idx="493" formatCode="General">
                  <c:v>402.33429999999998</c:v>
                </c:pt>
                <c:pt idx="494" formatCode="General">
                  <c:v>405.35180000000003</c:v>
                </c:pt>
                <c:pt idx="495" formatCode="General">
                  <c:v>407.37860000000001</c:v>
                </c:pt>
                <c:pt idx="496" formatCode="General">
                  <c:v>411.08569999999997</c:v>
                </c:pt>
                <c:pt idx="497" formatCode="General">
                  <c:v>414.0455</c:v>
                </c:pt>
                <c:pt idx="498" formatCode="General">
                  <c:v>417.35789999999997</c:v>
                </c:pt>
                <c:pt idx="499" formatCode="General">
                  <c:v>417.35789999999997</c:v>
                </c:pt>
                <c:pt idx="500" formatCode="General">
                  <c:v>417.35789999999997</c:v>
                </c:pt>
                <c:pt idx="501" formatCode="General">
                  <c:v>419.9873</c:v>
                </c:pt>
                <c:pt idx="502" formatCode="General">
                  <c:v>421.87720000000002</c:v>
                </c:pt>
                <c:pt idx="503" formatCode="General">
                  <c:v>425.67410000000001</c:v>
                </c:pt>
                <c:pt idx="504" formatCode="General">
                  <c:v>427.93020000000001</c:v>
                </c:pt>
                <c:pt idx="505" formatCode="General">
                  <c:v>431.01130000000001</c:v>
                </c:pt>
                <c:pt idx="506" formatCode="General">
                  <c:v>431.01130000000001</c:v>
                </c:pt>
                <c:pt idx="507" formatCode="General">
                  <c:v>431.01130000000001</c:v>
                </c:pt>
                <c:pt idx="508" formatCode="General">
                  <c:v>433.16640000000001</c:v>
                </c:pt>
                <c:pt idx="509" formatCode="General">
                  <c:v>436.24189999999999</c:v>
                </c:pt>
                <c:pt idx="510" formatCode="General">
                  <c:v>438.20499999999998</c:v>
                </c:pt>
                <c:pt idx="511" formatCode="General">
                  <c:v>440.96570000000003</c:v>
                </c:pt>
                <c:pt idx="512" formatCode="General">
                  <c:v>443.25869999999998</c:v>
                </c:pt>
                <c:pt idx="513" formatCode="General">
                  <c:v>443.25869999999998</c:v>
                </c:pt>
                <c:pt idx="514" formatCode="General">
                  <c:v>443.25869999999998</c:v>
                </c:pt>
                <c:pt idx="515" formatCode="General">
                  <c:v>446.8048</c:v>
                </c:pt>
                <c:pt idx="516" formatCode="General">
                  <c:v>448.36860000000001</c:v>
                </c:pt>
                <c:pt idx="517" formatCode="General">
                  <c:v>451.50720000000001</c:v>
                </c:pt>
                <c:pt idx="518" formatCode="General">
                  <c:v>451.50720000000001</c:v>
                </c:pt>
                <c:pt idx="519" formatCode="General">
                  <c:v>455.25470000000001</c:v>
                </c:pt>
                <c:pt idx="520" formatCode="General">
                  <c:v>455.25470000000001</c:v>
                </c:pt>
                <c:pt idx="521" formatCode="General">
                  <c:v>455.25470000000001</c:v>
                </c:pt>
                <c:pt idx="522" formatCode="General">
                  <c:v>457.07569999999998</c:v>
                </c:pt>
                <c:pt idx="523" formatCode="General">
                  <c:v>459.45249999999999</c:v>
                </c:pt>
                <c:pt idx="524" formatCode="General">
                  <c:v>462.6687</c:v>
                </c:pt>
                <c:pt idx="525" formatCode="General">
                  <c:v>466.60140000000001</c:v>
                </c:pt>
                <c:pt idx="526" formatCode="General">
                  <c:v>468.5145</c:v>
                </c:pt>
                <c:pt idx="527" formatCode="General">
                  <c:v>468.5145</c:v>
                </c:pt>
                <c:pt idx="528" formatCode="General">
                  <c:v>468.5145</c:v>
                </c:pt>
                <c:pt idx="529" formatCode="General">
                  <c:v>471.7004</c:v>
                </c:pt>
                <c:pt idx="530" formatCode="General">
                  <c:v>473.87020000000001</c:v>
                </c:pt>
                <c:pt idx="531" formatCode="General">
                  <c:v>473.91759999999999</c:v>
                </c:pt>
                <c:pt idx="532" formatCode="General">
                  <c:v>473.91759999999999</c:v>
                </c:pt>
                <c:pt idx="533" formatCode="General">
                  <c:v>473.91759999999999</c:v>
                </c:pt>
                <c:pt idx="534" formatCode="General">
                  <c:v>473.91759999999999</c:v>
                </c:pt>
                <c:pt idx="535" formatCode="General">
                  <c:v>473.91759999999999</c:v>
                </c:pt>
                <c:pt idx="536" formatCode="General">
                  <c:v>474.0598</c:v>
                </c:pt>
                <c:pt idx="537" formatCode="General">
                  <c:v>474.53379999999999</c:v>
                </c:pt>
                <c:pt idx="538" formatCode="General">
                  <c:v>475.00830000000002</c:v>
                </c:pt>
                <c:pt idx="539" formatCode="General">
                  <c:v>475.95830000000001</c:v>
                </c:pt>
                <c:pt idx="540" formatCode="General">
                  <c:v>476.43419999999998</c:v>
                </c:pt>
                <c:pt idx="541" formatCode="General">
                  <c:v>476.43419999999998</c:v>
                </c:pt>
                <c:pt idx="542" formatCode="General">
                  <c:v>476.43419999999998</c:v>
                </c:pt>
                <c:pt idx="543" formatCode="General">
                  <c:v>477.14879999999999</c:v>
                </c:pt>
                <c:pt idx="544" formatCode="General">
                  <c:v>477.6259</c:v>
                </c:pt>
                <c:pt idx="545" formatCode="General">
                  <c:v>478.58109999999999</c:v>
                </c:pt>
                <c:pt idx="546" formatCode="General">
                  <c:v>479.77749999999997</c:v>
                </c:pt>
                <c:pt idx="547" formatCode="General">
                  <c:v>480.25720000000001</c:v>
                </c:pt>
                <c:pt idx="548" formatCode="General">
                  <c:v>480.25720000000001</c:v>
                </c:pt>
                <c:pt idx="549" formatCode="General">
                  <c:v>480.25720000000001</c:v>
                </c:pt>
                <c:pt idx="550" formatCode="General">
                  <c:v>481.21769999999998</c:v>
                </c:pt>
                <c:pt idx="551" formatCode="General">
                  <c:v>481.69889999999998</c:v>
                </c:pt>
                <c:pt idx="552" formatCode="General">
                  <c:v>482.7586</c:v>
                </c:pt>
                <c:pt idx="553" formatCode="General">
                  <c:v>483.33789999999999</c:v>
                </c:pt>
                <c:pt idx="554" formatCode="General">
                  <c:v>483.86950000000002</c:v>
                </c:pt>
                <c:pt idx="555" formatCode="General">
                  <c:v>483.86950000000002</c:v>
                </c:pt>
                <c:pt idx="556" formatCode="General">
                  <c:v>483.86950000000002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6-4CA3-B803-2F2A79525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414279"/>
        <c:axId val="1198318087"/>
      </c:lineChart>
      <c:dateAx>
        <c:axId val="1023414279"/>
        <c:scaling>
          <c:orientation val="minMax"/>
        </c:scaling>
        <c:delete val="0"/>
        <c:axPos val="b"/>
        <c:numFmt formatCode="[$-C0A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98318087"/>
        <c:crosses val="autoZero"/>
        <c:auto val="1"/>
        <c:lblOffset val="100"/>
        <c:baseTimeUnit val="days"/>
      </c:dateAx>
      <c:valAx>
        <c:axId val="1198318087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2341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VE" b="1">
                <a:solidFill>
                  <a:schemeClr val="tx1"/>
                </a:solidFill>
              </a:rPr>
              <a:t>Comportamiento de</a:t>
            </a:r>
            <a:r>
              <a:rPr lang="es-VE" b="1" baseline="0">
                <a:solidFill>
                  <a:schemeClr val="tx1"/>
                </a:solidFill>
              </a:rPr>
              <a:t> la brecha entre las tasas de cambio</a:t>
            </a:r>
          </a:p>
          <a:p>
            <a:pPr>
              <a:defRPr b="1">
                <a:solidFill>
                  <a:schemeClr val="tx1"/>
                </a:solidFill>
              </a:defRPr>
            </a:pPr>
            <a:r>
              <a:rPr lang="es-VE" b="1" baseline="0">
                <a:solidFill>
                  <a:schemeClr val="tx1"/>
                </a:solidFill>
              </a:rPr>
              <a:t>BCV vs USDT (Pago Móvil)</a:t>
            </a:r>
            <a:endParaRPr lang="es-V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'Tasa_BCVUSDT Grafico1'!$G$2</c:f>
              <c:strCache>
                <c:ptCount val="1"/>
                <c:pt idx="0">
                  <c:v>BRECHA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'Tasa_BCVUSDT Grafico1'!$B$3:$B$563</c:f>
              <c:numCache>
                <c:formatCode>m/d/yyyy</c:formatCode>
                <c:ptCount val="561"/>
                <c:pt idx="0">
                  <c:v>45582</c:v>
                </c:pt>
                <c:pt idx="1">
                  <c:v>45583</c:v>
                </c:pt>
                <c:pt idx="2">
                  <c:v>45584</c:v>
                </c:pt>
                <c:pt idx="3">
                  <c:v>45585</c:v>
                </c:pt>
                <c:pt idx="4">
                  <c:v>45586</c:v>
                </c:pt>
                <c:pt idx="5">
                  <c:v>45587</c:v>
                </c:pt>
                <c:pt idx="6">
                  <c:v>45588</c:v>
                </c:pt>
                <c:pt idx="7">
                  <c:v>45589</c:v>
                </c:pt>
                <c:pt idx="8">
                  <c:v>45590</c:v>
                </c:pt>
                <c:pt idx="9">
                  <c:v>45591</c:v>
                </c:pt>
                <c:pt idx="10">
                  <c:v>45592</c:v>
                </c:pt>
                <c:pt idx="11">
                  <c:v>45593</c:v>
                </c:pt>
                <c:pt idx="12">
                  <c:v>45594</c:v>
                </c:pt>
                <c:pt idx="13">
                  <c:v>45595</c:v>
                </c:pt>
                <c:pt idx="14">
                  <c:v>45596</c:v>
                </c:pt>
                <c:pt idx="15">
                  <c:v>45597</c:v>
                </c:pt>
                <c:pt idx="16">
                  <c:v>45598</c:v>
                </c:pt>
                <c:pt idx="17">
                  <c:v>45599</c:v>
                </c:pt>
                <c:pt idx="18">
                  <c:v>45600</c:v>
                </c:pt>
                <c:pt idx="19">
                  <c:v>45601</c:v>
                </c:pt>
                <c:pt idx="20">
                  <c:v>45602</c:v>
                </c:pt>
                <c:pt idx="21">
                  <c:v>45603</c:v>
                </c:pt>
                <c:pt idx="22">
                  <c:v>45604</c:v>
                </c:pt>
                <c:pt idx="23">
                  <c:v>45605</c:v>
                </c:pt>
                <c:pt idx="24">
                  <c:v>45606</c:v>
                </c:pt>
                <c:pt idx="25">
                  <c:v>45607</c:v>
                </c:pt>
                <c:pt idx="26">
                  <c:v>45608</c:v>
                </c:pt>
                <c:pt idx="27">
                  <c:v>45609</c:v>
                </c:pt>
                <c:pt idx="28">
                  <c:v>45610</c:v>
                </c:pt>
                <c:pt idx="29">
                  <c:v>45611</c:v>
                </c:pt>
                <c:pt idx="30">
                  <c:v>45612</c:v>
                </c:pt>
                <c:pt idx="31">
                  <c:v>45613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45619</c:v>
                </c:pt>
                <c:pt idx="38">
                  <c:v>45620</c:v>
                </c:pt>
                <c:pt idx="39">
                  <c:v>45621</c:v>
                </c:pt>
                <c:pt idx="40">
                  <c:v>45622</c:v>
                </c:pt>
                <c:pt idx="41">
                  <c:v>45623</c:v>
                </c:pt>
                <c:pt idx="42">
                  <c:v>45624</c:v>
                </c:pt>
                <c:pt idx="43">
                  <c:v>45625</c:v>
                </c:pt>
                <c:pt idx="44">
                  <c:v>45626</c:v>
                </c:pt>
                <c:pt idx="45">
                  <c:v>45627</c:v>
                </c:pt>
                <c:pt idx="46">
                  <c:v>45628</c:v>
                </c:pt>
                <c:pt idx="47">
                  <c:v>45629</c:v>
                </c:pt>
                <c:pt idx="48">
                  <c:v>45630</c:v>
                </c:pt>
                <c:pt idx="49">
                  <c:v>45631</c:v>
                </c:pt>
                <c:pt idx="50">
                  <c:v>45632</c:v>
                </c:pt>
                <c:pt idx="51">
                  <c:v>45633</c:v>
                </c:pt>
                <c:pt idx="52">
                  <c:v>45634</c:v>
                </c:pt>
                <c:pt idx="53">
                  <c:v>45635</c:v>
                </c:pt>
                <c:pt idx="54">
                  <c:v>45636</c:v>
                </c:pt>
                <c:pt idx="55">
                  <c:v>45637</c:v>
                </c:pt>
                <c:pt idx="56">
                  <c:v>45638</c:v>
                </c:pt>
                <c:pt idx="57">
                  <c:v>45639</c:v>
                </c:pt>
                <c:pt idx="58">
                  <c:v>45640</c:v>
                </c:pt>
                <c:pt idx="59">
                  <c:v>45641</c:v>
                </c:pt>
                <c:pt idx="60">
                  <c:v>45642</c:v>
                </c:pt>
                <c:pt idx="61">
                  <c:v>45643</c:v>
                </c:pt>
                <c:pt idx="62">
                  <c:v>45644</c:v>
                </c:pt>
                <c:pt idx="63">
                  <c:v>45645</c:v>
                </c:pt>
                <c:pt idx="64">
                  <c:v>45646</c:v>
                </c:pt>
                <c:pt idx="65">
                  <c:v>45647</c:v>
                </c:pt>
                <c:pt idx="66">
                  <c:v>45648</c:v>
                </c:pt>
                <c:pt idx="67">
                  <c:v>45649</c:v>
                </c:pt>
                <c:pt idx="68">
                  <c:v>45650</c:v>
                </c:pt>
                <c:pt idx="69">
                  <c:v>45651</c:v>
                </c:pt>
                <c:pt idx="70">
                  <c:v>45652</c:v>
                </c:pt>
                <c:pt idx="71">
                  <c:v>45653</c:v>
                </c:pt>
                <c:pt idx="72">
                  <c:v>45654</c:v>
                </c:pt>
                <c:pt idx="73">
                  <c:v>45655</c:v>
                </c:pt>
                <c:pt idx="74">
                  <c:v>45656</c:v>
                </c:pt>
                <c:pt idx="75">
                  <c:v>45657</c:v>
                </c:pt>
                <c:pt idx="76">
                  <c:v>45658</c:v>
                </c:pt>
                <c:pt idx="77">
                  <c:v>45659</c:v>
                </c:pt>
                <c:pt idx="78">
                  <c:v>45660</c:v>
                </c:pt>
                <c:pt idx="79">
                  <c:v>45661</c:v>
                </c:pt>
                <c:pt idx="80">
                  <c:v>45662</c:v>
                </c:pt>
                <c:pt idx="81">
                  <c:v>45663</c:v>
                </c:pt>
                <c:pt idx="82">
                  <c:v>45664</c:v>
                </c:pt>
                <c:pt idx="83">
                  <c:v>45665</c:v>
                </c:pt>
                <c:pt idx="84">
                  <c:v>45666</c:v>
                </c:pt>
                <c:pt idx="85">
                  <c:v>45667</c:v>
                </c:pt>
                <c:pt idx="86">
                  <c:v>45668</c:v>
                </c:pt>
                <c:pt idx="87">
                  <c:v>45669</c:v>
                </c:pt>
                <c:pt idx="88">
                  <c:v>45670</c:v>
                </c:pt>
                <c:pt idx="89">
                  <c:v>45671</c:v>
                </c:pt>
                <c:pt idx="90">
                  <c:v>45672</c:v>
                </c:pt>
                <c:pt idx="91">
                  <c:v>45673</c:v>
                </c:pt>
                <c:pt idx="92">
                  <c:v>45674</c:v>
                </c:pt>
                <c:pt idx="93">
                  <c:v>45675</c:v>
                </c:pt>
                <c:pt idx="94">
                  <c:v>45676</c:v>
                </c:pt>
                <c:pt idx="95">
                  <c:v>45677</c:v>
                </c:pt>
                <c:pt idx="96">
                  <c:v>45678</c:v>
                </c:pt>
                <c:pt idx="97">
                  <c:v>45679</c:v>
                </c:pt>
                <c:pt idx="98">
                  <c:v>45680</c:v>
                </c:pt>
                <c:pt idx="99">
                  <c:v>45681</c:v>
                </c:pt>
                <c:pt idx="100">
                  <c:v>45682</c:v>
                </c:pt>
                <c:pt idx="101">
                  <c:v>45683</c:v>
                </c:pt>
                <c:pt idx="102">
                  <c:v>45684</c:v>
                </c:pt>
                <c:pt idx="103">
                  <c:v>45685</c:v>
                </c:pt>
                <c:pt idx="104">
                  <c:v>45686</c:v>
                </c:pt>
                <c:pt idx="105">
                  <c:v>45687</c:v>
                </c:pt>
                <c:pt idx="106">
                  <c:v>45688</c:v>
                </c:pt>
                <c:pt idx="107">
                  <c:v>45689</c:v>
                </c:pt>
                <c:pt idx="108">
                  <c:v>45690</c:v>
                </c:pt>
                <c:pt idx="109">
                  <c:v>45691</c:v>
                </c:pt>
                <c:pt idx="110">
                  <c:v>45692</c:v>
                </c:pt>
                <c:pt idx="111">
                  <c:v>45693</c:v>
                </c:pt>
                <c:pt idx="112">
                  <c:v>45694</c:v>
                </c:pt>
                <c:pt idx="113">
                  <c:v>45695</c:v>
                </c:pt>
                <c:pt idx="114">
                  <c:v>45696</c:v>
                </c:pt>
                <c:pt idx="115">
                  <c:v>45697</c:v>
                </c:pt>
                <c:pt idx="116">
                  <c:v>45698</c:v>
                </c:pt>
                <c:pt idx="117">
                  <c:v>45699</c:v>
                </c:pt>
                <c:pt idx="118">
                  <c:v>45700</c:v>
                </c:pt>
                <c:pt idx="119">
                  <c:v>45701</c:v>
                </c:pt>
                <c:pt idx="120">
                  <c:v>45702</c:v>
                </c:pt>
                <c:pt idx="121">
                  <c:v>45703</c:v>
                </c:pt>
                <c:pt idx="122">
                  <c:v>45704</c:v>
                </c:pt>
                <c:pt idx="123">
                  <c:v>45705</c:v>
                </c:pt>
                <c:pt idx="124">
                  <c:v>45706</c:v>
                </c:pt>
                <c:pt idx="125">
                  <c:v>45707</c:v>
                </c:pt>
                <c:pt idx="126">
                  <c:v>45708</c:v>
                </c:pt>
                <c:pt idx="127">
                  <c:v>45709</c:v>
                </c:pt>
                <c:pt idx="128">
                  <c:v>45710</c:v>
                </c:pt>
                <c:pt idx="129">
                  <c:v>45711</c:v>
                </c:pt>
                <c:pt idx="130">
                  <c:v>45712</c:v>
                </c:pt>
                <c:pt idx="131">
                  <c:v>45713</c:v>
                </c:pt>
                <c:pt idx="132">
                  <c:v>45714</c:v>
                </c:pt>
                <c:pt idx="133">
                  <c:v>45715</c:v>
                </c:pt>
                <c:pt idx="134">
                  <c:v>45716</c:v>
                </c:pt>
                <c:pt idx="135">
                  <c:v>45717</c:v>
                </c:pt>
                <c:pt idx="136">
                  <c:v>45718</c:v>
                </c:pt>
                <c:pt idx="137">
                  <c:v>45719</c:v>
                </c:pt>
                <c:pt idx="138">
                  <c:v>45720</c:v>
                </c:pt>
                <c:pt idx="139">
                  <c:v>45721</c:v>
                </c:pt>
                <c:pt idx="140">
                  <c:v>45722</c:v>
                </c:pt>
                <c:pt idx="141">
                  <c:v>45723</c:v>
                </c:pt>
                <c:pt idx="142">
                  <c:v>45724</c:v>
                </c:pt>
                <c:pt idx="143">
                  <c:v>45725</c:v>
                </c:pt>
                <c:pt idx="144">
                  <c:v>45726</c:v>
                </c:pt>
                <c:pt idx="145">
                  <c:v>45727</c:v>
                </c:pt>
                <c:pt idx="146">
                  <c:v>45728</c:v>
                </c:pt>
                <c:pt idx="147">
                  <c:v>45729</c:v>
                </c:pt>
                <c:pt idx="148">
                  <c:v>45730</c:v>
                </c:pt>
                <c:pt idx="149">
                  <c:v>45731</c:v>
                </c:pt>
                <c:pt idx="150">
                  <c:v>45732</c:v>
                </c:pt>
                <c:pt idx="151">
                  <c:v>45733</c:v>
                </c:pt>
                <c:pt idx="152">
                  <c:v>45734</c:v>
                </c:pt>
                <c:pt idx="153">
                  <c:v>45735</c:v>
                </c:pt>
                <c:pt idx="154">
                  <c:v>45736</c:v>
                </c:pt>
                <c:pt idx="155">
                  <c:v>45737</c:v>
                </c:pt>
                <c:pt idx="156">
                  <c:v>45738</c:v>
                </c:pt>
                <c:pt idx="157">
                  <c:v>45739</c:v>
                </c:pt>
                <c:pt idx="158">
                  <c:v>45740</c:v>
                </c:pt>
                <c:pt idx="159">
                  <c:v>45741</c:v>
                </c:pt>
                <c:pt idx="160">
                  <c:v>45742</c:v>
                </c:pt>
                <c:pt idx="161">
                  <c:v>45743</c:v>
                </c:pt>
                <c:pt idx="162">
                  <c:v>45744</c:v>
                </c:pt>
                <c:pt idx="163">
                  <c:v>45745</c:v>
                </c:pt>
                <c:pt idx="164">
                  <c:v>45746</c:v>
                </c:pt>
                <c:pt idx="165">
                  <c:v>45747</c:v>
                </c:pt>
                <c:pt idx="166">
                  <c:v>45748</c:v>
                </c:pt>
                <c:pt idx="167">
                  <c:v>45749</c:v>
                </c:pt>
                <c:pt idx="168">
                  <c:v>45750</c:v>
                </c:pt>
                <c:pt idx="169">
                  <c:v>45751</c:v>
                </c:pt>
                <c:pt idx="170">
                  <c:v>45752</c:v>
                </c:pt>
                <c:pt idx="171">
                  <c:v>45753</c:v>
                </c:pt>
                <c:pt idx="172">
                  <c:v>45754</c:v>
                </c:pt>
                <c:pt idx="173">
                  <c:v>45755</c:v>
                </c:pt>
                <c:pt idx="174">
                  <c:v>45756</c:v>
                </c:pt>
                <c:pt idx="175">
                  <c:v>45757</c:v>
                </c:pt>
                <c:pt idx="176">
                  <c:v>45758</c:v>
                </c:pt>
                <c:pt idx="177">
                  <c:v>45759</c:v>
                </c:pt>
                <c:pt idx="178">
                  <c:v>45760</c:v>
                </c:pt>
                <c:pt idx="179">
                  <c:v>45761</c:v>
                </c:pt>
                <c:pt idx="180">
                  <c:v>45762</c:v>
                </c:pt>
                <c:pt idx="181">
                  <c:v>45763</c:v>
                </c:pt>
                <c:pt idx="182">
                  <c:v>45764</c:v>
                </c:pt>
                <c:pt idx="183">
                  <c:v>45765</c:v>
                </c:pt>
                <c:pt idx="184">
                  <c:v>45766</c:v>
                </c:pt>
                <c:pt idx="185">
                  <c:v>45767</c:v>
                </c:pt>
                <c:pt idx="186">
                  <c:v>45768</c:v>
                </c:pt>
                <c:pt idx="187">
                  <c:v>45769</c:v>
                </c:pt>
                <c:pt idx="188">
                  <c:v>45770</c:v>
                </c:pt>
                <c:pt idx="189">
                  <c:v>45771</c:v>
                </c:pt>
                <c:pt idx="190">
                  <c:v>45772</c:v>
                </c:pt>
                <c:pt idx="191">
                  <c:v>45773</c:v>
                </c:pt>
                <c:pt idx="192">
                  <c:v>45774</c:v>
                </c:pt>
                <c:pt idx="193">
                  <c:v>45775</c:v>
                </c:pt>
                <c:pt idx="194">
                  <c:v>45776</c:v>
                </c:pt>
                <c:pt idx="195">
                  <c:v>45777</c:v>
                </c:pt>
                <c:pt idx="196">
                  <c:v>45778</c:v>
                </c:pt>
                <c:pt idx="197">
                  <c:v>45779</c:v>
                </c:pt>
                <c:pt idx="198">
                  <c:v>45780</c:v>
                </c:pt>
                <c:pt idx="199">
                  <c:v>45781</c:v>
                </c:pt>
                <c:pt idx="200">
                  <c:v>45782</c:v>
                </c:pt>
                <c:pt idx="201">
                  <c:v>45783</c:v>
                </c:pt>
                <c:pt idx="202">
                  <c:v>45784</c:v>
                </c:pt>
                <c:pt idx="203">
                  <c:v>45785</c:v>
                </c:pt>
                <c:pt idx="204">
                  <c:v>45786</c:v>
                </c:pt>
                <c:pt idx="205">
                  <c:v>45787</c:v>
                </c:pt>
                <c:pt idx="206">
                  <c:v>45788</c:v>
                </c:pt>
                <c:pt idx="207">
                  <c:v>45789</c:v>
                </c:pt>
                <c:pt idx="208">
                  <c:v>45790</c:v>
                </c:pt>
                <c:pt idx="209">
                  <c:v>45791</c:v>
                </c:pt>
                <c:pt idx="210">
                  <c:v>45792</c:v>
                </c:pt>
                <c:pt idx="211">
                  <c:v>45793</c:v>
                </c:pt>
                <c:pt idx="212">
                  <c:v>45794</c:v>
                </c:pt>
                <c:pt idx="213">
                  <c:v>45795</c:v>
                </c:pt>
                <c:pt idx="214">
                  <c:v>45796</c:v>
                </c:pt>
                <c:pt idx="215">
                  <c:v>45797</c:v>
                </c:pt>
                <c:pt idx="216">
                  <c:v>45798</c:v>
                </c:pt>
                <c:pt idx="217">
                  <c:v>45799</c:v>
                </c:pt>
                <c:pt idx="218">
                  <c:v>45800</c:v>
                </c:pt>
                <c:pt idx="219">
                  <c:v>45801</c:v>
                </c:pt>
                <c:pt idx="220">
                  <c:v>45802</c:v>
                </c:pt>
                <c:pt idx="221">
                  <c:v>45803</c:v>
                </c:pt>
                <c:pt idx="222">
                  <c:v>45804</c:v>
                </c:pt>
                <c:pt idx="223">
                  <c:v>45805</c:v>
                </c:pt>
                <c:pt idx="224">
                  <c:v>45806</c:v>
                </c:pt>
                <c:pt idx="225">
                  <c:v>45807</c:v>
                </c:pt>
                <c:pt idx="226">
                  <c:v>45808</c:v>
                </c:pt>
                <c:pt idx="227">
                  <c:v>45809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45815</c:v>
                </c:pt>
                <c:pt idx="234">
                  <c:v>45816</c:v>
                </c:pt>
                <c:pt idx="235">
                  <c:v>45817</c:v>
                </c:pt>
                <c:pt idx="236">
                  <c:v>45818</c:v>
                </c:pt>
                <c:pt idx="237">
                  <c:v>45819</c:v>
                </c:pt>
                <c:pt idx="238">
                  <c:v>45820</c:v>
                </c:pt>
                <c:pt idx="239">
                  <c:v>45821</c:v>
                </c:pt>
                <c:pt idx="240">
                  <c:v>45822</c:v>
                </c:pt>
                <c:pt idx="241">
                  <c:v>45823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45829</c:v>
                </c:pt>
                <c:pt idx="248">
                  <c:v>45830</c:v>
                </c:pt>
                <c:pt idx="249">
                  <c:v>45831</c:v>
                </c:pt>
                <c:pt idx="250">
                  <c:v>45832</c:v>
                </c:pt>
                <c:pt idx="251">
                  <c:v>45833</c:v>
                </c:pt>
                <c:pt idx="252">
                  <c:v>45834</c:v>
                </c:pt>
                <c:pt idx="253">
                  <c:v>45835</c:v>
                </c:pt>
                <c:pt idx="254">
                  <c:v>45836</c:v>
                </c:pt>
                <c:pt idx="255">
                  <c:v>45837</c:v>
                </c:pt>
                <c:pt idx="256">
                  <c:v>45838</c:v>
                </c:pt>
                <c:pt idx="257">
                  <c:v>45839</c:v>
                </c:pt>
                <c:pt idx="258">
                  <c:v>45840</c:v>
                </c:pt>
                <c:pt idx="259">
                  <c:v>45841</c:v>
                </c:pt>
                <c:pt idx="260">
                  <c:v>45842</c:v>
                </c:pt>
                <c:pt idx="261">
                  <c:v>45843</c:v>
                </c:pt>
                <c:pt idx="262">
                  <c:v>45844</c:v>
                </c:pt>
                <c:pt idx="263">
                  <c:v>45845</c:v>
                </c:pt>
                <c:pt idx="264">
                  <c:v>45846</c:v>
                </c:pt>
                <c:pt idx="265">
                  <c:v>45847</c:v>
                </c:pt>
                <c:pt idx="266">
                  <c:v>45848</c:v>
                </c:pt>
                <c:pt idx="267">
                  <c:v>45849</c:v>
                </c:pt>
                <c:pt idx="268">
                  <c:v>45850</c:v>
                </c:pt>
                <c:pt idx="269">
                  <c:v>45851</c:v>
                </c:pt>
                <c:pt idx="270">
                  <c:v>45852</c:v>
                </c:pt>
                <c:pt idx="271">
                  <c:v>45853</c:v>
                </c:pt>
                <c:pt idx="272">
                  <c:v>45854</c:v>
                </c:pt>
                <c:pt idx="273">
                  <c:v>45855</c:v>
                </c:pt>
                <c:pt idx="274">
                  <c:v>45856</c:v>
                </c:pt>
                <c:pt idx="275">
                  <c:v>45857</c:v>
                </c:pt>
                <c:pt idx="276">
                  <c:v>45858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45864</c:v>
                </c:pt>
                <c:pt idx="283">
                  <c:v>45865</c:v>
                </c:pt>
                <c:pt idx="284">
                  <c:v>45866</c:v>
                </c:pt>
                <c:pt idx="285">
                  <c:v>45867</c:v>
                </c:pt>
                <c:pt idx="286">
                  <c:v>45868</c:v>
                </c:pt>
                <c:pt idx="287">
                  <c:v>45869</c:v>
                </c:pt>
                <c:pt idx="288">
                  <c:v>45870</c:v>
                </c:pt>
                <c:pt idx="289">
                  <c:v>45871</c:v>
                </c:pt>
                <c:pt idx="290">
                  <c:v>45872</c:v>
                </c:pt>
                <c:pt idx="291">
                  <c:v>45873</c:v>
                </c:pt>
                <c:pt idx="292">
                  <c:v>45874</c:v>
                </c:pt>
                <c:pt idx="293">
                  <c:v>45875</c:v>
                </c:pt>
                <c:pt idx="294">
                  <c:v>45876</c:v>
                </c:pt>
                <c:pt idx="295">
                  <c:v>45877</c:v>
                </c:pt>
                <c:pt idx="296">
                  <c:v>45878</c:v>
                </c:pt>
                <c:pt idx="297">
                  <c:v>45879</c:v>
                </c:pt>
                <c:pt idx="298">
                  <c:v>45880</c:v>
                </c:pt>
                <c:pt idx="299">
                  <c:v>45881</c:v>
                </c:pt>
                <c:pt idx="300">
                  <c:v>45882</c:v>
                </c:pt>
                <c:pt idx="301">
                  <c:v>45883</c:v>
                </c:pt>
                <c:pt idx="302">
                  <c:v>45884</c:v>
                </c:pt>
                <c:pt idx="303">
                  <c:v>45885</c:v>
                </c:pt>
                <c:pt idx="304">
                  <c:v>45886</c:v>
                </c:pt>
                <c:pt idx="305">
                  <c:v>45887</c:v>
                </c:pt>
                <c:pt idx="306">
                  <c:v>45888</c:v>
                </c:pt>
                <c:pt idx="307">
                  <c:v>45889</c:v>
                </c:pt>
                <c:pt idx="308">
                  <c:v>45890</c:v>
                </c:pt>
                <c:pt idx="309">
                  <c:v>45891</c:v>
                </c:pt>
                <c:pt idx="310">
                  <c:v>45892</c:v>
                </c:pt>
                <c:pt idx="311">
                  <c:v>45893</c:v>
                </c:pt>
                <c:pt idx="312">
                  <c:v>45894</c:v>
                </c:pt>
                <c:pt idx="313">
                  <c:v>45895</c:v>
                </c:pt>
                <c:pt idx="314">
                  <c:v>45896</c:v>
                </c:pt>
                <c:pt idx="315">
                  <c:v>45897</c:v>
                </c:pt>
                <c:pt idx="316">
                  <c:v>45898</c:v>
                </c:pt>
                <c:pt idx="317">
                  <c:v>45899</c:v>
                </c:pt>
                <c:pt idx="318">
                  <c:v>45900</c:v>
                </c:pt>
                <c:pt idx="319">
                  <c:v>45901</c:v>
                </c:pt>
                <c:pt idx="320">
                  <c:v>45902</c:v>
                </c:pt>
                <c:pt idx="321">
                  <c:v>45903</c:v>
                </c:pt>
                <c:pt idx="322">
                  <c:v>45904</c:v>
                </c:pt>
                <c:pt idx="323">
                  <c:v>45905</c:v>
                </c:pt>
                <c:pt idx="324">
                  <c:v>45906</c:v>
                </c:pt>
                <c:pt idx="325">
                  <c:v>45907</c:v>
                </c:pt>
                <c:pt idx="326">
                  <c:v>45908</c:v>
                </c:pt>
                <c:pt idx="327">
                  <c:v>45909</c:v>
                </c:pt>
                <c:pt idx="328">
                  <c:v>45910</c:v>
                </c:pt>
                <c:pt idx="329">
                  <c:v>45911</c:v>
                </c:pt>
                <c:pt idx="330">
                  <c:v>45912</c:v>
                </c:pt>
                <c:pt idx="331">
                  <c:v>45913</c:v>
                </c:pt>
                <c:pt idx="332">
                  <c:v>45914</c:v>
                </c:pt>
                <c:pt idx="333">
                  <c:v>45915</c:v>
                </c:pt>
                <c:pt idx="334">
                  <c:v>45916</c:v>
                </c:pt>
                <c:pt idx="335">
                  <c:v>45917</c:v>
                </c:pt>
                <c:pt idx="336">
                  <c:v>45918</c:v>
                </c:pt>
                <c:pt idx="337">
                  <c:v>45919</c:v>
                </c:pt>
                <c:pt idx="338">
                  <c:v>45920</c:v>
                </c:pt>
                <c:pt idx="339">
                  <c:v>45921</c:v>
                </c:pt>
                <c:pt idx="340">
                  <c:v>45922</c:v>
                </c:pt>
                <c:pt idx="341">
                  <c:v>45923</c:v>
                </c:pt>
                <c:pt idx="342">
                  <c:v>45924</c:v>
                </c:pt>
                <c:pt idx="343">
                  <c:v>45925</c:v>
                </c:pt>
                <c:pt idx="344">
                  <c:v>45926</c:v>
                </c:pt>
                <c:pt idx="345">
                  <c:v>45927</c:v>
                </c:pt>
                <c:pt idx="346">
                  <c:v>45928</c:v>
                </c:pt>
                <c:pt idx="347">
                  <c:v>45929</c:v>
                </c:pt>
                <c:pt idx="348">
                  <c:v>45930</c:v>
                </c:pt>
                <c:pt idx="349">
                  <c:v>45931</c:v>
                </c:pt>
                <c:pt idx="350">
                  <c:v>45932</c:v>
                </c:pt>
                <c:pt idx="351">
                  <c:v>45933</c:v>
                </c:pt>
                <c:pt idx="352">
                  <c:v>45934</c:v>
                </c:pt>
                <c:pt idx="353">
                  <c:v>45935</c:v>
                </c:pt>
                <c:pt idx="354">
                  <c:v>45936</c:v>
                </c:pt>
                <c:pt idx="355">
                  <c:v>45937</c:v>
                </c:pt>
                <c:pt idx="356">
                  <c:v>45938</c:v>
                </c:pt>
                <c:pt idx="357">
                  <c:v>45939</c:v>
                </c:pt>
                <c:pt idx="358">
                  <c:v>45940</c:v>
                </c:pt>
                <c:pt idx="359">
                  <c:v>45941</c:v>
                </c:pt>
                <c:pt idx="360">
                  <c:v>45942</c:v>
                </c:pt>
                <c:pt idx="361">
                  <c:v>45943</c:v>
                </c:pt>
                <c:pt idx="362">
                  <c:v>45944</c:v>
                </c:pt>
                <c:pt idx="363">
                  <c:v>45945</c:v>
                </c:pt>
                <c:pt idx="364">
                  <c:v>45946</c:v>
                </c:pt>
                <c:pt idx="365">
                  <c:v>45947</c:v>
                </c:pt>
                <c:pt idx="366">
                  <c:v>45948</c:v>
                </c:pt>
                <c:pt idx="367">
                  <c:v>45949</c:v>
                </c:pt>
                <c:pt idx="368">
                  <c:v>45950</c:v>
                </c:pt>
                <c:pt idx="369">
                  <c:v>45951</c:v>
                </c:pt>
                <c:pt idx="370">
                  <c:v>45952</c:v>
                </c:pt>
                <c:pt idx="371">
                  <c:v>45953</c:v>
                </c:pt>
                <c:pt idx="372">
                  <c:v>45954</c:v>
                </c:pt>
                <c:pt idx="373">
                  <c:v>45955</c:v>
                </c:pt>
                <c:pt idx="374">
                  <c:v>45956</c:v>
                </c:pt>
                <c:pt idx="375">
                  <c:v>45957</c:v>
                </c:pt>
                <c:pt idx="376">
                  <c:v>45958</c:v>
                </c:pt>
                <c:pt idx="377">
                  <c:v>45959</c:v>
                </c:pt>
                <c:pt idx="378">
                  <c:v>45960</c:v>
                </c:pt>
                <c:pt idx="379">
                  <c:v>45961</c:v>
                </c:pt>
                <c:pt idx="380">
                  <c:v>45962</c:v>
                </c:pt>
                <c:pt idx="381">
                  <c:v>45963</c:v>
                </c:pt>
                <c:pt idx="382">
                  <c:v>45964</c:v>
                </c:pt>
                <c:pt idx="383">
                  <c:v>45965</c:v>
                </c:pt>
                <c:pt idx="384">
                  <c:v>45966</c:v>
                </c:pt>
                <c:pt idx="385">
                  <c:v>45967</c:v>
                </c:pt>
                <c:pt idx="386">
                  <c:v>45968</c:v>
                </c:pt>
                <c:pt idx="387">
                  <c:v>45969</c:v>
                </c:pt>
                <c:pt idx="388">
                  <c:v>45970</c:v>
                </c:pt>
                <c:pt idx="389">
                  <c:v>45971</c:v>
                </c:pt>
                <c:pt idx="390">
                  <c:v>45972</c:v>
                </c:pt>
                <c:pt idx="391">
                  <c:v>45973</c:v>
                </c:pt>
                <c:pt idx="392">
                  <c:v>45974</c:v>
                </c:pt>
                <c:pt idx="393">
                  <c:v>45975</c:v>
                </c:pt>
                <c:pt idx="394">
                  <c:v>45976</c:v>
                </c:pt>
                <c:pt idx="395">
                  <c:v>45977</c:v>
                </c:pt>
                <c:pt idx="396">
                  <c:v>45978</c:v>
                </c:pt>
                <c:pt idx="397">
                  <c:v>45979</c:v>
                </c:pt>
                <c:pt idx="398">
                  <c:v>45980</c:v>
                </c:pt>
                <c:pt idx="399">
                  <c:v>45981</c:v>
                </c:pt>
                <c:pt idx="400">
                  <c:v>45982</c:v>
                </c:pt>
                <c:pt idx="401">
                  <c:v>45983</c:v>
                </c:pt>
                <c:pt idx="402">
                  <c:v>45984</c:v>
                </c:pt>
                <c:pt idx="403">
                  <c:v>45985</c:v>
                </c:pt>
                <c:pt idx="404">
                  <c:v>45986</c:v>
                </c:pt>
                <c:pt idx="405">
                  <c:v>45987</c:v>
                </c:pt>
                <c:pt idx="406">
                  <c:v>45988</c:v>
                </c:pt>
                <c:pt idx="407">
                  <c:v>45989</c:v>
                </c:pt>
                <c:pt idx="408">
                  <c:v>45990</c:v>
                </c:pt>
                <c:pt idx="409">
                  <c:v>45991</c:v>
                </c:pt>
                <c:pt idx="410">
                  <c:v>45992</c:v>
                </c:pt>
                <c:pt idx="411">
                  <c:v>45993</c:v>
                </c:pt>
                <c:pt idx="412">
                  <c:v>45994</c:v>
                </c:pt>
                <c:pt idx="413">
                  <c:v>45995</c:v>
                </c:pt>
                <c:pt idx="414">
                  <c:v>45996</c:v>
                </c:pt>
                <c:pt idx="415">
                  <c:v>45997</c:v>
                </c:pt>
                <c:pt idx="416">
                  <c:v>45998</c:v>
                </c:pt>
                <c:pt idx="417">
                  <c:v>45999</c:v>
                </c:pt>
                <c:pt idx="418">
                  <c:v>46000</c:v>
                </c:pt>
                <c:pt idx="419">
                  <c:v>46001</c:v>
                </c:pt>
                <c:pt idx="420">
                  <c:v>46002</c:v>
                </c:pt>
                <c:pt idx="421">
                  <c:v>46003</c:v>
                </c:pt>
                <c:pt idx="422">
                  <c:v>46004</c:v>
                </c:pt>
                <c:pt idx="423">
                  <c:v>46005</c:v>
                </c:pt>
                <c:pt idx="424">
                  <c:v>46006</c:v>
                </c:pt>
                <c:pt idx="425">
                  <c:v>46007</c:v>
                </c:pt>
                <c:pt idx="426">
                  <c:v>46008</c:v>
                </c:pt>
                <c:pt idx="427">
                  <c:v>46009</c:v>
                </c:pt>
                <c:pt idx="428">
                  <c:v>46010</c:v>
                </c:pt>
                <c:pt idx="429">
                  <c:v>46011</c:v>
                </c:pt>
                <c:pt idx="430">
                  <c:v>46012</c:v>
                </c:pt>
                <c:pt idx="431">
                  <c:v>46013</c:v>
                </c:pt>
                <c:pt idx="432">
                  <c:v>46014</c:v>
                </c:pt>
                <c:pt idx="433">
                  <c:v>46015</c:v>
                </c:pt>
                <c:pt idx="434">
                  <c:v>46016</c:v>
                </c:pt>
                <c:pt idx="435">
                  <c:v>46017</c:v>
                </c:pt>
                <c:pt idx="436">
                  <c:v>46018</c:v>
                </c:pt>
                <c:pt idx="437">
                  <c:v>46019</c:v>
                </c:pt>
                <c:pt idx="438">
                  <c:v>46020</c:v>
                </c:pt>
                <c:pt idx="439">
                  <c:v>46021</c:v>
                </c:pt>
                <c:pt idx="440">
                  <c:v>46022</c:v>
                </c:pt>
                <c:pt idx="441">
                  <c:v>46023</c:v>
                </c:pt>
                <c:pt idx="442">
                  <c:v>46024</c:v>
                </c:pt>
                <c:pt idx="443">
                  <c:v>46025</c:v>
                </c:pt>
                <c:pt idx="444">
                  <c:v>46026</c:v>
                </c:pt>
                <c:pt idx="445">
                  <c:v>46027</c:v>
                </c:pt>
                <c:pt idx="446">
                  <c:v>46028</c:v>
                </c:pt>
                <c:pt idx="447">
                  <c:v>46029</c:v>
                </c:pt>
                <c:pt idx="448">
                  <c:v>46030</c:v>
                </c:pt>
                <c:pt idx="449">
                  <c:v>46031</c:v>
                </c:pt>
                <c:pt idx="450">
                  <c:v>46032</c:v>
                </c:pt>
                <c:pt idx="451">
                  <c:v>46033</c:v>
                </c:pt>
                <c:pt idx="452">
                  <c:v>46034</c:v>
                </c:pt>
                <c:pt idx="453">
                  <c:v>46035</c:v>
                </c:pt>
                <c:pt idx="454">
                  <c:v>46036</c:v>
                </c:pt>
                <c:pt idx="455">
                  <c:v>46037</c:v>
                </c:pt>
                <c:pt idx="456">
                  <c:v>46038</c:v>
                </c:pt>
                <c:pt idx="457">
                  <c:v>46039</c:v>
                </c:pt>
                <c:pt idx="458">
                  <c:v>46040</c:v>
                </c:pt>
                <c:pt idx="459">
                  <c:v>46041</c:v>
                </c:pt>
                <c:pt idx="460">
                  <c:v>46042</c:v>
                </c:pt>
                <c:pt idx="461">
                  <c:v>46043</c:v>
                </c:pt>
                <c:pt idx="462">
                  <c:v>46044</c:v>
                </c:pt>
                <c:pt idx="463">
                  <c:v>46045</c:v>
                </c:pt>
                <c:pt idx="464">
                  <c:v>46046</c:v>
                </c:pt>
                <c:pt idx="465">
                  <c:v>46047</c:v>
                </c:pt>
                <c:pt idx="466">
                  <c:v>46048</c:v>
                </c:pt>
                <c:pt idx="467">
                  <c:v>46049</c:v>
                </c:pt>
                <c:pt idx="468">
                  <c:v>46050</c:v>
                </c:pt>
                <c:pt idx="469">
                  <c:v>46051</c:v>
                </c:pt>
                <c:pt idx="470">
                  <c:v>46052</c:v>
                </c:pt>
                <c:pt idx="471">
                  <c:v>46053</c:v>
                </c:pt>
                <c:pt idx="472">
                  <c:v>46054</c:v>
                </c:pt>
                <c:pt idx="473">
                  <c:v>46055</c:v>
                </c:pt>
                <c:pt idx="474">
                  <c:v>46056</c:v>
                </c:pt>
                <c:pt idx="475">
                  <c:v>46057</c:v>
                </c:pt>
                <c:pt idx="476">
                  <c:v>46058</c:v>
                </c:pt>
                <c:pt idx="477">
                  <c:v>46059</c:v>
                </c:pt>
                <c:pt idx="478">
                  <c:v>46060</c:v>
                </c:pt>
                <c:pt idx="479">
                  <c:v>46061</c:v>
                </c:pt>
                <c:pt idx="480">
                  <c:v>46062</c:v>
                </c:pt>
                <c:pt idx="481">
                  <c:v>46063</c:v>
                </c:pt>
                <c:pt idx="482">
                  <c:v>46064</c:v>
                </c:pt>
                <c:pt idx="483">
                  <c:v>46065</c:v>
                </c:pt>
                <c:pt idx="484">
                  <c:v>46066</c:v>
                </c:pt>
                <c:pt idx="485">
                  <c:v>46067</c:v>
                </c:pt>
                <c:pt idx="486">
                  <c:v>46068</c:v>
                </c:pt>
                <c:pt idx="487">
                  <c:v>46069</c:v>
                </c:pt>
                <c:pt idx="488">
                  <c:v>46070</c:v>
                </c:pt>
                <c:pt idx="489">
                  <c:v>46071</c:v>
                </c:pt>
                <c:pt idx="490">
                  <c:v>46072</c:v>
                </c:pt>
                <c:pt idx="491">
                  <c:v>46073</c:v>
                </c:pt>
                <c:pt idx="492">
                  <c:v>46074</c:v>
                </c:pt>
                <c:pt idx="493">
                  <c:v>46075</c:v>
                </c:pt>
                <c:pt idx="494">
                  <c:v>46076</c:v>
                </c:pt>
                <c:pt idx="495">
                  <c:v>46077</c:v>
                </c:pt>
                <c:pt idx="496">
                  <c:v>46078</c:v>
                </c:pt>
                <c:pt idx="497">
                  <c:v>46079</c:v>
                </c:pt>
                <c:pt idx="498">
                  <c:v>46080</c:v>
                </c:pt>
                <c:pt idx="499">
                  <c:v>46081</c:v>
                </c:pt>
                <c:pt idx="500">
                  <c:v>46082</c:v>
                </c:pt>
                <c:pt idx="501">
                  <c:v>46083</c:v>
                </c:pt>
                <c:pt idx="502">
                  <c:v>46084</c:v>
                </c:pt>
                <c:pt idx="503">
                  <c:v>46085</c:v>
                </c:pt>
                <c:pt idx="504">
                  <c:v>46086</c:v>
                </c:pt>
                <c:pt idx="505">
                  <c:v>46087</c:v>
                </c:pt>
                <c:pt idx="506">
                  <c:v>46088</c:v>
                </c:pt>
                <c:pt idx="507">
                  <c:v>46089</c:v>
                </c:pt>
                <c:pt idx="508">
                  <c:v>46090</c:v>
                </c:pt>
                <c:pt idx="509">
                  <c:v>46091</c:v>
                </c:pt>
                <c:pt idx="510">
                  <c:v>46092</c:v>
                </c:pt>
                <c:pt idx="511">
                  <c:v>46093</c:v>
                </c:pt>
                <c:pt idx="512">
                  <c:v>46094</c:v>
                </c:pt>
                <c:pt idx="513">
                  <c:v>46095</c:v>
                </c:pt>
                <c:pt idx="514">
                  <c:v>46096</c:v>
                </c:pt>
                <c:pt idx="515">
                  <c:v>46097</c:v>
                </c:pt>
                <c:pt idx="516">
                  <c:v>46098</c:v>
                </c:pt>
                <c:pt idx="517">
                  <c:v>46099</c:v>
                </c:pt>
                <c:pt idx="518">
                  <c:v>46100</c:v>
                </c:pt>
                <c:pt idx="519">
                  <c:v>46101</c:v>
                </c:pt>
                <c:pt idx="520">
                  <c:v>46102</c:v>
                </c:pt>
                <c:pt idx="521">
                  <c:v>46103</c:v>
                </c:pt>
                <c:pt idx="522">
                  <c:v>46104</c:v>
                </c:pt>
                <c:pt idx="523">
                  <c:v>46105</c:v>
                </c:pt>
                <c:pt idx="524">
                  <c:v>46106</c:v>
                </c:pt>
                <c:pt idx="525">
                  <c:v>46107</c:v>
                </c:pt>
                <c:pt idx="526">
                  <c:v>46108</c:v>
                </c:pt>
                <c:pt idx="527">
                  <c:v>46109</c:v>
                </c:pt>
                <c:pt idx="528">
                  <c:v>46110</c:v>
                </c:pt>
                <c:pt idx="529">
                  <c:v>46111</c:v>
                </c:pt>
                <c:pt idx="530">
                  <c:v>46112</c:v>
                </c:pt>
                <c:pt idx="531">
                  <c:v>46113</c:v>
                </c:pt>
                <c:pt idx="532">
                  <c:v>46114</c:v>
                </c:pt>
                <c:pt idx="533">
                  <c:v>46115</c:v>
                </c:pt>
                <c:pt idx="534">
                  <c:v>46116</c:v>
                </c:pt>
                <c:pt idx="535">
                  <c:v>46117</c:v>
                </c:pt>
                <c:pt idx="536">
                  <c:v>46118</c:v>
                </c:pt>
                <c:pt idx="537">
                  <c:v>46119</c:v>
                </c:pt>
                <c:pt idx="538">
                  <c:v>46120</c:v>
                </c:pt>
                <c:pt idx="539">
                  <c:v>46121</c:v>
                </c:pt>
                <c:pt idx="540">
                  <c:v>46122</c:v>
                </c:pt>
                <c:pt idx="541">
                  <c:v>46123</c:v>
                </c:pt>
                <c:pt idx="542">
                  <c:v>46124</c:v>
                </c:pt>
                <c:pt idx="543">
                  <c:v>46125</c:v>
                </c:pt>
                <c:pt idx="544">
                  <c:v>46126</c:v>
                </c:pt>
                <c:pt idx="545">
                  <c:v>46127</c:v>
                </c:pt>
                <c:pt idx="546">
                  <c:v>46128</c:v>
                </c:pt>
                <c:pt idx="547">
                  <c:v>46129</c:v>
                </c:pt>
                <c:pt idx="548">
                  <c:v>46130</c:v>
                </c:pt>
                <c:pt idx="549">
                  <c:v>46131</c:v>
                </c:pt>
                <c:pt idx="550">
                  <c:v>46132</c:v>
                </c:pt>
                <c:pt idx="551">
                  <c:v>46133</c:v>
                </c:pt>
                <c:pt idx="552">
                  <c:v>46134</c:v>
                </c:pt>
                <c:pt idx="553">
                  <c:v>46135</c:v>
                </c:pt>
                <c:pt idx="554">
                  <c:v>46136</c:v>
                </c:pt>
                <c:pt idx="555">
                  <c:v>46137</c:v>
                </c:pt>
                <c:pt idx="556">
                  <c:v>46138</c:v>
                </c:pt>
                <c:pt idx="557">
                  <c:v>46139</c:v>
                </c:pt>
                <c:pt idx="558">
                  <c:v>46140</c:v>
                </c:pt>
                <c:pt idx="559">
                  <c:v>46141</c:v>
                </c:pt>
                <c:pt idx="560">
                  <c:v>46142</c:v>
                </c:pt>
              </c:numCache>
            </c:numRef>
          </c:cat>
          <c:val>
            <c:numRef>
              <c:f>'Tasa_BCVUSDT Grafico1'!$G$3:$G$559</c:f>
              <c:numCache>
                <c:formatCode>0%</c:formatCode>
                <c:ptCount val="557"/>
                <c:pt idx="0">
                  <c:v>0.20748220900385794</c:v>
                </c:pt>
                <c:pt idx="1">
                  <c:v>0.20615786240786238</c:v>
                </c:pt>
                <c:pt idx="2">
                  <c:v>0.20610667485667467</c:v>
                </c:pt>
                <c:pt idx="3">
                  <c:v>0.21048321048321039</c:v>
                </c:pt>
                <c:pt idx="4">
                  <c:v>0.22530594908822943</c:v>
                </c:pt>
                <c:pt idx="5">
                  <c:v>0.23726631433764944</c:v>
                </c:pt>
                <c:pt idx="6">
                  <c:v>0.2481467367832737</c:v>
                </c:pt>
                <c:pt idx="7">
                  <c:v>0.21666286560678394</c:v>
                </c:pt>
                <c:pt idx="8">
                  <c:v>0.19430487807856811</c:v>
                </c:pt>
                <c:pt idx="9">
                  <c:v>0.19768052505721756</c:v>
                </c:pt>
                <c:pt idx="10">
                  <c:v>0.19885784911199966</c:v>
                </c:pt>
                <c:pt idx="11">
                  <c:v>0.20359436776694739</c:v>
                </c:pt>
                <c:pt idx="12">
                  <c:v>0.23774928774928794</c:v>
                </c:pt>
                <c:pt idx="13">
                  <c:v>0.22477494241069529</c:v>
                </c:pt>
                <c:pt idx="14">
                  <c:v>0.20154542019045474</c:v>
                </c:pt>
                <c:pt idx="15">
                  <c:v>0.18189090943115516</c:v>
                </c:pt>
                <c:pt idx="16">
                  <c:v>0.18665350481171838</c:v>
                </c:pt>
                <c:pt idx="17">
                  <c:v>0.19771320567581596</c:v>
                </c:pt>
                <c:pt idx="18">
                  <c:v>0.19046170976238486</c:v>
                </c:pt>
                <c:pt idx="19">
                  <c:v>0.19498489007820252</c:v>
                </c:pt>
                <c:pt idx="20">
                  <c:v>0.21329343044968607</c:v>
                </c:pt>
                <c:pt idx="21">
                  <c:v>0.1827178756500194</c:v>
                </c:pt>
                <c:pt idx="22">
                  <c:v>0.1649746477483478</c:v>
                </c:pt>
                <c:pt idx="23">
                  <c:v>0.16284420643303577</c:v>
                </c:pt>
                <c:pt idx="24">
                  <c:v>0.16217143549135815</c:v>
                </c:pt>
                <c:pt idx="25">
                  <c:v>0.1736349890799127</c:v>
                </c:pt>
                <c:pt idx="26">
                  <c:v>0.18618101328525594</c:v>
                </c:pt>
                <c:pt idx="27">
                  <c:v>0.19338056626109257</c:v>
                </c:pt>
                <c:pt idx="28">
                  <c:v>0.17954231030198353</c:v>
                </c:pt>
                <c:pt idx="29">
                  <c:v>0.16764787662370351</c:v>
                </c:pt>
                <c:pt idx="30">
                  <c:v>0.16905784139647806</c:v>
                </c:pt>
                <c:pt idx="31">
                  <c:v>0.17908085184641886</c:v>
                </c:pt>
                <c:pt idx="32">
                  <c:v>0.20043612574959102</c:v>
                </c:pt>
                <c:pt idx="33">
                  <c:v>0.22331957031386684</c:v>
                </c:pt>
                <c:pt idx="34">
                  <c:v>0.26146566340978206</c:v>
                </c:pt>
                <c:pt idx="35">
                  <c:v>0.22845612022981276</c:v>
                </c:pt>
                <c:pt idx="36">
                  <c:v>0.21695615802636925</c:v>
                </c:pt>
                <c:pt idx="37">
                  <c:v>0.21914965452430146</c:v>
                </c:pt>
                <c:pt idx="38">
                  <c:v>0.22222915156845757</c:v>
                </c:pt>
                <c:pt idx="39">
                  <c:v>0.23254689303423226</c:v>
                </c:pt>
                <c:pt idx="40">
                  <c:v>0.24145738987237531</c:v>
                </c:pt>
                <c:pt idx="41">
                  <c:v>0.24421726934869259</c:v>
                </c:pt>
                <c:pt idx="42">
                  <c:v>0.21559894481465403</c:v>
                </c:pt>
                <c:pt idx="43">
                  <c:v>0.17638833904700957</c:v>
                </c:pt>
                <c:pt idx="44">
                  <c:v>0.17405513767572711</c:v>
                </c:pt>
                <c:pt idx="45">
                  <c:v>0.17868363642489538</c:v>
                </c:pt>
                <c:pt idx="46">
                  <c:v>0.19902961562696908</c:v>
                </c:pt>
                <c:pt idx="47">
                  <c:v>0.20518020094017886</c:v>
                </c:pt>
                <c:pt idx="48">
                  <c:v>0.20396683195133125</c:v>
                </c:pt>
                <c:pt idx="49">
                  <c:v>0.19063928124682361</c:v>
                </c:pt>
                <c:pt idx="50">
                  <c:v>0.16558416875050064</c:v>
                </c:pt>
                <c:pt idx="51">
                  <c:v>0.1575533414158321</c:v>
                </c:pt>
                <c:pt idx="52">
                  <c:v>0.16039657581035249</c:v>
                </c:pt>
                <c:pt idx="53">
                  <c:v>0.18360606638726651</c:v>
                </c:pt>
                <c:pt idx="54">
                  <c:v>0.18175156108703505</c:v>
                </c:pt>
                <c:pt idx="55">
                  <c:v>0.1684916518074242</c:v>
                </c:pt>
                <c:pt idx="56">
                  <c:v>0.16607609176007387</c:v>
                </c:pt>
                <c:pt idx="57">
                  <c:v>0.15481186549044845</c:v>
                </c:pt>
                <c:pt idx="58">
                  <c:v>0.15719144752423619</c:v>
                </c:pt>
                <c:pt idx="59">
                  <c:v>0.16289548632602968</c:v>
                </c:pt>
                <c:pt idx="60">
                  <c:v>0.19030512428077562</c:v>
                </c:pt>
                <c:pt idx="61">
                  <c:v>0.22431395106663632</c:v>
                </c:pt>
                <c:pt idx="62">
                  <c:v>0.24477296560299533</c:v>
                </c:pt>
                <c:pt idx="63">
                  <c:v>0.26761157315216111</c:v>
                </c:pt>
                <c:pt idx="64">
                  <c:v>0.24562300990645958</c:v>
                </c:pt>
                <c:pt idx="65">
                  <c:v>0.24647885954145909</c:v>
                </c:pt>
                <c:pt idx="66">
                  <c:v>0.25379637392070542</c:v>
                </c:pt>
                <c:pt idx="67">
                  <c:v>0.25095465231630576</c:v>
                </c:pt>
                <c:pt idx="68">
                  <c:v>0.24812030075187952</c:v>
                </c:pt>
                <c:pt idx="69">
                  <c:v>0.26137574765729177</c:v>
                </c:pt>
                <c:pt idx="70">
                  <c:v>0.33583414832531266</c:v>
                </c:pt>
                <c:pt idx="71">
                  <c:v>0.33565487301345254</c:v>
                </c:pt>
                <c:pt idx="72">
                  <c:v>0.31361440178207789</c:v>
                </c:pt>
                <c:pt idx="73">
                  <c:v>0.2999554094512662</c:v>
                </c:pt>
                <c:pt idx="74">
                  <c:v>0.28458292386843165</c:v>
                </c:pt>
                <c:pt idx="75">
                  <c:v>0.26882093377266503</c:v>
                </c:pt>
                <c:pt idx="76">
                  <c:v>0.31418613830883135</c:v>
                </c:pt>
                <c:pt idx="77">
                  <c:v>0.28549544372067648</c:v>
                </c:pt>
                <c:pt idx="78">
                  <c:v>0.27458376369304749</c:v>
                </c:pt>
                <c:pt idx="79">
                  <c:v>0.2646165376063061</c:v>
                </c:pt>
                <c:pt idx="80">
                  <c:v>0.23390074240617209</c:v>
                </c:pt>
                <c:pt idx="81">
                  <c:v>0.24119355630246342</c:v>
                </c:pt>
                <c:pt idx="82">
                  <c:v>0.23722930657209673</c:v>
                </c:pt>
                <c:pt idx="83">
                  <c:v>0.26071783894600387</c:v>
                </c:pt>
                <c:pt idx="84">
                  <c:v>0.27485656695325145</c:v>
                </c:pt>
                <c:pt idx="85">
                  <c:v>0.25067128176750431</c:v>
                </c:pt>
                <c:pt idx="86">
                  <c:v>0.22900457177236944</c:v>
                </c:pt>
                <c:pt idx="87">
                  <c:v>0.22834350314378971</c:v>
                </c:pt>
                <c:pt idx="88">
                  <c:v>0.20630169240996654</c:v>
                </c:pt>
                <c:pt idx="89">
                  <c:v>0.20628592534025247</c:v>
                </c:pt>
                <c:pt idx="90">
                  <c:v>0.19578535399394426</c:v>
                </c:pt>
                <c:pt idx="91">
                  <c:v>0.19036811147446908</c:v>
                </c:pt>
                <c:pt idx="92">
                  <c:v>0.17237764791818844</c:v>
                </c:pt>
                <c:pt idx="93">
                  <c:v>0.17160701241782328</c:v>
                </c:pt>
                <c:pt idx="94">
                  <c:v>0.17529218407596781</c:v>
                </c:pt>
                <c:pt idx="95">
                  <c:v>0.17712747649390947</c:v>
                </c:pt>
                <c:pt idx="96">
                  <c:v>0.19904265147712463</c:v>
                </c:pt>
                <c:pt idx="97">
                  <c:v>0.21449767540266818</c:v>
                </c:pt>
                <c:pt idx="98">
                  <c:v>0.19254821013215295</c:v>
                </c:pt>
                <c:pt idx="99">
                  <c:v>0.17155091235364139</c:v>
                </c:pt>
                <c:pt idx="100">
                  <c:v>0.15931986567880174</c:v>
                </c:pt>
                <c:pt idx="101">
                  <c:v>0.15860206456656534</c:v>
                </c:pt>
                <c:pt idx="102">
                  <c:v>0.19294925881077885</c:v>
                </c:pt>
                <c:pt idx="103">
                  <c:v>0.20699941255307253</c:v>
                </c:pt>
                <c:pt idx="104">
                  <c:v>0.22821279848649323</c:v>
                </c:pt>
                <c:pt idx="105">
                  <c:v>0.20892653969393415</c:v>
                </c:pt>
                <c:pt idx="106">
                  <c:v>0.17534925284560421</c:v>
                </c:pt>
                <c:pt idx="107">
                  <c:v>0.17421756666770172</c:v>
                </c:pt>
                <c:pt idx="108">
                  <c:v>0.18098353189595384</c:v>
                </c:pt>
                <c:pt idx="109">
                  <c:v>0.19641638020864538</c:v>
                </c:pt>
                <c:pt idx="110">
                  <c:v>0.229913017335037</c:v>
                </c:pt>
                <c:pt idx="111">
                  <c:v>0.2408587300021432</c:v>
                </c:pt>
                <c:pt idx="112">
                  <c:v>0.21387475719174898</c:v>
                </c:pt>
                <c:pt idx="113">
                  <c:v>0.19652088318088801</c:v>
                </c:pt>
                <c:pt idx="114">
                  <c:v>0.19596885355751503</c:v>
                </c:pt>
                <c:pt idx="115">
                  <c:v>0.19933423897229363</c:v>
                </c:pt>
                <c:pt idx="116">
                  <c:v>0.21177242317142286</c:v>
                </c:pt>
                <c:pt idx="117">
                  <c:v>0.24605403119776414</c:v>
                </c:pt>
                <c:pt idx="118">
                  <c:v>0.25499854164823232</c:v>
                </c:pt>
                <c:pt idx="119">
                  <c:v>0.2619135333565894</c:v>
                </c:pt>
                <c:pt idx="120">
                  <c:v>0.22380290734633079</c:v>
                </c:pt>
                <c:pt idx="121">
                  <c:v>0.22245388829669377</c:v>
                </c:pt>
                <c:pt idx="122">
                  <c:v>0.23085856813112349</c:v>
                </c:pt>
                <c:pt idx="123">
                  <c:v>0.25977110009859694</c:v>
                </c:pt>
                <c:pt idx="124">
                  <c:v>0.29299725120330322</c:v>
                </c:pt>
                <c:pt idx="125">
                  <c:v>0.30037920087997749</c:v>
                </c:pt>
                <c:pt idx="126">
                  <c:v>0.26409398710940701</c:v>
                </c:pt>
                <c:pt idx="127">
                  <c:v>0.25082072255226917</c:v>
                </c:pt>
                <c:pt idx="128">
                  <c:v>0.24948225261642376</c:v>
                </c:pt>
                <c:pt idx="129">
                  <c:v>0.25009294930110038</c:v>
                </c:pt>
                <c:pt idx="130">
                  <c:v>0.27683993572387111</c:v>
                </c:pt>
                <c:pt idx="131">
                  <c:v>0.29570131256910126</c:v>
                </c:pt>
                <c:pt idx="132">
                  <c:v>0.28088336137184067</c:v>
                </c:pt>
                <c:pt idx="133">
                  <c:v>0.24622746362892012</c:v>
                </c:pt>
                <c:pt idx="134">
                  <c:v>0.22839567664491711</c:v>
                </c:pt>
                <c:pt idx="135">
                  <c:v>0.21163520446281825</c:v>
                </c:pt>
                <c:pt idx="136">
                  <c:v>0.22808126214075819</c:v>
                </c:pt>
                <c:pt idx="137">
                  <c:v>0.21521517158938108</c:v>
                </c:pt>
                <c:pt idx="138">
                  <c:v>0.21746276834188394</c:v>
                </c:pt>
                <c:pt idx="139">
                  <c:v>0.22392702731203218</c:v>
                </c:pt>
                <c:pt idx="140">
                  <c:v>0.22733688687480291</c:v>
                </c:pt>
                <c:pt idx="141">
                  <c:v>0.20495165724523523</c:v>
                </c:pt>
                <c:pt idx="142">
                  <c:v>0.19846168103048845</c:v>
                </c:pt>
                <c:pt idx="143">
                  <c:v>0.20482809748864805</c:v>
                </c:pt>
                <c:pt idx="144">
                  <c:v>0.22366247766837977</c:v>
                </c:pt>
                <c:pt idx="145">
                  <c:v>0.23580335427141441</c:v>
                </c:pt>
                <c:pt idx="146">
                  <c:v>0.2181578257663026</c:v>
                </c:pt>
                <c:pt idx="147">
                  <c:v>0.21555463653624996</c:v>
                </c:pt>
                <c:pt idx="148">
                  <c:v>0.2075807383859547</c:v>
                </c:pt>
                <c:pt idx="149">
                  <c:v>0.20396527225874816</c:v>
                </c:pt>
                <c:pt idx="150">
                  <c:v>0.20742720901668954</c:v>
                </c:pt>
                <c:pt idx="151">
                  <c:v>0.23681098842651371</c:v>
                </c:pt>
                <c:pt idx="152">
                  <c:v>0.28428160747439679</c:v>
                </c:pt>
                <c:pt idx="153">
                  <c:v>0.2910193447924776</c:v>
                </c:pt>
                <c:pt idx="154">
                  <c:v>0.28454750836852249</c:v>
                </c:pt>
                <c:pt idx="155">
                  <c:v>0.31069301765590951</c:v>
                </c:pt>
                <c:pt idx="156">
                  <c:v>0.29997067418429291</c:v>
                </c:pt>
                <c:pt idx="157">
                  <c:v>0.29893616550959878</c:v>
                </c:pt>
                <c:pt idx="158">
                  <c:v>0.35490897592795356</c:v>
                </c:pt>
                <c:pt idx="159">
                  <c:v>0.43462546203153507</c:v>
                </c:pt>
                <c:pt idx="160">
                  <c:v>0.52763779596328364</c:v>
                </c:pt>
                <c:pt idx="161">
                  <c:v>0.56667168945272883</c:v>
                </c:pt>
                <c:pt idx="162">
                  <c:v>0.42738847357453413</c:v>
                </c:pt>
                <c:pt idx="163">
                  <c:v>0.40163338311345131</c:v>
                </c:pt>
                <c:pt idx="164">
                  <c:v>0.40627056670127759</c:v>
                </c:pt>
                <c:pt idx="165">
                  <c:v>0.43950240345914127</c:v>
                </c:pt>
                <c:pt idx="166">
                  <c:v>0.47755102040816344</c:v>
                </c:pt>
                <c:pt idx="167">
                  <c:v>0.47275477368130137</c:v>
                </c:pt>
                <c:pt idx="168">
                  <c:v>0.41002686147762302</c:v>
                </c:pt>
                <c:pt idx="169">
                  <c:v>0.37690620696689958</c:v>
                </c:pt>
                <c:pt idx="170">
                  <c:v>0.3708057779817866</c:v>
                </c:pt>
                <c:pt idx="171">
                  <c:v>0.3686410182304507</c:v>
                </c:pt>
                <c:pt idx="172">
                  <c:v>0.41107644738008697</c:v>
                </c:pt>
                <c:pt idx="173">
                  <c:v>0.43708354689902618</c:v>
                </c:pt>
                <c:pt idx="174">
                  <c:v>0.38633013232595625</c:v>
                </c:pt>
                <c:pt idx="175">
                  <c:v>0.32343656211866367</c:v>
                </c:pt>
                <c:pt idx="176">
                  <c:v>0.31560378232722375</c:v>
                </c:pt>
                <c:pt idx="177">
                  <c:v>0.29701829815982994</c:v>
                </c:pt>
                <c:pt idx="178">
                  <c:v>0.29777414236273803</c:v>
                </c:pt>
                <c:pt idx="179">
                  <c:v>0.28253332227376271</c:v>
                </c:pt>
                <c:pt idx="180">
                  <c:v>0.27812966813162787</c:v>
                </c:pt>
                <c:pt idx="181">
                  <c:v>0.26344498423250662</c:v>
                </c:pt>
                <c:pt idx="182">
                  <c:v>0.27065942715618574</c:v>
                </c:pt>
                <c:pt idx="183">
                  <c:v>0.26281829530584933</c:v>
                </c:pt>
                <c:pt idx="184">
                  <c:v>0.25711041256185396</c:v>
                </c:pt>
                <c:pt idx="185">
                  <c:v>0.26189580920580946</c:v>
                </c:pt>
                <c:pt idx="186">
                  <c:v>0.26922250302001727</c:v>
                </c:pt>
                <c:pt idx="187">
                  <c:v>0.2928952939838283</c:v>
                </c:pt>
                <c:pt idx="188">
                  <c:v>0.28576284189621615</c:v>
                </c:pt>
                <c:pt idx="189">
                  <c:v>0.26205792021405405</c:v>
                </c:pt>
                <c:pt idx="190">
                  <c:v>0.24408081458983855</c:v>
                </c:pt>
                <c:pt idx="191">
                  <c:v>0.23191077038251429</c:v>
                </c:pt>
                <c:pt idx="192">
                  <c:v>0.23591691107836499</c:v>
                </c:pt>
                <c:pt idx="193">
                  <c:v>0.26362752759994557</c:v>
                </c:pt>
                <c:pt idx="194">
                  <c:v>0.2825827059513204</c:v>
                </c:pt>
                <c:pt idx="195">
                  <c:v>0.24793054412094895</c:v>
                </c:pt>
                <c:pt idx="196">
                  <c:v>0.25623024531788841</c:v>
                </c:pt>
                <c:pt idx="197">
                  <c:v>0.24403292979977875</c:v>
                </c:pt>
                <c:pt idx="198">
                  <c:v>0.2408833810485782</c:v>
                </c:pt>
                <c:pt idx="199">
                  <c:v>0.24691525795352409</c:v>
                </c:pt>
                <c:pt idx="200">
                  <c:v>0.2956334858219436</c:v>
                </c:pt>
                <c:pt idx="201">
                  <c:v>0.28920994021802837</c:v>
                </c:pt>
                <c:pt idx="202">
                  <c:v>0.26637598630871406</c:v>
                </c:pt>
                <c:pt idx="203">
                  <c:v>0.27130602231373047</c:v>
                </c:pt>
                <c:pt idx="204">
                  <c:v>0.22978099988150502</c:v>
                </c:pt>
                <c:pt idx="205">
                  <c:v>0.23340263489567059</c:v>
                </c:pt>
                <c:pt idx="206">
                  <c:v>0.21801984250950635</c:v>
                </c:pt>
                <c:pt idx="207">
                  <c:v>0.25810455725178549</c:v>
                </c:pt>
                <c:pt idx="208">
                  <c:v>0.28746012080079697</c:v>
                </c:pt>
                <c:pt idx="209">
                  <c:v>0.26112956242599883</c:v>
                </c:pt>
                <c:pt idx="210">
                  <c:v>0.26375779692573054</c:v>
                </c:pt>
                <c:pt idx="211">
                  <c:v>0.26115807094899401</c:v>
                </c:pt>
                <c:pt idx="212">
                  <c:v>0.26694238269964954</c:v>
                </c:pt>
                <c:pt idx="213">
                  <c:v>0.28751400755480305</c:v>
                </c:pt>
                <c:pt idx="214">
                  <c:v>0.37622911895993161</c:v>
                </c:pt>
                <c:pt idx="215">
                  <c:v>0.38956397728327552</c:v>
                </c:pt>
                <c:pt idx="216">
                  <c:v>0.39129793074947594</c:v>
                </c:pt>
                <c:pt idx="217">
                  <c:v>0.41607451992940581</c:v>
                </c:pt>
                <c:pt idx="218">
                  <c:v>0.39986886819359113</c:v>
                </c:pt>
                <c:pt idx="219">
                  <c:v>0.39556867107491245</c:v>
                </c:pt>
                <c:pt idx="220">
                  <c:v>0.41162021450469322</c:v>
                </c:pt>
                <c:pt idx="221">
                  <c:v>0.44513693155525647</c:v>
                </c:pt>
                <c:pt idx="222">
                  <c:v>0.53645314352253881</c:v>
                </c:pt>
                <c:pt idx="223">
                  <c:v>0.47143161331535244</c:v>
                </c:pt>
                <c:pt idx="224">
                  <c:v>0.4167841599995028</c:v>
                </c:pt>
                <c:pt idx="225">
                  <c:v>0.2890456824805876</c:v>
                </c:pt>
                <c:pt idx="226">
                  <c:v>0.31838976147482345</c:v>
                </c:pt>
                <c:pt idx="227">
                  <c:v>0.34072768607968196</c:v>
                </c:pt>
                <c:pt idx="228">
                  <c:v>0.29805890497090082</c:v>
                </c:pt>
                <c:pt idx="229">
                  <c:v>0.34144602035091043</c:v>
                </c:pt>
                <c:pt idx="230">
                  <c:v>0.3939502809502009</c:v>
                </c:pt>
                <c:pt idx="231">
                  <c:v>0.35756273294716934</c:v>
                </c:pt>
                <c:pt idx="232">
                  <c:v>0.33411563120475218</c:v>
                </c:pt>
                <c:pt idx="233">
                  <c:v>0.32402967318085296</c:v>
                </c:pt>
                <c:pt idx="234">
                  <c:v>0.31959980997470394</c:v>
                </c:pt>
                <c:pt idx="235">
                  <c:v>0.35081076498916164</c:v>
                </c:pt>
                <c:pt idx="236">
                  <c:v>0.36193098188443451</c:v>
                </c:pt>
                <c:pt idx="237">
                  <c:v>0.3492266167025917</c:v>
                </c:pt>
                <c:pt idx="238">
                  <c:v>0.33325227527317214</c:v>
                </c:pt>
                <c:pt idx="239">
                  <c:v>0.31966656839680985</c:v>
                </c:pt>
                <c:pt idx="240">
                  <c:v>0.30706296459712989</c:v>
                </c:pt>
                <c:pt idx="241">
                  <c:v>0.32305391057970634</c:v>
                </c:pt>
                <c:pt idx="242">
                  <c:v>0.32584174068233573</c:v>
                </c:pt>
                <c:pt idx="243">
                  <c:v>0.34502383586048935</c:v>
                </c:pt>
                <c:pt idx="244">
                  <c:v>0.36961509917000845</c:v>
                </c:pt>
                <c:pt idx="245">
                  <c:v>0.35955193737919999</c:v>
                </c:pt>
                <c:pt idx="246">
                  <c:v>0.32800157637880534</c:v>
                </c:pt>
                <c:pt idx="247">
                  <c:v>0.33733741202218392</c:v>
                </c:pt>
                <c:pt idx="248">
                  <c:v>0.34683585955689211</c:v>
                </c:pt>
                <c:pt idx="249">
                  <c:v>0.33726116069100187</c:v>
                </c:pt>
                <c:pt idx="250">
                  <c:v>0.33477853103808641</c:v>
                </c:pt>
                <c:pt idx="251">
                  <c:v>0.34055932185709814</c:v>
                </c:pt>
                <c:pt idx="252">
                  <c:v>0.33404729274690714</c:v>
                </c:pt>
                <c:pt idx="253">
                  <c:v>0.31510546312066023</c:v>
                </c:pt>
                <c:pt idx="254">
                  <c:v>0.30512249443207118</c:v>
                </c:pt>
                <c:pt idx="255">
                  <c:v>0.31168797140236948</c:v>
                </c:pt>
                <c:pt idx="256">
                  <c:v>0.30236145115656754</c:v>
                </c:pt>
                <c:pt idx="257">
                  <c:v>0.30414186396281595</c:v>
                </c:pt>
                <c:pt idx="258">
                  <c:v>0.29408073319517825</c:v>
                </c:pt>
                <c:pt idx="259">
                  <c:v>0.29115629870665027</c:v>
                </c:pt>
                <c:pt idx="260">
                  <c:v>0.27704433798559114</c:v>
                </c:pt>
                <c:pt idx="261">
                  <c:v>0.26245941518323712</c:v>
                </c:pt>
                <c:pt idx="262">
                  <c:v>0.26455324575190531</c:v>
                </c:pt>
                <c:pt idx="263">
                  <c:v>0.2891070082759164</c:v>
                </c:pt>
                <c:pt idx="264">
                  <c:v>0.32249983361064904</c:v>
                </c:pt>
                <c:pt idx="265">
                  <c:v>0.30895013832616125</c:v>
                </c:pt>
                <c:pt idx="266">
                  <c:v>0.3088471451012309</c:v>
                </c:pt>
                <c:pt idx="267">
                  <c:v>0.29614867381408994</c:v>
                </c:pt>
                <c:pt idx="268">
                  <c:v>0.29815069319704102</c:v>
                </c:pt>
                <c:pt idx="269">
                  <c:v>0.30375912564017304</c:v>
                </c:pt>
                <c:pt idx="270">
                  <c:v>0.31205066905906498</c:v>
                </c:pt>
                <c:pt idx="271">
                  <c:v>0.30060485236099832</c:v>
                </c:pt>
                <c:pt idx="272">
                  <c:v>0.29629838098941796</c:v>
                </c:pt>
                <c:pt idx="273">
                  <c:v>0.28700392332793001</c:v>
                </c:pt>
                <c:pt idx="274">
                  <c:v>0.27849157574601424</c:v>
                </c:pt>
                <c:pt idx="275">
                  <c:v>0.2722644599762849</c:v>
                </c:pt>
                <c:pt idx="276">
                  <c:v>0.27715203154399681</c:v>
                </c:pt>
                <c:pt idx="277">
                  <c:v>0.32941198126452731</c:v>
                </c:pt>
                <c:pt idx="278">
                  <c:v>0.3768347780972352</c:v>
                </c:pt>
                <c:pt idx="279">
                  <c:v>0.36041526397085022</c:v>
                </c:pt>
                <c:pt idx="280">
                  <c:v>0.33909263733217143</c:v>
                </c:pt>
                <c:pt idx="281">
                  <c:v>0.24242873756426353</c:v>
                </c:pt>
                <c:pt idx="282">
                  <c:v>0.32127165574062033</c:v>
                </c:pt>
                <c:pt idx="283">
                  <c:v>0.3287017496699236</c:v>
                </c:pt>
                <c:pt idx="284">
                  <c:v>0.35317131697520177</c:v>
                </c:pt>
                <c:pt idx="285">
                  <c:v>0.34904499785801457</c:v>
                </c:pt>
                <c:pt idx="286">
                  <c:v>0.3308699477140371</c:v>
                </c:pt>
                <c:pt idx="287">
                  <c:v>0.31920947026333168</c:v>
                </c:pt>
                <c:pt idx="288">
                  <c:v>0.30658788605354803</c:v>
                </c:pt>
                <c:pt idx="289">
                  <c:v>0.31116756420746849</c:v>
                </c:pt>
                <c:pt idx="290">
                  <c:v>0.3179102205476585</c:v>
                </c:pt>
                <c:pt idx="291">
                  <c:v>0.37686410798514069</c:v>
                </c:pt>
                <c:pt idx="292">
                  <c:v>0.39369896768128809</c:v>
                </c:pt>
                <c:pt idx="293">
                  <c:v>0.45035929249403761</c:v>
                </c:pt>
                <c:pt idx="294">
                  <c:v>0.43168650973883516</c:v>
                </c:pt>
                <c:pt idx="295">
                  <c:v>0.40423884508423202</c:v>
                </c:pt>
                <c:pt idx="296">
                  <c:v>0.40454428139236209</c:v>
                </c:pt>
                <c:pt idx="297">
                  <c:v>0.41148073995000023</c:v>
                </c:pt>
                <c:pt idx="298">
                  <c:v>0.41089110409483465</c:v>
                </c:pt>
                <c:pt idx="299">
                  <c:v>0.42832717155734223</c:v>
                </c:pt>
                <c:pt idx="300">
                  <c:v>0.43974638363644369</c:v>
                </c:pt>
                <c:pt idx="301">
                  <c:v>0.40905467172164522</c:v>
                </c:pt>
                <c:pt idx="302">
                  <c:v>0.4064890800310117</c:v>
                </c:pt>
                <c:pt idx="303">
                  <c:v>0.41058351984318531</c:v>
                </c:pt>
                <c:pt idx="304">
                  <c:v>0.44790450695572015</c:v>
                </c:pt>
                <c:pt idx="305">
                  <c:v>0.42859232603384956</c:v>
                </c:pt>
                <c:pt idx="306">
                  <c:v>0.47233602695359944</c:v>
                </c:pt>
                <c:pt idx="307">
                  <c:v>0.52492506857491317</c:v>
                </c:pt>
                <c:pt idx="308">
                  <c:v>0.60483242955435568</c:v>
                </c:pt>
                <c:pt idx="309">
                  <c:v>0.53951289598459939</c:v>
                </c:pt>
                <c:pt idx="310">
                  <c:v>0.45138874677238716</c:v>
                </c:pt>
                <c:pt idx="311">
                  <c:v>0.48837918266506453</c:v>
                </c:pt>
                <c:pt idx="312">
                  <c:v>0.51071298823387767</c:v>
                </c:pt>
                <c:pt idx="313">
                  <c:v>0.49660697108799545</c:v>
                </c:pt>
                <c:pt idx="314">
                  <c:v>0.49651113503353539</c:v>
                </c:pt>
                <c:pt idx="315">
                  <c:v>0.45272725539930292</c:v>
                </c:pt>
                <c:pt idx="316">
                  <c:v>0.38710926328626249</c:v>
                </c:pt>
                <c:pt idx="317">
                  <c:v>0.36757580008957347</c:v>
                </c:pt>
                <c:pt idx="318">
                  <c:v>0.39620959082250984</c:v>
                </c:pt>
                <c:pt idx="319">
                  <c:v>0.40474769377730158</c:v>
                </c:pt>
                <c:pt idx="320">
                  <c:v>0.42689136671874506</c:v>
                </c:pt>
                <c:pt idx="321">
                  <c:v>0.44483384243895685</c:v>
                </c:pt>
                <c:pt idx="322">
                  <c:v>0.42558569513583788</c:v>
                </c:pt>
                <c:pt idx="323">
                  <c:v>0.41341959961851082</c:v>
                </c:pt>
                <c:pt idx="324">
                  <c:v>0.40904820817809084</c:v>
                </c:pt>
                <c:pt idx="325">
                  <c:v>0.41397870084378785</c:v>
                </c:pt>
                <c:pt idx="326">
                  <c:v>0.44718222507054772</c:v>
                </c:pt>
                <c:pt idx="327">
                  <c:v>0.47561890760822223</c:v>
                </c:pt>
                <c:pt idx="328">
                  <c:v>0.51093590805648414</c:v>
                </c:pt>
                <c:pt idx="329">
                  <c:v>0.4940307515520046</c:v>
                </c:pt>
                <c:pt idx="330">
                  <c:v>0.51226260910480259</c:v>
                </c:pt>
                <c:pt idx="331">
                  <c:v>0.51178459793082332</c:v>
                </c:pt>
                <c:pt idx="332">
                  <c:v>0.50285215413925854</c:v>
                </c:pt>
                <c:pt idx="333">
                  <c:v>0.52439385874208178</c:v>
                </c:pt>
                <c:pt idx="334">
                  <c:v>0.56435576204683668</c:v>
                </c:pt>
                <c:pt idx="335">
                  <c:v>0.62649257110132717</c:v>
                </c:pt>
                <c:pt idx="336">
                  <c:v>0.62995836039594821</c:v>
                </c:pt>
                <c:pt idx="337">
                  <c:v>0.61848520692987896</c:v>
                </c:pt>
                <c:pt idx="338">
                  <c:v>0.59855074554380705</c:v>
                </c:pt>
                <c:pt idx="339">
                  <c:v>0.59626795339690064</c:v>
                </c:pt>
                <c:pt idx="340">
                  <c:v>0.59923058264548312</c:v>
                </c:pt>
                <c:pt idx="341">
                  <c:v>0.6492098423925976</c:v>
                </c:pt>
                <c:pt idx="342">
                  <c:v>0.7021284033770121</c:v>
                </c:pt>
                <c:pt idx="343">
                  <c:v>0.68832559450296182</c:v>
                </c:pt>
                <c:pt idx="344">
                  <c:v>0.6753325447834575</c:v>
                </c:pt>
                <c:pt idx="345">
                  <c:v>0.61291131664077758</c:v>
                </c:pt>
                <c:pt idx="346">
                  <c:v>0.6192455572814981</c:v>
                </c:pt>
                <c:pt idx="347">
                  <c:v>0.62704581878694854</c:v>
                </c:pt>
                <c:pt idx="348">
                  <c:v>0.62915965659727746</c:v>
                </c:pt>
                <c:pt idx="349">
                  <c:v>0.61974098326072147</c:v>
                </c:pt>
                <c:pt idx="350">
                  <c:v>0.62030091630765205</c:v>
                </c:pt>
                <c:pt idx="351">
                  <c:v>0.59363405711397221</c:v>
                </c:pt>
                <c:pt idx="352">
                  <c:v>0.57176078191207269</c:v>
                </c:pt>
                <c:pt idx="353">
                  <c:v>0.57252873898424461</c:v>
                </c:pt>
                <c:pt idx="354">
                  <c:v>0.57963638540922657</c:v>
                </c:pt>
                <c:pt idx="355">
                  <c:v>0.5857187598533089</c:v>
                </c:pt>
                <c:pt idx="356">
                  <c:v>0.57952438929318673</c:v>
                </c:pt>
                <c:pt idx="357">
                  <c:v>0.55109138186451756</c:v>
                </c:pt>
                <c:pt idx="358">
                  <c:v>0.52339581036383676</c:v>
                </c:pt>
                <c:pt idx="359">
                  <c:v>0.50477167252121746</c:v>
                </c:pt>
                <c:pt idx="360">
                  <c:v>0.51050280762031752</c:v>
                </c:pt>
                <c:pt idx="361">
                  <c:v>0.50778328824004171</c:v>
                </c:pt>
                <c:pt idx="362">
                  <c:v>0.48834823590466159</c:v>
                </c:pt>
                <c:pt idx="363">
                  <c:v>0.46349943617439493</c:v>
                </c:pt>
                <c:pt idx="364">
                  <c:v>0.45405831223865079</c:v>
                </c:pt>
                <c:pt idx="365">
                  <c:v>0.45487920998125086</c:v>
                </c:pt>
                <c:pt idx="366">
                  <c:v>0.46105074064257723</c:v>
                </c:pt>
                <c:pt idx="367">
                  <c:v>0.48190063904349634</c:v>
                </c:pt>
                <c:pt idx="368">
                  <c:v>0.46928412440184886</c:v>
                </c:pt>
                <c:pt idx="369">
                  <c:v>0.4698687502946215</c:v>
                </c:pt>
                <c:pt idx="370">
                  <c:v>0.45185548012792309</c:v>
                </c:pt>
                <c:pt idx="371">
                  <c:v>0.44082266566265083</c:v>
                </c:pt>
                <c:pt idx="372">
                  <c:v>0.4306474706066159</c:v>
                </c:pt>
                <c:pt idx="373">
                  <c:v>0.42505095164141227</c:v>
                </c:pt>
                <c:pt idx="374">
                  <c:v>0.42000475704112028</c:v>
                </c:pt>
                <c:pt idx="375">
                  <c:v>0.40693178488469361</c:v>
                </c:pt>
                <c:pt idx="376">
                  <c:v>0.42353669157079343</c:v>
                </c:pt>
                <c:pt idx="377">
                  <c:v>0.40021294042898248</c:v>
                </c:pt>
                <c:pt idx="378">
                  <c:v>0.37446909451357824</c:v>
                </c:pt>
                <c:pt idx="379">
                  <c:v>0.35119847938191562</c:v>
                </c:pt>
                <c:pt idx="380">
                  <c:v>0.34306061501686358</c:v>
                </c:pt>
                <c:pt idx="381">
                  <c:v>0.35262931267686981</c:v>
                </c:pt>
                <c:pt idx="382">
                  <c:v>0.36790940614085788</c:v>
                </c:pt>
                <c:pt idx="383">
                  <c:v>0.38423772218265562</c:v>
                </c:pt>
                <c:pt idx="384">
                  <c:v>0.40162428332312516</c:v>
                </c:pt>
                <c:pt idx="385">
                  <c:v>0.39130159648122875</c:v>
                </c:pt>
                <c:pt idx="386">
                  <c:v>0.3872573306325815</c:v>
                </c:pt>
                <c:pt idx="387">
                  <c:v>0.37846004632361052</c:v>
                </c:pt>
                <c:pt idx="388">
                  <c:v>0.38590053554015302</c:v>
                </c:pt>
                <c:pt idx="389">
                  <c:v>0.4144357275731001</c:v>
                </c:pt>
                <c:pt idx="390">
                  <c:v>0.4469016477291905</c:v>
                </c:pt>
                <c:pt idx="391">
                  <c:v>0.47413083608458084</c:v>
                </c:pt>
                <c:pt idx="392">
                  <c:v>0.40676218628723704</c:v>
                </c:pt>
                <c:pt idx="393">
                  <c:v>0.39156943264721344</c:v>
                </c:pt>
                <c:pt idx="394">
                  <c:v>0.37994605560913097</c:v>
                </c:pt>
                <c:pt idx="395">
                  <c:v>0.41204871600002546</c:v>
                </c:pt>
                <c:pt idx="396">
                  <c:v>0.39084775824758577</c:v>
                </c:pt>
                <c:pt idx="397">
                  <c:v>0.42328815072186199</c:v>
                </c:pt>
                <c:pt idx="398">
                  <c:v>0.44613786301185487</c:v>
                </c:pt>
                <c:pt idx="399">
                  <c:v>0.43957516803573893</c:v>
                </c:pt>
                <c:pt idx="400">
                  <c:v>0.40790966064790668</c:v>
                </c:pt>
                <c:pt idx="401">
                  <c:v>0.40873755060477346</c:v>
                </c:pt>
                <c:pt idx="402">
                  <c:v>0.451663644868324</c:v>
                </c:pt>
                <c:pt idx="403">
                  <c:v>0.4803914263716067</c:v>
                </c:pt>
                <c:pt idx="404">
                  <c:v>0.51984385701152358</c:v>
                </c:pt>
                <c:pt idx="405">
                  <c:v>0.51642610193999583</c:v>
                </c:pt>
                <c:pt idx="406">
                  <c:v>0.47545231890076622</c:v>
                </c:pt>
                <c:pt idx="407">
                  <c:v>0.48044305016043887</c:v>
                </c:pt>
                <c:pt idx="408">
                  <c:v>0.45968346930858806</c:v>
                </c:pt>
                <c:pt idx="409">
                  <c:v>0.51711830966537575</c:v>
                </c:pt>
                <c:pt idx="410">
                  <c:v>0.49813809364566075</c:v>
                </c:pt>
                <c:pt idx="411">
                  <c:v>0.56806332558766481</c:v>
                </c:pt>
                <c:pt idx="412">
                  <c:v>0.54166009561037387</c:v>
                </c:pt>
                <c:pt idx="413">
                  <c:v>0.67245829176371763</c:v>
                </c:pt>
                <c:pt idx="414">
                  <c:v>0.60803231444988715</c:v>
                </c:pt>
                <c:pt idx="415">
                  <c:v>0.5803712081233412</c:v>
                </c:pt>
                <c:pt idx="416">
                  <c:v>0.58480483225795066</c:v>
                </c:pt>
                <c:pt idx="417">
                  <c:v>0.64640474280075577</c:v>
                </c:pt>
                <c:pt idx="418">
                  <c:v>0.64402022729537278</c:v>
                </c:pt>
                <c:pt idx="419">
                  <c:v>0.5812068205091423</c:v>
                </c:pt>
                <c:pt idx="420">
                  <c:v>0.56013856161215592</c:v>
                </c:pt>
                <c:pt idx="421">
                  <c:v>0.56437033216445642</c:v>
                </c:pt>
                <c:pt idx="422">
                  <c:v>0.56537873590242227</c:v>
                </c:pt>
                <c:pt idx="423">
                  <c:v>0.53860001441643846</c:v>
                </c:pt>
                <c:pt idx="424">
                  <c:v>0.57694561786599374</c:v>
                </c:pt>
                <c:pt idx="425">
                  <c:v>0.55998422434473105</c:v>
                </c:pt>
                <c:pt idx="426">
                  <c:v>0.63216812394672139</c:v>
                </c:pt>
                <c:pt idx="427">
                  <c:v>0.70408877572810957</c:v>
                </c:pt>
                <c:pt idx="428">
                  <c:v>0.66261493284552042</c:v>
                </c:pt>
                <c:pt idx="429">
                  <c:v>0.62714751331621055</c:v>
                </c:pt>
                <c:pt idx="430">
                  <c:v>0.6504030967800396</c:v>
                </c:pt>
                <c:pt idx="431">
                  <c:v>0.66431676818414975</c:v>
                </c:pt>
                <c:pt idx="432">
                  <c:v>0.62115088469589463</c:v>
                </c:pt>
                <c:pt idx="433">
                  <c:v>0.62922855793771792</c:v>
                </c:pt>
                <c:pt idx="434">
                  <c:v>0.68691631877202708</c:v>
                </c:pt>
                <c:pt idx="435">
                  <c:v>0.79847497394907352</c:v>
                </c:pt>
                <c:pt idx="436">
                  <c:v>0.82802681563632241</c:v>
                </c:pt>
                <c:pt idx="437">
                  <c:v>0.87872143836810679</c:v>
                </c:pt>
                <c:pt idx="438">
                  <c:v>0.88693829438190153</c:v>
                </c:pt>
                <c:pt idx="439">
                  <c:v>0.94389875197514184</c:v>
                </c:pt>
                <c:pt idx="440">
                  <c:v>0.88218342131681049</c:v>
                </c:pt>
                <c:pt idx="441">
                  <c:v>0.9167305901092464</c:v>
                </c:pt>
                <c:pt idx="442">
                  <c:v>0.98025091340935688</c:v>
                </c:pt>
                <c:pt idx="443">
                  <c:v>0.97981955125727116</c:v>
                </c:pt>
                <c:pt idx="444">
                  <c:v>0.98190999860968642</c:v>
                </c:pt>
                <c:pt idx="445">
                  <c:v>1.1076566990372836</c:v>
                </c:pt>
                <c:pt idx="446">
                  <c:v>1.4654507834703749</c:v>
                </c:pt>
                <c:pt idx="447">
                  <c:v>1.4663221339906776</c:v>
                </c:pt>
                <c:pt idx="448">
                  <c:v>1.2336693223703659</c:v>
                </c:pt>
                <c:pt idx="449">
                  <c:v>0.79812249569285298</c:v>
                </c:pt>
                <c:pt idx="450">
                  <c:v>0.58238098721101528</c:v>
                </c:pt>
                <c:pt idx="451">
                  <c:v>0.59458175343142705</c:v>
                </c:pt>
                <c:pt idx="452">
                  <c:v>0.69022100904331851</c:v>
                </c:pt>
                <c:pt idx="453">
                  <c:v>0.83542888068743681</c:v>
                </c:pt>
                <c:pt idx="454">
                  <c:v>0.78817902654583172</c:v>
                </c:pt>
                <c:pt idx="455">
                  <c:v>0.45136584308689831</c:v>
                </c:pt>
                <c:pt idx="456">
                  <c:v>0.32924643554723221</c:v>
                </c:pt>
                <c:pt idx="457">
                  <c:v>0.32049715794786993</c:v>
                </c:pt>
                <c:pt idx="458">
                  <c:v>0.31628345903714039</c:v>
                </c:pt>
                <c:pt idx="459">
                  <c:v>0.23464304264175517</c:v>
                </c:pt>
                <c:pt idx="460">
                  <c:v>0.31796993443676502</c:v>
                </c:pt>
                <c:pt idx="461">
                  <c:v>0.34131728939815376</c:v>
                </c:pt>
                <c:pt idx="462">
                  <c:v>0.32358959234949447</c:v>
                </c:pt>
                <c:pt idx="463">
                  <c:v>0.33394271664554909</c:v>
                </c:pt>
                <c:pt idx="464">
                  <c:v>0.27786206257160706</c:v>
                </c:pt>
                <c:pt idx="465">
                  <c:v>0.32047542105145266</c:v>
                </c:pt>
                <c:pt idx="466">
                  <c:v>0.3730731413168451</c:v>
                </c:pt>
                <c:pt idx="467">
                  <c:v>0.44066429532433982</c:v>
                </c:pt>
                <c:pt idx="468">
                  <c:v>0.41209757598122887</c:v>
                </c:pt>
                <c:pt idx="469">
                  <c:v>0.38639611529707629</c:v>
                </c:pt>
                <c:pt idx="470">
                  <c:v>0.35943539312765438</c:v>
                </c:pt>
                <c:pt idx="471">
                  <c:v>0.35785633212988932</c:v>
                </c:pt>
                <c:pt idx="472">
                  <c:v>0.35742072909602296</c:v>
                </c:pt>
                <c:pt idx="473">
                  <c:v>0.36903167119688529</c:v>
                </c:pt>
                <c:pt idx="474">
                  <c:v>0.37955425031113466</c:v>
                </c:pt>
                <c:pt idx="475">
                  <c:v>0.37087174155019254</c:v>
                </c:pt>
                <c:pt idx="476">
                  <c:v>0.3789369605414814</c:v>
                </c:pt>
                <c:pt idx="477">
                  <c:v>0.36782964592133349</c:v>
                </c:pt>
                <c:pt idx="478">
                  <c:v>0.36140101189323559</c:v>
                </c:pt>
                <c:pt idx="479">
                  <c:v>0.40495828734892081</c:v>
                </c:pt>
                <c:pt idx="480">
                  <c:v>0.42241183299453944</c:v>
                </c:pt>
                <c:pt idx="481">
                  <c:v>0.42569405510911773</c:v>
                </c:pt>
                <c:pt idx="482">
                  <c:v>0.41434081546660817</c:v>
                </c:pt>
                <c:pt idx="483">
                  <c:v>0.37378348241737513</c:v>
                </c:pt>
                <c:pt idx="484">
                  <c:v>0.33708321211245762</c:v>
                </c:pt>
                <c:pt idx="485">
                  <c:v>0.33700691925367265</c:v>
                </c:pt>
                <c:pt idx="486">
                  <c:v>0.35226549101066662</c:v>
                </c:pt>
                <c:pt idx="487">
                  <c:v>0.33949915264064834</c:v>
                </c:pt>
                <c:pt idx="488">
                  <c:v>0.34041466694606815</c:v>
                </c:pt>
                <c:pt idx="489">
                  <c:v>0.42983504697914121</c:v>
                </c:pt>
                <c:pt idx="490">
                  <c:v>0.46687512037750367</c:v>
                </c:pt>
                <c:pt idx="491">
                  <c:v>0.39259814537313864</c:v>
                </c:pt>
                <c:pt idx="492">
                  <c:v>0.38340181287054098</c:v>
                </c:pt>
                <c:pt idx="493">
                  <c:v>0.36871253581909369</c:v>
                </c:pt>
                <c:pt idx="494">
                  <c:v>0.41743542276116674</c:v>
                </c:pt>
                <c:pt idx="495">
                  <c:v>0.46171153811221322</c:v>
                </c:pt>
                <c:pt idx="496">
                  <c:v>0.49207330734199717</c:v>
                </c:pt>
                <c:pt idx="497">
                  <c:v>0.4811415653593627</c:v>
                </c:pt>
                <c:pt idx="498">
                  <c:v>0.45333297872162004</c:v>
                </c:pt>
                <c:pt idx="499">
                  <c:v>0.44892429255562205</c:v>
                </c:pt>
                <c:pt idx="500">
                  <c:v>0.45386010424146761</c:v>
                </c:pt>
                <c:pt idx="501">
                  <c:v>0.46890155964239866</c:v>
                </c:pt>
                <c:pt idx="502">
                  <c:v>0.48808705471639602</c:v>
                </c:pt>
                <c:pt idx="503">
                  <c:v>0.4856670866280095</c:v>
                </c:pt>
                <c:pt idx="504">
                  <c:v>0.46696821117088705</c:v>
                </c:pt>
                <c:pt idx="505">
                  <c:v>0.42794400054012516</c:v>
                </c:pt>
                <c:pt idx="506">
                  <c:v>0.40293305535144897</c:v>
                </c:pt>
                <c:pt idx="507">
                  <c:v>0.41502090548438053</c:v>
                </c:pt>
                <c:pt idx="508">
                  <c:v>0.42668037040730766</c:v>
                </c:pt>
                <c:pt idx="509">
                  <c:v>0.42480582447490711</c:v>
                </c:pt>
                <c:pt idx="510">
                  <c:v>0.36830935292842404</c:v>
                </c:pt>
                <c:pt idx="511">
                  <c:v>0.38153602423045596</c:v>
                </c:pt>
                <c:pt idx="512">
                  <c:v>0.41344095445842344</c:v>
                </c:pt>
                <c:pt idx="513">
                  <c:v>0.40951548159122431</c:v>
                </c:pt>
                <c:pt idx="514">
                  <c:v>0.42984221178287085</c:v>
                </c:pt>
                <c:pt idx="515">
                  <c:v>0.4573254360740977</c:v>
                </c:pt>
                <c:pt idx="516">
                  <c:v>0.484916651166027</c:v>
                </c:pt>
                <c:pt idx="517">
                  <c:v>0.47645486052049657</c:v>
                </c:pt>
                <c:pt idx="518">
                  <c:v>0.46400766145035988</c:v>
                </c:pt>
                <c:pt idx="519">
                  <c:v>0.44429041589246632</c:v>
                </c:pt>
                <c:pt idx="520">
                  <c:v>0.44090769408860586</c:v>
                </c:pt>
                <c:pt idx="521">
                  <c:v>0.44433434734446431</c:v>
                </c:pt>
                <c:pt idx="522">
                  <c:v>0.44612807025182044</c:v>
                </c:pt>
                <c:pt idx="523">
                  <c:v>0.45390437531627326</c:v>
                </c:pt>
                <c:pt idx="524">
                  <c:v>0.45410744232320011</c:v>
                </c:pt>
                <c:pt idx="525">
                  <c:v>0.42567081881880342</c:v>
                </c:pt>
                <c:pt idx="526">
                  <c:v>0.41882481758835644</c:v>
                </c:pt>
                <c:pt idx="527">
                  <c:v>0.42347782192440131</c:v>
                </c:pt>
                <c:pt idx="528">
                  <c:v>0.42179164145399972</c:v>
                </c:pt>
                <c:pt idx="529">
                  <c:v>0.39891761804738768</c:v>
                </c:pt>
                <c:pt idx="530">
                  <c:v>0.38632899895372197</c:v>
                </c:pt>
                <c:pt idx="531">
                  <c:v>0.38027327957433954</c:v>
                </c:pt>
                <c:pt idx="532">
                  <c:v>0.37534415265438548</c:v>
                </c:pt>
                <c:pt idx="533">
                  <c:v>0.35034022792147845</c:v>
                </c:pt>
                <c:pt idx="534">
                  <c:v>0.33031100765196308</c:v>
                </c:pt>
                <c:pt idx="535">
                  <c:v>0.32738222847178489</c:v>
                </c:pt>
                <c:pt idx="536">
                  <c:v>0.33936309301062884</c:v>
                </c:pt>
                <c:pt idx="537">
                  <c:v>0.34477206892322543</c:v>
                </c:pt>
                <c:pt idx="538">
                  <c:v>0.33690295516941471</c:v>
                </c:pt>
                <c:pt idx="539">
                  <c:v>0.33503292200178025</c:v>
                </c:pt>
                <c:pt idx="540">
                  <c:v>0.33704423402014383</c:v>
                </c:pt>
                <c:pt idx="541">
                  <c:v>0.32529108951456465</c:v>
                </c:pt>
                <c:pt idx="542">
                  <c:v>0.32009792747875787</c:v>
                </c:pt>
                <c:pt idx="543">
                  <c:v>0.33593503745582098</c:v>
                </c:pt>
                <c:pt idx="544">
                  <c:v>0.31822373954176264</c:v>
                </c:pt>
                <c:pt idx="545">
                  <c:v>0.30581755109008713</c:v>
                </c:pt>
                <c:pt idx="546">
                  <c:v>0.30112687652088743</c:v>
                </c:pt>
                <c:pt idx="547">
                  <c:v>0.29020366586903834</c:v>
                </c:pt>
                <c:pt idx="548">
                  <c:v>0.29359559835854609</c:v>
                </c:pt>
                <c:pt idx="549">
                  <c:v>0.2943501940210369</c:v>
                </c:pt>
                <c:pt idx="550">
                  <c:v>0.3152670818218033</c:v>
                </c:pt>
                <c:pt idx="551">
                  <c:v>0.30155995789070733</c:v>
                </c:pt>
                <c:pt idx="552">
                  <c:v>0.30275877011823304</c:v>
                </c:pt>
                <c:pt idx="553">
                  <c:v>0.30327003117280893</c:v>
                </c:pt>
                <c:pt idx="554">
                  <c:v>0.30101235973749119</c:v>
                </c:pt>
                <c:pt idx="555">
                  <c:v>0.30231684369442569</c:v>
                </c:pt>
                <c:pt idx="556">
                  <c:v>0.30429010301331227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7-4C80-BCC6-6EF644ED9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414279"/>
        <c:axId val="1198318087"/>
      </c:lineChart>
      <c:dateAx>
        <c:axId val="1023414279"/>
        <c:scaling>
          <c:orientation val="minMax"/>
        </c:scaling>
        <c:delete val="0"/>
        <c:axPos val="b"/>
        <c:numFmt formatCode="[$-C0A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98318087"/>
        <c:crosses val="autoZero"/>
        <c:auto val="1"/>
        <c:lblOffset val="100"/>
        <c:baseTimeUnit val="days"/>
      </c:dateAx>
      <c:valAx>
        <c:axId val="119831808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2341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7</xdr:row>
      <xdr:rowOff>102054</xdr:rowOff>
    </xdr:from>
    <xdr:to>
      <xdr:col>2</xdr:col>
      <xdr:colOff>148659</xdr:colOff>
      <xdr:row>13</xdr:row>
      <xdr:rowOff>108857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 2">
              <a:extLst>
                <a:ext uri="{FF2B5EF4-FFF2-40B4-BE49-F238E27FC236}">
                  <a16:creationId xmlns:a16="http://schemas.microsoft.com/office/drawing/2014/main" id="{A77A2A68-024A-F7DC-F533-E65DDC568C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43" y="1489983"/>
              <a:ext cx="1822337" cy="11498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1061356</xdr:colOff>
      <xdr:row>7</xdr:row>
      <xdr:rowOff>92530</xdr:rowOff>
    </xdr:from>
    <xdr:to>
      <xdr:col>4</xdr:col>
      <xdr:colOff>620825</xdr:colOff>
      <xdr:row>13</xdr:row>
      <xdr:rowOff>108858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 2">
              <a:extLst>
                <a:ext uri="{FF2B5EF4-FFF2-40B4-BE49-F238E27FC236}">
                  <a16:creationId xmlns:a16="http://schemas.microsoft.com/office/drawing/2014/main" id="{39BBD18C-0A41-BB84-BD62-6C4B262830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3856" y="1480459"/>
              <a:ext cx="2606108" cy="11593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0</xdr:row>
      <xdr:rowOff>66675</xdr:rowOff>
    </xdr:from>
    <xdr:to>
      <xdr:col>2</xdr:col>
      <xdr:colOff>438491</xdr:colOff>
      <xdr:row>3</xdr:row>
      <xdr:rowOff>112481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302F5FC-2651-4AAF-A882-B46B30C7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66675"/>
          <a:ext cx="2143125" cy="617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</xdr:colOff>
      <xdr:row>5</xdr:row>
      <xdr:rowOff>57417</xdr:rowOff>
    </xdr:from>
    <xdr:to>
      <xdr:col>2</xdr:col>
      <xdr:colOff>359342</xdr:colOff>
      <xdr:row>11</xdr:row>
      <xdr:rowOff>165367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">
              <a:extLst>
                <a:ext uri="{FF2B5EF4-FFF2-40B4-BE49-F238E27FC236}">
                  <a16:creationId xmlns:a16="http://schemas.microsoft.com/office/drawing/2014/main" id="{789EE84C-2241-700B-7694-D6DBCA8647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25" y="1009917"/>
              <a:ext cx="2598624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458257</xdr:colOff>
      <xdr:row>5</xdr:row>
      <xdr:rowOff>60064</xdr:rowOff>
    </xdr:from>
    <xdr:to>
      <xdr:col>4</xdr:col>
      <xdr:colOff>372532</xdr:colOff>
      <xdr:row>11</xdr:row>
      <xdr:rowOff>157430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AB154102-35DB-3556-3C7A-01F4CD34A1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4936" y="1012564"/>
              <a:ext cx="2513239" cy="1240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</xdr:colOff>
      <xdr:row>0</xdr:row>
      <xdr:rowOff>35721</xdr:rowOff>
    </xdr:from>
    <xdr:to>
      <xdr:col>1</xdr:col>
      <xdr:colOff>1212736</xdr:colOff>
      <xdr:row>3</xdr:row>
      <xdr:rowOff>81527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8E68B54-2B10-480B-B881-C9DCB0CD2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35721"/>
          <a:ext cx="2143125" cy="617306"/>
        </a:xfrm>
        <a:prstGeom prst="rect">
          <a:avLst/>
        </a:prstGeom>
      </xdr:spPr>
    </xdr:pic>
    <xdr:clientData/>
  </xdr:twoCellAnchor>
  <xdr:twoCellAnchor>
    <xdr:from>
      <xdr:col>7</xdr:col>
      <xdr:colOff>176893</xdr:colOff>
      <xdr:row>1</xdr:row>
      <xdr:rowOff>4423</xdr:rowOff>
    </xdr:from>
    <xdr:to>
      <xdr:col>16</xdr:col>
      <xdr:colOff>612321</xdr:colOff>
      <xdr:row>22</xdr:row>
      <xdr:rowOff>136073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CD73F7-1C01-D697-5F10-0E4132F2E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23813</xdr:colOff>
      <xdr:row>1</xdr:row>
      <xdr:rowOff>11905</xdr:rowOff>
    </xdr:from>
    <xdr:ext cx="4264785" cy="468013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75318D41-A88C-4480-BB6F-CE6B4CF0CB01}"/>
            </a:ext>
          </a:extLst>
        </xdr:cNvPr>
        <xdr:cNvSpPr/>
      </xdr:nvSpPr>
      <xdr:spPr>
        <a:xfrm>
          <a:off x="2357438" y="202405"/>
          <a:ext cx="4264785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INDICADORES PUNTUALES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61913</xdr:colOff>
      <xdr:row>5</xdr:row>
      <xdr:rowOff>30957</xdr:rowOff>
    </xdr:from>
    <xdr:to>
      <xdr:col>2</xdr:col>
      <xdr:colOff>891607</xdr:colOff>
      <xdr:row>11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 1">
              <a:extLst>
                <a:ext uri="{FF2B5EF4-FFF2-40B4-BE49-F238E27FC236}">
                  <a16:creationId xmlns:a16="http://schemas.microsoft.com/office/drawing/2014/main" id="{68305CA3-60E8-0577-5858-AB01F863AC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3" y="983457"/>
              <a:ext cx="2770073" cy="1207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691242</xdr:colOff>
      <xdr:row>5</xdr:row>
      <xdr:rowOff>42863</xdr:rowOff>
    </xdr:from>
    <xdr:to>
      <xdr:col>4</xdr:col>
      <xdr:colOff>883444</xdr:colOff>
      <xdr:row>11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 1">
              <a:extLst>
                <a:ext uri="{FF2B5EF4-FFF2-40B4-BE49-F238E27FC236}">
                  <a16:creationId xmlns:a16="http://schemas.microsoft.com/office/drawing/2014/main" id="{2E5AF98F-43D2-3A8F-4310-A1928C7C7E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0528" y="995363"/>
              <a:ext cx="2630602" cy="1195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107156</xdr:rowOff>
    </xdr:from>
    <xdr:to>
      <xdr:col>2</xdr:col>
      <xdr:colOff>165667</xdr:colOff>
      <xdr:row>3</xdr:row>
      <xdr:rowOff>152962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C822340-AFF2-4BE5-B4EE-D13864427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156"/>
          <a:ext cx="2143125" cy="617306"/>
        </a:xfrm>
        <a:prstGeom prst="rect">
          <a:avLst/>
        </a:prstGeom>
      </xdr:spPr>
    </xdr:pic>
    <xdr:clientData/>
  </xdr:twoCellAnchor>
  <xdr:twoCellAnchor>
    <xdr:from>
      <xdr:col>7</xdr:col>
      <xdr:colOff>182845</xdr:colOff>
      <xdr:row>0</xdr:row>
      <xdr:rowOff>157501</xdr:rowOff>
    </xdr:from>
    <xdr:to>
      <xdr:col>14</xdr:col>
      <xdr:colOff>680357</xdr:colOff>
      <xdr:row>23</xdr:row>
      <xdr:rowOff>54428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5090AE-E526-7E5B-A284-0481A0E4E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1137251</xdr:colOff>
      <xdr:row>1</xdr:row>
      <xdr:rowOff>41455</xdr:rowOff>
    </xdr:from>
    <xdr:ext cx="4264785" cy="468013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F9BE5E9-4A80-20D0-9ED5-B918393C9BC4}"/>
            </a:ext>
          </a:extLst>
        </xdr:cNvPr>
        <xdr:cNvSpPr/>
      </xdr:nvSpPr>
      <xdr:spPr>
        <a:xfrm>
          <a:off x="2361894" y="231955"/>
          <a:ext cx="4264785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INDICADORES ACUMULADOS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694764</xdr:colOff>
      <xdr:row>49</xdr:row>
      <xdr:rowOff>101975</xdr:rowOff>
    </xdr:from>
    <xdr:to>
      <xdr:col>22</xdr:col>
      <xdr:colOff>526676</xdr:colOff>
      <xdr:row>61</xdr:row>
      <xdr:rowOff>44824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487A10-D0A6-92CD-EDBA-419E342D8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3</xdr:row>
      <xdr:rowOff>0</xdr:rowOff>
    </xdr:from>
    <xdr:to>
      <xdr:col>14</xdr:col>
      <xdr:colOff>352425</xdr:colOff>
      <xdr:row>22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071A9E-5E16-400A-B8F6-43F59EE5B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312066</xdr:colOff>
      <xdr:row>522</xdr:row>
      <xdr:rowOff>47373</xdr:rowOff>
    </xdr:from>
    <xdr:to>
      <xdr:col>14</xdr:col>
      <xdr:colOff>150141</xdr:colOff>
      <xdr:row>542</xdr:row>
      <xdr:rowOff>37847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662090-D76F-4A7B-A02C-79C9A1600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210292</xdr:colOff>
      <xdr:row>522</xdr:row>
      <xdr:rowOff>74221</xdr:rowOff>
    </xdr:from>
    <xdr:to>
      <xdr:col>22</xdr:col>
      <xdr:colOff>110218</xdr:colOff>
      <xdr:row>542</xdr:row>
      <xdr:rowOff>64695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7AC614-A9E1-465F-9AE7-6D44ABB08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Aparicio" refreshedDate="45154.458059143515" createdVersion="8" refreshedVersion="8" minRefreshableVersion="3" recordCount="60" xr:uid="{176D47E5-EF27-46DF-B19D-983D259B6943}">
  <cacheSource type="worksheet">
    <worksheetSource ref="A1:P61" sheet="DATA DE TABLAS"/>
  </cacheSource>
  <cacheFields count="16">
    <cacheField name="AÑO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MES" numFmtId="17">
      <sharedItems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AGOSTO "/>
      </sharedItems>
    </cacheField>
    <cacheField name="INCREMENTOS BS" numFmtId="9">
      <sharedItems containsSemiMixedTypes="0" containsString="0" containsNumber="1" minValue="0" maxValue="1.78"/>
    </cacheField>
    <cacheField name="INCREMENTO YTD" numFmtId="9">
      <sharedItems containsSemiMixedTypes="0" containsString="0" containsNumber="1" minValue="0" maxValue="140.85921093966238"/>
    </cacheField>
    <cacheField name="INGRESO MENSUAL" numFmtId="9">
      <sharedItems containsSemiMixedTypes="0" containsString="0" containsNumber="1" minValue="0" maxValue="0.35"/>
    </cacheField>
    <cacheField name="INGRESO MENSUAL YTD" numFmtId="9">
      <sharedItems containsSemiMixedTypes="0" containsString="0" containsNumber="1" minValue="0" maxValue="0.35"/>
    </cacheField>
    <cacheField name="INFLACIÓN BCV" numFmtId="9">
      <sharedItems containsSemiMixedTypes="0" containsString="0" containsNumber="1" minValue="0" maxValue="1.966"/>
    </cacheField>
    <cacheField name="INFLACIÓN BCV YTD" numFmtId="9">
      <sharedItems containsSemiMixedTypes="0" containsString="0" containsNumber="1" minValue="0" maxValue="95.838341903909438"/>
    </cacheField>
    <cacheField name="INFLACIÓN OVF" numFmtId="9">
      <sharedItems containsSemiMixedTypes="0" containsString="0" containsNumber="1" minValue="0" maxValue="1.9159999999999999"/>
    </cacheField>
    <cacheField name="INFLACIÓN OVF YTD" numFmtId="9">
      <sharedItems containsSemiMixedTypes="0" containsString="0" containsNumber="1" minValue="0" maxValue="73.303853147456906"/>
    </cacheField>
    <cacheField name="DEVALUACIÓN BCV" numFmtId="9">
      <sharedItems containsSemiMixedTypes="0" containsString="0" containsNumber="1" minValue="-7.5496180793447554E-2" maxValue="1.4837108280171942"/>
    </cacheField>
    <cacheField name="DEVALUACIÓN BCV YTD" numFmtId="9">
      <sharedItems containsSemiMixedTypes="0" containsString="0" containsNumber="1" minValue="-5.1362969974880435E-2" maxValue="22.472137728937728"/>
    </cacheField>
    <cacheField name="DEVALUACIÓN EP" numFmtId="9">
      <sharedItems containsSemiMixedTypes="0" containsString="0" containsNumber="1" minValue="-4.0545527746091659E-2" maxValue="0.79341176658074453"/>
    </cacheField>
    <cacheField name="DEVALUACIÓN EP YTD" numFmtId="9">
      <sharedItems containsSemiMixedTypes="0" containsString="0" containsNumber="1" minValue="-4.2496039672154096E-2" maxValue="21.289578754270423"/>
    </cacheField>
    <cacheField name="TASA BCV" numFmtId="168">
      <sharedItems containsSemiMixedTypes="0" containsString="0" containsNumber="1" minValue="0" maxValue="29.3"/>
    </cacheField>
    <cacheField name="TASA EP" numFmtId="168">
      <sharedItems containsSemiMixedTypes="0" containsString="0" containsNumber="1" minValue="0" maxValue="31.5"/>
    </cacheField>
  </cacheFields>
  <extLst>
    <ext xmlns:x14="http://schemas.microsoft.com/office/spreadsheetml/2009/9/main" uri="{725AE2AE-9491-48be-B2B4-4EB974FC3084}">
      <x14:pivotCacheDefinition pivotCacheId="124573590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Aparicio" refreshedDate="45253.416703935189" createdVersion="8" refreshedVersion="8" minRefreshableVersion="3" recordCount="60" xr:uid="{68AB44EB-B729-4FC8-92F0-F46BD9B76935}">
  <cacheSource type="worksheet">
    <worksheetSource ref="A1:N61" sheet="DATA DE TABLAS"/>
  </cacheSource>
  <cacheFields count="14">
    <cacheField name="AÑO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MES" numFmtId="17">
      <sharedItems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AGOSTO "/>
      </sharedItems>
    </cacheField>
    <cacheField name="INCREMENTOS BS" numFmtId="9">
      <sharedItems containsSemiMixedTypes="0" containsString="0" containsNumber="1" minValue="0" maxValue="1.78"/>
    </cacheField>
    <cacheField name="INCREMENTO YTD" numFmtId="9">
      <sharedItems containsSemiMixedTypes="0" containsString="0" containsNumber="1" minValue="0" maxValue="140.85921093966238"/>
    </cacheField>
    <cacheField name="INGRESO MENSUAL" numFmtId="9">
      <sharedItems containsSemiMixedTypes="0" containsString="0" containsNumber="1" minValue="0" maxValue="0.35"/>
    </cacheField>
    <cacheField name="INGRESO MENSUAL YTD" numFmtId="9">
      <sharedItems containsSemiMixedTypes="0" containsString="0" containsNumber="1" minValue="0" maxValue="1.8235726622545618"/>
    </cacheField>
    <cacheField name="INFLACIÓN BCV" numFmtId="9">
      <sharedItems containsSemiMixedTypes="0" containsString="0" containsNumber="1" minValue="0" maxValue="1.966"/>
    </cacheField>
    <cacheField name="INFLACIÓN BCV YTD" numFmtId="9">
      <sharedItems containsSemiMixedTypes="0" containsString="0" containsNumber="1" minValue="0" maxValue="95.838341903909438"/>
    </cacheField>
    <cacheField name="INFLACIÓN OVF" numFmtId="9">
      <sharedItems containsSemiMixedTypes="0" containsString="0" containsNumber="1" minValue="0" maxValue="1.9159999999999999"/>
    </cacheField>
    <cacheField name="INFLACIÓN OVF YTD" numFmtId="9">
      <sharedItems containsSemiMixedTypes="0" containsString="0" containsNumber="1" minValue="0" maxValue="73.303853147456906"/>
    </cacheField>
    <cacheField name="DEVALUACIÓN BCV" numFmtId="9">
      <sharedItems containsSemiMixedTypes="0" containsString="0" containsNumber="1" minValue="-7.5496180793447554E-2" maxValue="1.4837108280171942"/>
    </cacheField>
    <cacheField name="DEVALUACIÓN BCV YTD" numFmtId="9">
      <sharedItems containsSemiMixedTypes="0" containsString="0" containsNumber="1" minValue="-5.1362969974880435E-2" maxValue="22.472137728937728"/>
    </cacheField>
    <cacheField name="DEVALUACIÓN EP" numFmtId="9">
      <sharedItems containsSemiMixedTypes="0" containsString="0" containsNumber="1" minValue="-4.0545527746091659E-2" maxValue="0.79341176658074453"/>
    </cacheField>
    <cacheField name="DEVALUACIÓN EP YTD" numFmtId="9">
      <sharedItems containsSemiMixedTypes="0" containsString="0" containsNumber="1" minValue="-4.2496039672154096E-2" maxValue="21.289578754270423"/>
    </cacheField>
  </cacheFields>
  <extLst>
    <ext xmlns:x14="http://schemas.microsoft.com/office/spreadsheetml/2009/9/main" uri="{725AE2AE-9491-48be-B2B4-4EB974FC3084}">
      <x14:pivotCacheDefinition pivotCacheId="6825152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1.78"/>
    <n v="1.78"/>
    <n v="0"/>
    <n v="0"/>
    <n v="1.966"/>
    <n v="1.966"/>
    <n v="1.9159999999999999"/>
    <n v="1.9159999999999999"/>
    <n v="0"/>
    <n v="0"/>
    <n v="0"/>
    <n v="0"/>
    <n v="1.2999999999999999E-3"/>
    <n v="2.3800000000000002E-3"/>
  </r>
  <r>
    <x v="0"/>
    <x v="1"/>
    <n v="1.1399999999999999"/>
    <n v="4.9491999999999994"/>
    <n v="0"/>
    <n v="0"/>
    <n v="1.1440000000000001"/>
    <n v="5.3591040000000012"/>
    <n v="0.53700000000000003"/>
    <n v="3.4818919999999993"/>
    <n v="2.1595454545454418E-2"/>
    <n v="2.1595454545454418E-2"/>
    <n v="0.53445378151260492"/>
    <n v="0.53445378151260492"/>
    <n v="1.3280740909090906E-3"/>
    <n v="3.6519999999999999E-3"/>
  </r>
  <r>
    <x v="0"/>
    <x v="2"/>
    <n v="0.72"/>
    <n v="9.2326239999999995"/>
    <n v="0"/>
    <n v="0"/>
    <n v="0.34799999999999998"/>
    <n v="7.5720721920000003"/>
    <n v="0.18100000000000002"/>
    <n v="4.2931144519999993"/>
    <n v="1.4837108280171942"/>
    <n v="1.5373476923076925"/>
    <n v="-1.0952902519166807E-3"/>
    <n v="0.53277310924369758"/>
    <n v="3.2985519999999997E-3"/>
    <n v="3.6480000000000002E-3"/>
  </r>
  <r>
    <x v="0"/>
    <x v="3"/>
    <n v="0.41"/>
    <n v="13.427999839999998"/>
    <n v="0"/>
    <n v="0"/>
    <n v="0.33799999999999997"/>
    <n v="10.469432592896"/>
    <n v="0.44700000000000001"/>
    <n v="6.6591366120439996"/>
    <n v="-2.7058124770762415E-4"/>
    <n v="1.5366611336032396"/>
    <n v="0.31528114720394695"/>
    <n v="1.0160275735294113"/>
    <n v="3.2976594736842113E-3"/>
    <n v="4.798145624999999E-3"/>
  </r>
  <r>
    <x v="0"/>
    <x v="4"/>
    <n v="0.63"/>
    <n v="22.517639739199996"/>
    <n v="0"/>
    <n v="0"/>
    <n v="0.39500000000000002"/>
    <n v="14.99985846708992"/>
    <n v="0.313"/>
    <n v="9.056446371613772"/>
    <n v="0.20937034608118332"/>
    <n v="2.0677627530364369"/>
    <n v="0.28608268324494657"/>
    <n v="1.5927781512605041"/>
    <n v="3.9880915789473675E-3"/>
    <n v="6.1708119999999995E-3"/>
  </r>
  <r>
    <x v="0"/>
    <x v="5"/>
    <n v="0.27"/>
    <n v="28.867402468783997"/>
    <n v="0"/>
    <n v="0"/>
    <n v="0.221"/>
    <n v="18.535827188316794"/>
    <n v="0.248"/>
    <n v="11.550445071773987"/>
    <n v="0.36580079979494995"/>
    <n v="3.1899528216783226"/>
    <n v="0.23860252643142177"/>
    <n v="2.2114215686274514"/>
    <n v="5.446938668181819E-3"/>
    <n v="7.6431833333333345E-3"/>
  </r>
  <r>
    <x v="0"/>
    <x v="6"/>
    <n v="0.18"/>
    <n v="34.243534913165114"/>
    <n v="0"/>
    <n v="0"/>
    <n v="0.19399999999999998"/>
    <n v="22.325777662850253"/>
    <n v="0.33799999999999997"/>
    <n v="15.792495506033596"/>
    <n v="0.14109340346364618"/>
    <n v="3.7811275256410246"/>
    <n v="0.27543453752908342"/>
    <n v="3.0959579831932773"/>
    <n v="6.2154657833333321E-3"/>
    <n v="9.7483799999999992E-3"/>
  </r>
  <r>
    <x v="0"/>
    <x v="7"/>
    <n v="0.36"/>
    <n v="46.931207481904551"/>
    <n v="0"/>
    <n v="0"/>
    <n v="0.34600000000000003"/>
    <n v="30.396496734196443"/>
    <n v="0.65200000000000002"/>
    <n v="26.741202575967502"/>
    <n v="0.22828466685779714"/>
    <n v="4.8725856300366299"/>
    <n v="0.65224408833123637"/>
    <n v="5.7675223637842263"/>
    <n v="7.6343613190476192E-3"/>
    <n v="1.6106703225806457E-2"/>
  </r>
  <r>
    <x v="0"/>
    <x v="8"/>
    <n v="0.34"/>
    <n v="63.2278180257521"/>
    <n v="0"/>
    <n v="0"/>
    <n v="0.52200000000000002"/>
    <n v="46.785468029446989"/>
    <n v="0.23499999999999999"/>
    <n v="33.260385181319862"/>
    <n v="0.93200986208115721"/>
    <n v="10.345893353146856"/>
    <n v="0.31776745593265954"/>
    <n v="7.9180207282913191"/>
    <n v="1.4749661359090912E-2"/>
    <n v="2.1224889333333337E-2"/>
  </r>
  <r>
    <x v="0"/>
    <x v="9"/>
    <n v="0.46"/>
    <n v="92.77261431759807"/>
    <n v="0"/>
    <n v="0"/>
    <n v="0.22600000000000001"/>
    <n v="57.584983804102009"/>
    <n v="0.20699999999999999"/>
    <n v="40.352284913853076"/>
    <n v="0.43072754324582396"/>
    <n v="15.232882123076926"/>
    <n v="-3.7529888044180115E-2"/>
    <n v="7.5833284087828687"/>
    <n v="2.1102746760000003E-2"/>
    <n v="2.0428321612903224E-2"/>
  </r>
  <r>
    <x v="0"/>
    <x v="10"/>
    <n v="0.24"/>
    <n v="115.27804175382161"/>
    <n v="0"/>
    <n v="0"/>
    <n v="0.25700000000000001"/>
    <n v="72.641324641756228"/>
    <n v="0.35"/>
    <n v="54.825584633701659"/>
    <n v="-4.0982572813292761E-2"/>
    <n v="14.567616849498329"/>
    <n v="0.498076587652865"/>
    <n v="11.858483333333336"/>
    <n v="2.0237901904347825E-2"/>
    <n v="3.0603190333333332E-2"/>
  </r>
  <r>
    <x v="0"/>
    <x v="11"/>
    <n v="0.22"/>
    <n v="140.85921093966238"/>
    <n v="0"/>
    <n v="0"/>
    <n v="0.315"/>
    <n v="95.838341903909438"/>
    <n v="0.33100000000000002"/>
    <n v="73.303853147456906"/>
    <n v="0.50775407410506279"/>
    <n v="22.472137728937728"/>
    <n v="0.52463110212501518"/>
    <n v="18.604443616156143"/>
    <n v="3.0513779047619042E-2"/>
    <n v="4.6658575806451608E-2"/>
  </r>
  <r>
    <x v="1"/>
    <x v="0"/>
    <n v="0.57100294117647099"/>
    <n v="0.57100294117647099"/>
    <n v="0"/>
    <n v="0"/>
    <n v="0.62"/>
    <n v="0.62"/>
    <n v="0.65400000000000003"/>
    <n v="0.65400000000000003"/>
    <n v="0.45958910662936159"/>
    <n v="0.45958910662936159"/>
    <n v="0.58206880130634642"/>
    <n v="0.58206880130634642"/>
    <n v="4.4537579500000007E-2"/>
    <n v="7.3817077096774195E-2"/>
  </r>
  <r>
    <x v="1"/>
    <x v="1"/>
    <n v="0.33"/>
    <n v="1.0894339117647065"/>
    <n v="0"/>
    <n v="0"/>
    <n v="0.22"/>
    <n v="0.97640000000000016"/>
    <n v="0.22399999999999998"/>
    <n v="1.0244960000000001"/>
    <n v="0.48450827156386711"/>
    <n v="1.1667721018758024"/>
    <n v="1.5352224662268599E-2"/>
    <n v="0.60635707697516739"/>
    <n v="6.6116405163183331E-2"/>
    <n v="7.4950333448275869E-2"/>
  </r>
  <r>
    <x v="1"/>
    <x v="2"/>
    <n v="0.14000000000000001"/>
    <n v="1.3819546594117655"/>
    <n v="0"/>
    <n v="0"/>
    <n v="0.13"/>
    <n v="1.2333319999999999"/>
    <n v="0.21199999999999999"/>
    <n v="1.4536891519999999"/>
    <n v="0.11229624240201352"/>
    <n v="1.410092467057968"/>
    <n v="3.1847220255235786E-2"/>
    <n v="0.6575150846141522"/>
    <n v="7.3541029024137908E-2"/>
    <n v="7.7337293225806472E-2"/>
  </r>
  <r>
    <x v="1"/>
    <x v="3"/>
    <n v="0.18"/>
    <n v="1.8107064981058834"/>
    <n v="0"/>
    <n v="0"/>
    <n v="0.28000000000000003"/>
    <n v="1.85866496"/>
    <n v="0.8"/>
    <n v="3.4166404736000002"/>
    <n v="1.1723910438332652E-4"/>
    <n v="1.4103750241402868"/>
    <n v="0.79341176658074453"/>
    <n v="1.972607056032099"/>
    <n v="7.3549650908516132E-2"/>
    <n v="0.13869761166666664"/>
  </r>
  <r>
    <x v="1"/>
    <x v="4"/>
    <n v="0.31"/>
    <n v="2.6820255125187074"/>
    <n v="0"/>
    <n v="0"/>
    <n v="0.39"/>
    <n v="2.9735442944000003"/>
    <n v="0.153"/>
    <n v="4.0923864660608"/>
    <n v="0.64768220084057737"/>
    <n v="2.9715320246266277"/>
    <n v="0.34583501718296961"/>
    <n v="3.0006386683331767"/>
    <n v="0.12118645068000003"/>
    <n v="0.18666410258064514"/>
  </r>
  <r>
    <x v="1"/>
    <x v="5"/>
    <n v="0.2"/>
    <n v="3.4184306150224488"/>
    <n v="0"/>
    <n v="0"/>
    <n v="0.25"/>
    <n v="3.9669303680000008"/>
    <n v="0.19500000000000001"/>
    <n v="5.0854018269426566"/>
    <n v="0.50216972922096748"/>
    <n v="4.9659151860257822"/>
    <n v="8.5639212530335573E-2"/>
    <n v="3.3432502135076403"/>
    <n v="0.18204261780322578"/>
    <n v="0.20264986933333337"/>
  </r>
  <r>
    <x v="1"/>
    <x v="6"/>
    <n v="0.26"/>
    <n v="4.5672225749282855"/>
    <n v="0"/>
    <n v="0"/>
    <n v="0.2"/>
    <n v="4.9603164416000007"/>
    <n v="0.55049999999999999"/>
    <n v="8.4354155326745897"/>
    <n v="0.10450034206094805"/>
    <n v="5.5893553636720812"/>
    <n v="0.1703100611312931"/>
    <n v="4.0829494228786283"/>
    <n v="0.20106613363333331"/>
    <n v="0.23716318096774194"/>
  </r>
  <r>
    <x v="1"/>
    <x v="7"/>
    <n v="0.21"/>
    <n v="5.7363393156632254"/>
    <n v="0"/>
    <n v="0"/>
    <n v="0.25"/>
    <n v="6.4503955520000007"/>
    <n v="0.25040000000000001"/>
    <n v="10.798043582056307"/>
    <n v="0.11168189955753727"/>
    <n v="6.3252670875466261"/>
    <n v="0.26654723444866546"/>
    <n v="5.4377955343893669"/>
    <n v="0.22352158137419359"/>
    <n v="0.30037837096774195"/>
  </r>
  <r>
    <x v="1"/>
    <x v="8"/>
    <n v="0.56999999999999995"/>
    <n v="9.5760527255912624"/>
    <n v="0"/>
    <n v="0"/>
    <n v="0.28000000000000003"/>
    <n v="8.5365063065600015"/>
    <n v="0.3004"/>
    <n v="14.342175874106022"/>
    <n v="0.29377602380035195"/>
    <n v="8.4772549258016578"/>
    <n v="0.27932703708084894"/>
    <n v="7.2360458863426693"/>
    <n v="0.28918686278387101"/>
    <n v="0.38428217133333342"/>
  </r>
  <r>
    <x v="1"/>
    <x v="9"/>
    <n v="0.37"/>
    <n v="13.489192234060031"/>
    <n v="0"/>
    <n v="0"/>
    <n v="0.31"/>
    <n v="11.492823261593603"/>
    <n v="0.23800000000000002"/>
    <n v="17.993613732143256"/>
    <n v="0.27632571489200375"/>
    <n v="11.096064168387565"/>
    <n v="0.2030106494717534"/>
    <n v="8.9080509108082584"/>
    <n v="0.36909662937999999"/>
    <n v="0.46229554451612909"/>
  </r>
  <r>
    <x v="1"/>
    <x v="10"/>
    <n v="0.49"/>
    <n v="20.588896428749447"/>
    <n v="0"/>
    <n v="0"/>
    <n v="0.4"/>
    <n v="16.489952566231043"/>
    <n v="0.65700000000000003"/>
    <n v="30.472417954161376"/>
    <n v="0.23324663459320538"/>
    <n v="13.917430427487425"/>
    <n v="0.60565129919994076"/>
    <n v="14.908874817478436"/>
    <n v="0.45518717602258063"/>
    <n v="0.74228544166666677"/>
  </r>
  <r>
    <x v="1"/>
    <x v="11"/>
    <n v="0.55000000000000004"/>
    <n v="32.462789464561645"/>
    <n v="0"/>
    <n v="0"/>
    <n v="0.78"/>
    <n v="30.132115567891258"/>
    <n v="0.21199999999999999"/>
    <n v="37.144570560443583"/>
    <n v="0.48398618870542154"/>
    <n v="21.137260725365351"/>
    <n v="0.40107826669060009"/>
    <n v="21.289578754270423"/>
    <n v="0.67549148249333324"/>
    <n v="1.04"/>
  </r>
  <r>
    <x v="2"/>
    <x v="0"/>
    <n v="0.6"/>
    <n v="0.6"/>
    <n v="0"/>
    <n v="0"/>
    <n v="0.46600000000000003"/>
    <n v="0.46600000000000003"/>
    <n v="0.55100000000000005"/>
    <n v="0.55100000000000005"/>
    <n v="1.2582739779744232"/>
    <n v="1.2582739779744232"/>
    <n v="0.49901074906947929"/>
    <n v="0.49901074906947929"/>
    <n v="1.52544483725806"/>
    <n v="1.5589711790322585"/>
  </r>
  <r>
    <x v="2"/>
    <x v="1"/>
    <n v="0.4"/>
    <n v="1.2399999999999998"/>
    <n v="0"/>
    <n v="0"/>
    <n v="0.33800000000000002"/>
    <n v="0.96150800000000003"/>
    <n v="0.50900000000000001"/>
    <n v="1.3404590000000001"/>
    <n v="0.17598009339138709"/>
    <n v="1.6556852435217015"/>
    <n v="0.14525461481024116"/>
    <n v="0.71674897802197757"/>
    <n v="1.7938927621821428"/>
    <n v="1.7854189371428568"/>
  </r>
  <r>
    <x v="2"/>
    <x v="2"/>
    <n v="0.24"/>
    <n v="1.7775999999999996"/>
    <n v="0"/>
    <n v="0"/>
    <n v="0.161"/>
    <n v="1.2773107880000003"/>
    <n v="9.0999999999999998E-2"/>
    <n v="1.5534407689999998"/>
    <n v="3.8730177170924529E-2"/>
    <n v="1.758540403513507"/>
    <n v="5.4044161638471477E-2"/>
    <n v="0.80952923728287796"/>
    <n v="1.8633705466870965"/>
    <n v="1.8819104067741932"/>
  </r>
  <r>
    <x v="2"/>
    <x v="3"/>
    <n v="0.37"/>
    <n v="2.8053119999999998"/>
    <n v="0"/>
    <n v="0"/>
    <n v="0.246"/>
    <n v="1.8375292418480003"/>
    <n v="0.33399999999999996"/>
    <n v="2.4062899858460001"/>
    <n v="0.26964599416518675"/>
    <n v="2.5023697730637422"/>
    <n v="0.30555396660892686"/>
    <n v="1.3624380734294874"/>
    <n v="2.3658209502466661"/>
    <n v="2.4569355963666668"/>
  </r>
  <r>
    <x v="2"/>
    <x v="4"/>
    <n v="0.46"/>
    <n v="4.5557555199999999"/>
    <n v="0"/>
    <n v="0"/>
    <n v="0.28499999999999998"/>
    <n v="2.6462250757746801"/>
    <n v="0.19600000000000001"/>
    <n v="3.0739228230718156"/>
    <n v="0.24918447011027811"/>
    <n v="3.3751059290948859"/>
    <n v="0.20672785966910578"/>
    <n v="1.850819839950371"/>
    <n v="2.9553467901096764"/>
    <n v="2.9648526335483858"/>
  </r>
  <r>
    <x v="2"/>
    <x v="5"/>
    <n v="0.13"/>
    <n v="5.2780037375999997"/>
    <n v="0"/>
    <n v="0"/>
    <n v="0.157"/>
    <n v="3.2186824126713054"/>
    <n v="6.4000000000000001E-2"/>
    <n v="3.3346538837484117"/>
    <n v="6.3446314050575214E-2"/>
    <n v="3.6526902738767735"/>
    <n v="6.0378612557672851E-2"/>
    <n v="2.0229483865384612"/>
    <n v="3.1428526506833343"/>
    <n v="3.143866322"/>
  </r>
  <r>
    <x v="2"/>
    <x v="6"/>
    <n v="0.25"/>
    <n v="6.8475046719999995"/>
    <n v="0"/>
    <n v="0"/>
    <n v="0.16700000000000001"/>
    <n v="3.9232023755874135"/>
    <n v="0.19"/>
    <n v="4.1582381216606095"/>
    <n v="0.12818623763310999"/>
    <n v="4.2491011349572014"/>
    <n v="0.15327973438375508"/>
    <n v="2.4863051122828774"/>
    <n v="3.5457231074096778"/>
    <n v="3.6257573167741928"/>
  </r>
  <r>
    <x v="2"/>
    <x v="7"/>
    <n v="0.2"/>
    <n v="8.4170056063999983"/>
    <n v="0"/>
    <n v="0"/>
    <n v="0.19800000000000001"/>
    <n v="4.8979964459537211"/>
    <n v="0.106"/>
    <n v="4.7050113625566343"/>
    <n v="0.15717788146219203"/>
    <n v="5.0741437309305617"/>
    <n v="0.13135510380308735"/>
    <n v="2.9442490821960288"/>
    <n v="4.1030323536838713"/>
    <n v="4.1020190454838703"/>
  </r>
  <r>
    <x v="2"/>
    <x v="8"/>
    <n v="0.16"/>
    <n v="9.9237265034239979"/>
    <n v="0"/>
    <n v="0"/>
    <n v="7.0999999999999994E-2"/>
    <n v="5.3167541936164353"/>
    <n v="9.7000000000000003E-2"/>
    <n v="5.2583974647246281"/>
    <n v="-7.5496180793447554E-2"/>
    <n v="4.6155690776548424"/>
    <n v="8.4402594862198477E-4"/>
    <n v="2.9475781307692306"/>
    <n v="3.793269081308789"/>
    <n v="4.105481256"/>
  </r>
  <r>
    <x v="2"/>
    <x v="9"/>
    <n v="0.17"/>
    <n v="11.780760009006077"/>
    <n v="0"/>
    <n v="0"/>
    <n v="6.8000000000000005E-2"/>
    <n v="5.746293478782353"/>
    <n v="8.1000000000000003E-2"/>
    <n v="5.7653276593673226"/>
    <n v="0.11095378112635035"/>
    <n v="5.2386376999968585"/>
    <n v="3.606571845392792E-2"/>
    <n v="3.0899503722084365"/>
    <n v="4.2141466287096767"/>
    <n v="4.2535483870967745"/>
  </r>
  <r>
    <x v="2"/>
    <x v="10"/>
    <n v="0.18"/>
    <n v="14.081296810627169"/>
    <n v="0"/>
    <n v="0"/>
    <n v="8.4000000000000005E-2"/>
    <n v="6.3129821310000711"/>
    <n v="0.06"/>
    <n v="6.1712473189293622"/>
    <n v="7.047691125259381E-2"/>
    <n v="5.6783176155166233"/>
    <n v="0.10832954143283247"/>
    <n v="3.5330128205128188"/>
    <n v="4.511146666666666"/>
    <n v="4.7143333333333324"/>
  </r>
  <r>
    <x v="2"/>
    <x v="11"/>
    <n v="7.0000000000000007E-2"/>
    <n v="15.13698758737107"/>
    <n v="0"/>
    <n v="0"/>
    <n v="7.5999999999999998E-2"/>
    <n v="6.8687687729560771"/>
    <n v="0.06"/>
    <n v="6.6015221580651247"/>
    <n v="2.282055746072631E-2"/>
    <n v="5.8307205464025014"/>
    <n v="-6.5300741504399351E-3"/>
    <n v="3.5034119106699757"/>
    <n v="4.6140935483870962"/>
    <n v="4.6835483870967751"/>
  </r>
  <r>
    <x v="3"/>
    <x v="0"/>
    <n v="3.1E-2"/>
    <n v="3.1E-2"/>
    <n v="0"/>
    <n v="0"/>
    <n v="6.7000000000000004E-2"/>
    <n v="6.7000000000000004E-2"/>
    <n v="4.8000000000000001E-2"/>
    <n v="4.8000000000000001E-2"/>
    <n v="-1.4064203013348209E-2"/>
    <n v="-1.4064203013348209E-2"/>
    <n v="2.6448102486396952E-2"/>
    <n v="2.6448102486396952E-2"/>
    <n v="4.5491999999999999"/>
    <n v="4.8074193548387099"/>
  </r>
  <r>
    <x v="3"/>
    <x v="1"/>
    <n v="0.03"/>
    <n v="6.1930000000000041E-2"/>
    <n v="0"/>
    <n v="0"/>
    <n v="2.9000000000000001E-2"/>
    <n v="9.7942999999999891E-2"/>
    <n v="1.7000000000000001E-2"/>
    <n v="6.5815999999999875E-2"/>
    <n v="-3.7083443242768022E-2"/>
    <n v="-5.0626097181916019E-2"/>
    <n v="-4.0545527746091659E-2"/>
    <n v="-1.5169777532888395E-2"/>
    <n v="4.3804999999999996"/>
    <n v="4.6124999999999989"/>
  </r>
  <r>
    <x v="3"/>
    <x v="2"/>
    <n v="0.11899999999999999"/>
    <n v="0.18829967000000014"/>
    <n v="0"/>
    <n v="0"/>
    <n v="1.4E-2"/>
    <n v="0.11331420199999998"/>
    <n v="0.105"/>
    <n v="0.17772667999999991"/>
    <n v="-7.7616710421168911E-4"/>
    <n v="-5.1362969974880435E-2"/>
    <n v="-2.7747180697613394E-2"/>
    <n v="-4.2496039672154096E-2"/>
    <n v="4.3771000000000004"/>
    <n v="4.484516129032257"/>
  </r>
  <r>
    <x v="3"/>
    <x v="3"/>
    <n v="8.8999999999999996E-2"/>
    <n v="0.29405834063000014"/>
    <n v="0"/>
    <n v="0"/>
    <n v="4.3999999999999997E-2"/>
    <n v="0.16230002688799994"/>
    <n v="3.5999999999999997E-2"/>
    <n v="0.22012484048000003"/>
    <n v="2.503940965479412E-2"/>
    <n v="-2.7609658766374223E-2"/>
    <n v="3.2441375341677681E-2"/>
    <n v="-1.1433294304015629E-2"/>
    <n v="4.4866999999999999"/>
    <n v="4.63"/>
  </r>
  <r>
    <x v="3"/>
    <x v="4"/>
    <n v="9.9000000000000005E-2"/>
    <n v="0.42217011635237012"/>
    <n v="0"/>
    <n v="0"/>
    <n v="6.5000000000000002E-2"/>
    <n v="0.23784952863571984"/>
    <n v="0.10100000000000001"/>
    <n v="0.34335744936847989"/>
    <n v="0.12929324447812429"/>
    <n v="9.8113843350911667E-2"/>
    <n v="0.11447084233261351"/>
    <n v="0.10172876919898055"/>
    <n v="5.0667999999999997"/>
    <n v="5.16"/>
  </r>
  <r>
    <x v="3"/>
    <x v="5"/>
    <n v="0.156"/>
    <n v="0.64402865450333979"/>
    <n v="0"/>
    <n v="0"/>
    <n v="0.114"/>
    <n v="0.37896437490019208"/>
    <n v="0.14499999999999999"/>
    <n v="0.53814427952690957"/>
    <n v="9.2326517723217982E-2"/>
    <n v="0.19949887057116067"/>
    <n v="0.12403100775193798"/>
    <n v="0.2383772987120325"/>
    <n v="5.5346000000000002"/>
    <n v="5.8"/>
  </r>
  <r>
    <x v="3"/>
    <x v="6"/>
    <n v="0.125"/>
    <n v="0.84953223631625718"/>
    <n v="0"/>
    <n v="0"/>
    <n v="7.4999999999999997E-2"/>
    <n v="0.48238670301770648"/>
    <n v="5.2999999999999999E-2"/>
    <n v="0.61966592634183559"/>
    <n v="4.498970115274803E-2"/>
    <n v="0.25346396629121593"/>
    <n v="2.931034482758621E-2"/>
    <n v="0.274674564363937"/>
    <n v="5.7835999999999999"/>
    <n v="5.97"/>
  </r>
  <r>
    <x v="3"/>
    <x v="7"/>
    <n v="0.16300000000000001"/>
    <n v="1.1510059908358072"/>
    <n v="0"/>
    <n v="0"/>
    <n v="8.2000000000000003E-2"/>
    <n v="0.60394241266515847"/>
    <n v="0.17"/>
    <n v="0.89500913381994751"/>
    <n v="0.35728611937201737"/>
    <n v="0.70130924258006155"/>
    <n v="0.36515912897822456"/>
    <n v="0.74013361801777"/>
    <n v="7.85"/>
    <n v="8.15"/>
  </r>
  <r>
    <x v="3"/>
    <x v="8"/>
    <n v="0.14000000000000001"/>
    <n v="1.4521468295528206"/>
    <n v="0"/>
    <n v="0"/>
    <n v="0.28699999999999998"/>
    <n v="1.0642738851000586"/>
    <n v="0.115"/>
    <n v="1.1129351842092414"/>
    <n v="4.2038216560509545E-2"/>
    <n v="0.77282924895603866"/>
    <n v="1.8404907975460238E-2"/>
    <n v="0.77216061712239181"/>
    <n v="8.18"/>
    <n v="8.3000000000000007"/>
  </r>
  <r>
    <x v="3"/>
    <x v="9"/>
    <n v="0.11"/>
    <n v="1.7218829808036311"/>
    <n v="0"/>
    <n v="0"/>
    <n v="6.2E-2"/>
    <n v="1.1922588659762625"/>
    <n v="0.14499999999999999"/>
    <n v="1.4193107859195813"/>
    <n v="4.1564792176039145E-2"/>
    <n v="0.84651652825250001"/>
    <n v="8.9156626506023962E-2"/>
    <n v="0.93016047937185786"/>
    <n v="8.52"/>
    <n v="9.0399999999999991"/>
  </r>
  <r>
    <x v="3"/>
    <x v="10"/>
    <n v="0.15"/>
    <n v="2.1301654279241755"/>
    <n v="0"/>
    <n v="0"/>
    <n v="0.12559999999999999"/>
    <n v="1.4676065795428808"/>
    <n v="0.22"/>
    <n v="1.951559158821889"/>
    <n v="0.28521126760563376"/>
    <n v="1.3731638479301496"/>
    <n v="0.44358407079646045"/>
    <n v="1.7863489221020741"/>
    <n v="10.95"/>
    <n v="13.05"/>
  </r>
  <r>
    <x v="3"/>
    <x v="11"/>
    <n v="0.16"/>
    <n v="2.6309918963920436"/>
    <n v="0"/>
    <n v="0"/>
    <n v="0.35299999999999998"/>
    <n v="2.3386717021215175"/>
    <n v="0.372"/>
    <n v="3.0495391659036315"/>
    <n v="0.5780821917808221"/>
    <n v="2.7450476065966201"/>
    <n v="0.42145593869731801"/>
    <n v="2.9606722226048641"/>
    <n v="17.28"/>
    <n v="18.55"/>
  </r>
  <r>
    <x v="4"/>
    <x v="0"/>
    <n v="0.4"/>
    <n v="0.4"/>
    <n v="0.35"/>
    <n v="0.35"/>
    <n v="0.4214"/>
    <n v="0.4214"/>
    <n v="0.39400000000000002"/>
    <n v="0.39400000000000002"/>
    <n v="0.27025462962962954"/>
    <n v="0.27025462962962954"/>
    <n v="0.23989218328840956"/>
    <n v="0.23989218328840956"/>
    <n v="21.95"/>
    <n v="23"/>
  </r>
  <r>
    <x v="4"/>
    <x v="1"/>
    <n v="0.4"/>
    <n v="0.95999999999999974"/>
    <n v="0.25"/>
    <n v="0.25"/>
    <n v="0.193"/>
    <n v="0.69573020000000008"/>
    <n v="0.154"/>
    <n v="0.60867599999999999"/>
    <n v="0.10979498861047832"/>
    <n v="0.4097222222222221"/>
    <n v="7.3913043478260887E-2"/>
    <n v="0.33153638814016162"/>
    <n v="24.36"/>
    <n v="24.7"/>
  </r>
  <r>
    <x v="4"/>
    <x v="2"/>
    <n v="0.16"/>
    <n v="1.2735999999999996"/>
    <n v="0.15"/>
    <n v="0.15"/>
    <n v="6.0900000000000003E-2"/>
    <n v="0.79900016917999994"/>
    <n v="4.2000000000000003E-2"/>
    <n v="0.67624039199999997"/>
    <n v="4.9261083743843415E-3"/>
    <n v="0.41666666666666674"/>
    <n v="2.0242914979757831E-3"/>
    <n v="0.33423180592991919"/>
    <n v="24.48"/>
    <n v="24.75"/>
  </r>
  <r>
    <x v="4"/>
    <x v="3"/>
    <n v="0.09"/>
    <n v="1.478224"/>
    <n v="0.09"/>
    <n v="0.09"/>
    <n v="3.7999999999999999E-2"/>
    <n v="0.8673621756088401"/>
    <n v="2.5000000000000001E-2"/>
    <n v="0.71814640179999989"/>
    <n v="1.1029411764705843E-2"/>
    <n v="0.43229166666666674"/>
    <n v="3.4747474747474749E-2"/>
    <n v="0.38059299191374674"/>
    <n v="24.75"/>
    <n v="25.61"/>
  </r>
  <r>
    <x v="4"/>
    <x v="4"/>
    <n v="0.13"/>
    <n v="1.8003931199999998"/>
    <n v="0.09"/>
    <n v="0.09"/>
    <n v="5.0999999999999997E-2"/>
    <n v="0.96259764656489089"/>
    <n v="7.5999999999999998E-2"/>
    <n v="0.84872552833680004"/>
    <n v="5.6969696969696892E-2"/>
    <n v="0.51388888888888884"/>
    <n v="9.137055837563457E-2"/>
    <n v="0.5067385444743937"/>
    <n v="26.16"/>
    <n v="27.95"/>
  </r>
  <r>
    <x v="4"/>
    <x v="5"/>
    <n v="0.05"/>
    <n v="1.9404127760000001"/>
    <n v="0.05"/>
    <n v="0.05"/>
    <n v="6.2E-2"/>
    <n v="1.0842787006519141"/>
    <n v="8.5000000000000006E-2"/>
    <n v="1.0058671982454279"/>
    <n v="6.4602446483180476E-2"/>
    <n v="0.61168981481481488"/>
    <n v="5.2951699463327451E-2"/>
    <n v="0.58652291105121335"/>
    <n v="27.85"/>
    <n v="29.43"/>
  </r>
  <r>
    <x v="4"/>
    <x v="6"/>
    <n v="0.06"/>
    <n v="2.1168375425600003"/>
    <n v="0.06"/>
    <n v="0.06"/>
    <n v="6.2E-2"/>
    <n v="1.2135039800923328"/>
    <n v="7.1999999999999995E-2"/>
    <n v="1.1502896365190987"/>
    <n v="5.2064631956912022E-2"/>
    <n v="0.69560185185185186"/>
    <n v="7.0336391437308965E-2"/>
    <n v="0.69811320754717032"/>
    <n v="29.3"/>
    <n v="31.5"/>
  </r>
  <r>
    <x v="4"/>
    <x v="12"/>
    <n v="0"/>
    <n v="0"/>
    <n v="0"/>
    <n v="0"/>
    <n v="0"/>
    <n v="0"/>
    <n v="0"/>
    <n v="0"/>
    <n v="0"/>
    <n v="0"/>
    <n v="0"/>
    <n v="0"/>
    <n v="0"/>
    <n v="0"/>
  </r>
  <r>
    <x v="4"/>
    <x v="8"/>
    <n v="0"/>
    <n v="0"/>
    <n v="0"/>
    <n v="0"/>
    <n v="0"/>
    <n v="0"/>
    <n v="0"/>
    <n v="0"/>
    <n v="0"/>
    <n v="0"/>
    <n v="0"/>
    <n v="0"/>
    <n v="0"/>
    <n v="0"/>
  </r>
  <r>
    <x v="4"/>
    <x v="9"/>
    <n v="0"/>
    <n v="0"/>
    <n v="0"/>
    <n v="0"/>
    <n v="0"/>
    <n v="0"/>
    <n v="0"/>
    <n v="0"/>
    <n v="0"/>
    <n v="0"/>
    <n v="0"/>
    <n v="0"/>
    <n v="0"/>
    <n v="0"/>
  </r>
  <r>
    <x v="4"/>
    <x v="10"/>
    <n v="0"/>
    <n v="0"/>
    <n v="0"/>
    <n v="0"/>
    <n v="0"/>
    <n v="0"/>
    <n v="0"/>
    <n v="0"/>
    <n v="0"/>
    <n v="0"/>
    <n v="0"/>
    <n v="0"/>
    <n v="0"/>
    <n v="0"/>
  </r>
  <r>
    <x v="4"/>
    <x v="11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1.78"/>
    <n v="1.78"/>
    <n v="0"/>
    <n v="0"/>
    <n v="1.966"/>
    <n v="1.966"/>
    <n v="1.9159999999999999"/>
    <n v="1.9159999999999999"/>
    <n v="0"/>
    <n v="0"/>
    <n v="0"/>
    <n v="0"/>
  </r>
  <r>
    <x v="0"/>
    <x v="1"/>
    <n v="1.1399999999999999"/>
    <n v="4.9491999999999994"/>
    <n v="0"/>
    <n v="0"/>
    <n v="1.1440000000000001"/>
    <n v="5.3591040000000012"/>
    <n v="0.53700000000000003"/>
    <n v="3.4818919999999993"/>
    <n v="2.1595454545454418E-2"/>
    <n v="2.1595454545454418E-2"/>
    <n v="0.53445378151260492"/>
    <n v="0.53445378151260492"/>
  </r>
  <r>
    <x v="0"/>
    <x v="2"/>
    <n v="0.72"/>
    <n v="9.2326239999999995"/>
    <n v="0"/>
    <n v="0"/>
    <n v="0.34799999999999998"/>
    <n v="7.5720721920000003"/>
    <n v="0.18100000000000002"/>
    <n v="4.2931144519999993"/>
    <n v="1.4837108280171942"/>
    <n v="1.5373476923076925"/>
    <n v="-1.0952902519166807E-3"/>
    <n v="0.53277310924369758"/>
  </r>
  <r>
    <x v="0"/>
    <x v="3"/>
    <n v="0.41"/>
    <n v="13.427999839999998"/>
    <n v="0"/>
    <n v="0"/>
    <n v="0.33799999999999997"/>
    <n v="10.469432592896"/>
    <n v="0.44700000000000001"/>
    <n v="6.6591366120439996"/>
    <n v="-2.7058124770762415E-4"/>
    <n v="1.5366611336032396"/>
    <n v="0.31528114720394695"/>
    <n v="1.0160275735294113"/>
  </r>
  <r>
    <x v="0"/>
    <x v="4"/>
    <n v="0.63"/>
    <n v="22.517639739199996"/>
    <n v="0"/>
    <n v="0"/>
    <n v="0.39500000000000002"/>
    <n v="14.99985846708992"/>
    <n v="0.313"/>
    <n v="9.056446371613772"/>
    <n v="0.20937034608118332"/>
    <n v="2.0677627530364369"/>
    <n v="0.28608268324494657"/>
    <n v="1.5927781512605041"/>
  </r>
  <r>
    <x v="0"/>
    <x v="5"/>
    <n v="0.27"/>
    <n v="28.867402468783997"/>
    <n v="0"/>
    <n v="0"/>
    <n v="0.221"/>
    <n v="18.535827188316794"/>
    <n v="0.248"/>
    <n v="11.550445071773987"/>
    <n v="0.36580079979494995"/>
    <n v="3.1899528216783226"/>
    <n v="0.23860252643142177"/>
    <n v="2.2114215686274514"/>
  </r>
  <r>
    <x v="0"/>
    <x v="6"/>
    <n v="0.18"/>
    <n v="34.243534913165114"/>
    <n v="0"/>
    <n v="0"/>
    <n v="0.19399999999999998"/>
    <n v="22.325777662850253"/>
    <n v="0.33799999999999997"/>
    <n v="15.792495506033596"/>
    <n v="0.14109340346364618"/>
    <n v="3.7811275256410246"/>
    <n v="0.27543453752908342"/>
    <n v="3.0959579831932773"/>
  </r>
  <r>
    <x v="0"/>
    <x v="7"/>
    <n v="0.36"/>
    <n v="46.931207481904551"/>
    <n v="0"/>
    <n v="0"/>
    <n v="0.34600000000000003"/>
    <n v="30.396496734196443"/>
    <n v="0.65200000000000002"/>
    <n v="26.741202575967502"/>
    <n v="0.22828466685779714"/>
    <n v="4.8725856300366299"/>
    <n v="0.65224408833123637"/>
    <n v="5.7675223637842263"/>
  </r>
  <r>
    <x v="0"/>
    <x v="8"/>
    <n v="0.34"/>
    <n v="63.2278180257521"/>
    <n v="0"/>
    <n v="0"/>
    <n v="0.52200000000000002"/>
    <n v="46.785468029446989"/>
    <n v="0.23499999999999999"/>
    <n v="33.260385181319862"/>
    <n v="0.93200986208115721"/>
    <n v="10.345893353146856"/>
    <n v="0.31776745593265954"/>
    <n v="7.9180207282913191"/>
  </r>
  <r>
    <x v="0"/>
    <x v="9"/>
    <n v="0.46"/>
    <n v="92.77261431759807"/>
    <n v="0"/>
    <n v="0"/>
    <n v="0.22600000000000001"/>
    <n v="57.584983804102009"/>
    <n v="0.20699999999999999"/>
    <n v="40.352284913853076"/>
    <n v="0.43072754324582396"/>
    <n v="15.232882123076926"/>
    <n v="-3.7529888044180115E-2"/>
    <n v="7.5833284087828687"/>
  </r>
  <r>
    <x v="0"/>
    <x v="10"/>
    <n v="0.24"/>
    <n v="115.27804175382161"/>
    <n v="0"/>
    <n v="0"/>
    <n v="0.25700000000000001"/>
    <n v="72.641324641756228"/>
    <n v="0.35"/>
    <n v="54.825584633701659"/>
    <n v="-4.0982572813292761E-2"/>
    <n v="14.567616849498329"/>
    <n v="0.498076587652865"/>
    <n v="11.858483333333336"/>
  </r>
  <r>
    <x v="0"/>
    <x v="11"/>
    <n v="0.22"/>
    <n v="140.85921093966238"/>
    <n v="0"/>
    <n v="0"/>
    <n v="0.315"/>
    <n v="95.838341903909438"/>
    <n v="0.33100000000000002"/>
    <n v="73.303853147456906"/>
    <n v="0.50775407410506279"/>
    <n v="22.472137728937728"/>
    <n v="0.52463110212501518"/>
    <n v="18.604443616156143"/>
  </r>
  <r>
    <x v="1"/>
    <x v="0"/>
    <n v="0.57100294117647099"/>
    <n v="0.57100294117647099"/>
    <n v="0"/>
    <n v="0"/>
    <n v="0.62"/>
    <n v="0.62"/>
    <n v="0.65400000000000003"/>
    <n v="0.65400000000000003"/>
    <n v="0.45958910662936159"/>
    <n v="0.45958910662936159"/>
    <n v="0.58206880130634642"/>
    <n v="0.58206880130634642"/>
  </r>
  <r>
    <x v="1"/>
    <x v="1"/>
    <n v="0.33"/>
    <n v="1.0894339117647065"/>
    <n v="0"/>
    <n v="0"/>
    <n v="0.22"/>
    <n v="0.97640000000000016"/>
    <n v="0.22399999999999998"/>
    <n v="1.0244960000000001"/>
    <n v="0.48450827156386711"/>
    <n v="1.1667721018758024"/>
    <n v="1.5352224662268599E-2"/>
    <n v="0.60635707697516739"/>
  </r>
  <r>
    <x v="1"/>
    <x v="2"/>
    <n v="0.14000000000000001"/>
    <n v="1.3819546594117655"/>
    <n v="0"/>
    <n v="0"/>
    <n v="0.13"/>
    <n v="1.2333319999999999"/>
    <n v="0.21199999999999999"/>
    <n v="1.4536891519999999"/>
    <n v="0.11229624240201352"/>
    <n v="1.410092467057968"/>
    <n v="3.1847220255235786E-2"/>
    <n v="0.6575150846141522"/>
  </r>
  <r>
    <x v="1"/>
    <x v="3"/>
    <n v="0.18"/>
    <n v="1.8107064981058834"/>
    <n v="0"/>
    <n v="0"/>
    <n v="0.28000000000000003"/>
    <n v="1.85866496"/>
    <n v="0.8"/>
    <n v="3.4166404736000002"/>
    <n v="1.1723910438332652E-4"/>
    <n v="1.4103750241402868"/>
    <n v="0.79341176658074453"/>
    <n v="1.972607056032099"/>
  </r>
  <r>
    <x v="1"/>
    <x v="4"/>
    <n v="0.31"/>
    <n v="2.6820255125187074"/>
    <n v="0"/>
    <n v="0"/>
    <n v="0.39"/>
    <n v="2.9735442944000003"/>
    <n v="0.153"/>
    <n v="4.0923864660608"/>
    <n v="0.64768220084057737"/>
    <n v="2.9715320246266277"/>
    <n v="0.34583501718296961"/>
    <n v="3.0006386683331767"/>
  </r>
  <r>
    <x v="1"/>
    <x v="5"/>
    <n v="0.2"/>
    <n v="3.4184306150224488"/>
    <n v="0"/>
    <n v="0"/>
    <n v="0.25"/>
    <n v="3.9669303680000008"/>
    <n v="0.19500000000000001"/>
    <n v="5.0854018269426566"/>
    <n v="0.50216972922096748"/>
    <n v="4.9659151860257822"/>
    <n v="8.5639212530335573E-2"/>
    <n v="3.3432502135076403"/>
  </r>
  <r>
    <x v="1"/>
    <x v="6"/>
    <n v="0.26"/>
    <n v="4.5672225749282855"/>
    <n v="0"/>
    <n v="0"/>
    <n v="0.2"/>
    <n v="4.9603164416000007"/>
    <n v="0.55049999999999999"/>
    <n v="8.4354155326745897"/>
    <n v="0.10450034206094805"/>
    <n v="5.5893553636720812"/>
    <n v="0.1703100611312931"/>
    <n v="4.0829494228786283"/>
  </r>
  <r>
    <x v="1"/>
    <x v="7"/>
    <n v="0.21"/>
    <n v="5.7363393156632254"/>
    <n v="0"/>
    <n v="0"/>
    <n v="0.25"/>
    <n v="6.4503955520000007"/>
    <n v="0.25040000000000001"/>
    <n v="10.798043582056307"/>
    <n v="0.11168189955753727"/>
    <n v="6.3252670875466261"/>
    <n v="0.26654723444866546"/>
    <n v="5.4377955343893669"/>
  </r>
  <r>
    <x v="1"/>
    <x v="8"/>
    <n v="0.56999999999999995"/>
    <n v="9.5760527255912624"/>
    <n v="0"/>
    <n v="0"/>
    <n v="0.28000000000000003"/>
    <n v="8.5365063065600015"/>
    <n v="0.3004"/>
    <n v="14.342175874106022"/>
    <n v="0.29377602380035195"/>
    <n v="8.4772549258016578"/>
    <n v="0.27932703708084894"/>
    <n v="7.2360458863426693"/>
  </r>
  <r>
    <x v="1"/>
    <x v="9"/>
    <n v="0.37"/>
    <n v="13.489192234060031"/>
    <n v="0"/>
    <n v="0"/>
    <n v="0.31"/>
    <n v="11.492823261593603"/>
    <n v="0.23800000000000002"/>
    <n v="17.993613732143256"/>
    <n v="0.27632571489200375"/>
    <n v="11.096064168387565"/>
    <n v="0.2030106494717534"/>
    <n v="8.9080509108082584"/>
  </r>
  <r>
    <x v="1"/>
    <x v="10"/>
    <n v="0.49"/>
    <n v="20.588896428749447"/>
    <n v="0"/>
    <n v="0"/>
    <n v="0.4"/>
    <n v="16.489952566231043"/>
    <n v="0.65700000000000003"/>
    <n v="30.472417954161376"/>
    <n v="0.23324663459320538"/>
    <n v="13.917430427487425"/>
    <n v="0.60565129919994076"/>
    <n v="14.908874817478436"/>
  </r>
  <r>
    <x v="1"/>
    <x v="11"/>
    <n v="0.55000000000000004"/>
    <n v="32.462789464561645"/>
    <n v="0"/>
    <n v="0"/>
    <n v="0.78"/>
    <n v="30.132115567891258"/>
    <n v="0.21199999999999999"/>
    <n v="37.144570560443583"/>
    <n v="0.48398618870542154"/>
    <n v="21.137260725365351"/>
    <n v="0.40107826669060009"/>
    <n v="21.289578754270423"/>
  </r>
  <r>
    <x v="2"/>
    <x v="0"/>
    <n v="0.6"/>
    <n v="0.6"/>
    <n v="0"/>
    <n v="0"/>
    <n v="0.46600000000000003"/>
    <n v="0.46600000000000003"/>
    <n v="0.55100000000000005"/>
    <n v="0.55100000000000005"/>
    <n v="1.2582739779744232"/>
    <n v="1.2582739779744232"/>
    <n v="0.49901074906947929"/>
    <n v="0.49901074906947929"/>
  </r>
  <r>
    <x v="2"/>
    <x v="1"/>
    <n v="0.4"/>
    <n v="1.2399999999999998"/>
    <n v="0"/>
    <n v="0"/>
    <n v="0.33800000000000002"/>
    <n v="0.96150800000000003"/>
    <n v="0.50900000000000001"/>
    <n v="1.3404590000000001"/>
    <n v="0.17598009339138709"/>
    <n v="1.6556852435217015"/>
    <n v="0.14525461481024116"/>
    <n v="0.71674897802197757"/>
  </r>
  <r>
    <x v="2"/>
    <x v="2"/>
    <n v="0.24"/>
    <n v="1.7775999999999996"/>
    <n v="0"/>
    <n v="0"/>
    <n v="0.161"/>
    <n v="1.2773107880000003"/>
    <n v="9.0999999999999998E-2"/>
    <n v="1.5534407689999998"/>
    <n v="3.8730177170924529E-2"/>
    <n v="1.758540403513507"/>
    <n v="5.4044161638471477E-2"/>
    <n v="0.80952923728287796"/>
  </r>
  <r>
    <x v="2"/>
    <x v="3"/>
    <n v="0.37"/>
    <n v="2.8053119999999998"/>
    <n v="0"/>
    <n v="0"/>
    <n v="0.246"/>
    <n v="1.8375292418480003"/>
    <n v="0.33399999999999996"/>
    <n v="2.4062899858460001"/>
    <n v="0.26964599416518675"/>
    <n v="2.5023697730637422"/>
    <n v="0.30555396660892686"/>
    <n v="1.3624380734294874"/>
  </r>
  <r>
    <x v="2"/>
    <x v="4"/>
    <n v="0.46"/>
    <n v="4.5557555199999999"/>
    <n v="0"/>
    <n v="0"/>
    <n v="0.28499999999999998"/>
    <n v="2.6462250757746801"/>
    <n v="0.19600000000000001"/>
    <n v="3.0739228230718156"/>
    <n v="0.24918447011027811"/>
    <n v="3.3751059290948859"/>
    <n v="0.20672785966910578"/>
    <n v="1.850819839950371"/>
  </r>
  <r>
    <x v="2"/>
    <x v="5"/>
    <n v="0.13"/>
    <n v="5.2780037375999997"/>
    <n v="0"/>
    <n v="0"/>
    <n v="0.157"/>
    <n v="3.2186824126713054"/>
    <n v="6.4000000000000001E-2"/>
    <n v="3.3346538837484117"/>
    <n v="6.3446314050575214E-2"/>
    <n v="3.6526902738767735"/>
    <n v="6.0378612557672851E-2"/>
    <n v="2.0229483865384612"/>
  </r>
  <r>
    <x v="2"/>
    <x v="6"/>
    <n v="0.25"/>
    <n v="6.8475046719999995"/>
    <n v="0"/>
    <n v="0"/>
    <n v="0.16700000000000001"/>
    <n v="3.9232023755874135"/>
    <n v="0.19"/>
    <n v="4.1582381216606095"/>
    <n v="0.12818623763310999"/>
    <n v="4.2491011349572014"/>
    <n v="0.15327973438375508"/>
    <n v="2.4863051122828774"/>
  </r>
  <r>
    <x v="2"/>
    <x v="7"/>
    <n v="0.2"/>
    <n v="8.4170056063999983"/>
    <n v="0"/>
    <n v="0"/>
    <n v="0.19800000000000001"/>
    <n v="4.8979964459537211"/>
    <n v="0.106"/>
    <n v="4.7050113625566343"/>
    <n v="0.15717788146219203"/>
    <n v="5.0741437309305617"/>
    <n v="0.13135510380308735"/>
    <n v="2.9442490821960288"/>
  </r>
  <r>
    <x v="2"/>
    <x v="8"/>
    <n v="0.16"/>
    <n v="9.9237265034239979"/>
    <n v="0"/>
    <n v="0"/>
    <n v="7.0999999999999994E-2"/>
    <n v="5.3167541936164353"/>
    <n v="9.7000000000000003E-2"/>
    <n v="5.2583974647246281"/>
    <n v="-7.5496180793447554E-2"/>
    <n v="4.6155690776548424"/>
    <n v="8.4402594862198477E-4"/>
    <n v="2.9475781307692306"/>
  </r>
  <r>
    <x v="2"/>
    <x v="9"/>
    <n v="0.17"/>
    <n v="11.780760009006077"/>
    <n v="0"/>
    <n v="0"/>
    <n v="6.8000000000000005E-2"/>
    <n v="5.746293478782353"/>
    <n v="8.1000000000000003E-2"/>
    <n v="5.7653276593673226"/>
    <n v="0.11095378112635035"/>
    <n v="5.2386376999968585"/>
    <n v="3.606571845392792E-2"/>
    <n v="3.0899503722084365"/>
  </r>
  <r>
    <x v="2"/>
    <x v="10"/>
    <n v="0.18"/>
    <n v="14.081296810627169"/>
    <n v="0"/>
    <n v="0"/>
    <n v="8.4000000000000005E-2"/>
    <n v="6.3129821310000711"/>
    <n v="0.06"/>
    <n v="6.1712473189293622"/>
    <n v="7.047691125259381E-2"/>
    <n v="5.6783176155166233"/>
    <n v="0.10832954143283247"/>
    <n v="3.5330128205128188"/>
  </r>
  <r>
    <x v="2"/>
    <x v="11"/>
    <n v="7.0000000000000007E-2"/>
    <n v="15.13698758737107"/>
    <n v="0"/>
    <n v="0"/>
    <n v="7.5999999999999998E-2"/>
    <n v="6.8687687729560771"/>
    <n v="0.06"/>
    <n v="6.6015221580651247"/>
    <n v="2.282055746072631E-2"/>
    <n v="5.8307205464025014"/>
    <n v="-6.5300741504399351E-3"/>
    <n v="3.5034119106699757"/>
  </r>
  <r>
    <x v="3"/>
    <x v="0"/>
    <n v="3.1E-2"/>
    <n v="3.1E-2"/>
    <n v="0"/>
    <n v="0"/>
    <n v="6.7000000000000004E-2"/>
    <n v="6.7000000000000004E-2"/>
    <n v="4.8000000000000001E-2"/>
    <n v="4.8000000000000001E-2"/>
    <n v="-1.4064203013348209E-2"/>
    <n v="-1.4064203013348209E-2"/>
    <n v="2.6448102486396952E-2"/>
    <n v="2.6448102486396952E-2"/>
  </r>
  <r>
    <x v="3"/>
    <x v="1"/>
    <n v="0.03"/>
    <n v="6.1930000000000041E-2"/>
    <n v="0"/>
    <n v="0"/>
    <n v="2.9000000000000001E-2"/>
    <n v="9.7942999999999891E-2"/>
    <n v="1.7000000000000001E-2"/>
    <n v="6.5815999999999875E-2"/>
    <n v="-3.7083443242768022E-2"/>
    <n v="-5.0626097181916019E-2"/>
    <n v="-4.0545527746091659E-2"/>
    <n v="-1.5169777532888395E-2"/>
  </r>
  <r>
    <x v="3"/>
    <x v="2"/>
    <n v="0.11899999999999999"/>
    <n v="0.18829967000000014"/>
    <n v="0"/>
    <n v="0"/>
    <n v="1.4E-2"/>
    <n v="0.11331420199999998"/>
    <n v="0.105"/>
    <n v="0.17772667999999991"/>
    <n v="-7.7616710421168911E-4"/>
    <n v="-5.1362969974880435E-2"/>
    <n v="-2.7747180697613394E-2"/>
    <n v="-4.2496039672154096E-2"/>
  </r>
  <r>
    <x v="3"/>
    <x v="3"/>
    <n v="8.8999999999999996E-2"/>
    <n v="0.29405834063000014"/>
    <n v="0"/>
    <n v="0"/>
    <n v="4.3999999999999997E-2"/>
    <n v="0.16230002688799994"/>
    <n v="3.5999999999999997E-2"/>
    <n v="0.22012484048000003"/>
    <n v="2.503940965479412E-2"/>
    <n v="-2.7609658766374223E-2"/>
    <n v="3.2441375341677681E-2"/>
    <n v="-1.1433294304015629E-2"/>
  </r>
  <r>
    <x v="3"/>
    <x v="4"/>
    <n v="9.9000000000000005E-2"/>
    <n v="0.42217011635237012"/>
    <n v="0"/>
    <n v="0"/>
    <n v="6.5000000000000002E-2"/>
    <n v="0.23784952863571984"/>
    <n v="0.10100000000000001"/>
    <n v="0.34335744936847989"/>
    <n v="0.12929324447812429"/>
    <n v="9.8113843350911667E-2"/>
    <n v="0.11447084233261351"/>
    <n v="0.10172876919898055"/>
  </r>
  <r>
    <x v="3"/>
    <x v="5"/>
    <n v="0.156"/>
    <n v="0.64402865450333979"/>
    <n v="0"/>
    <n v="0"/>
    <n v="0.114"/>
    <n v="0.37896437490019208"/>
    <n v="0.14499999999999999"/>
    <n v="0.53814427952690957"/>
    <n v="9.2326517723217982E-2"/>
    <n v="0.19949887057116067"/>
    <n v="0.12403100775193798"/>
    <n v="0.2383772987120325"/>
  </r>
  <r>
    <x v="3"/>
    <x v="6"/>
    <n v="0.125"/>
    <n v="0.84953223631625718"/>
    <n v="0"/>
    <n v="0"/>
    <n v="7.4999999999999997E-2"/>
    <n v="0.48238670301770648"/>
    <n v="5.2999999999999999E-2"/>
    <n v="0.61966592634183559"/>
    <n v="4.498970115274803E-2"/>
    <n v="0.25346396629121593"/>
    <n v="2.931034482758621E-2"/>
    <n v="0.274674564363937"/>
  </r>
  <r>
    <x v="3"/>
    <x v="7"/>
    <n v="0.16300000000000001"/>
    <n v="1.1510059908358072"/>
    <n v="0"/>
    <n v="0"/>
    <n v="8.2000000000000003E-2"/>
    <n v="0.60394241266515847"/>
    <n v="0.17"/>
    <n v="0.89500913381994751"/>
    <n v="0.35728611937201737"/>
    <n v="0.70130924258006155"/>
    <n v="0.36515912897822456"/>
    <n v="0.74013361801777"/>
  </r>
  <r>
    <x v="3"/>
    <x v="8"/>
    <n v="0.14000000000000001"/>
    <n v="1.4521468295528206"/>
    <n v="0"/>
    <n v="0"/>
    <n v="0.28699999999999998"/>
    <n v="1.0642738851000586"/>
    <n v="0.115"/>
    <n v="1.1129351842092414"/>
    <n v="4.2038216560509545E-2"/>
    <n v="0.77282924895603866"/>
    <n v="1.8404907975460238E-2"/>
    <n v="0.77216061712239181"/>
  </r>
  <r>
    <x v="3"/>
    <x v="9"/>
    <n v="0.11"/>
    <n v="1.7218829808036311"/>
    <n v="0"/>
    <n v="0"/>
    <n v="6.2E-2"/>
    <n v="1.1922588659762625"/>
    <n v="0.14499999999999999"/>
    <n v="1.4193107859195813"/>
    <n v="4.1564792176039145E-2"/>
    <n v="0.84651652825250001"/>
    <n v="8.9156626506023962E-2"/>
    <n v="0.93016047937185786"/>
  </r>
  <r>
    <x v="3"/>
    <x v="10"/>
    <n v="0.15"/>
    <n v="2.1301654279241755"/>
    <n v="0"/>
    <n v="0"/>
    <n v="0.12559999999999999"/>
    <n v="1.4676065795428808"/>
    <n v="0.22"/>
    <n v="1.951559158821889"/>
    <n v="0.28521126760563376"/>
    <n v="1.3731638479301496"/>
    <n v="0.44358407079646045"/>
    <n v="1.7863489221020741"/>
  </r>
  <r>
    <x v="3"/>
    <x v="11"/>
    <n v="0.16"/>
    <n v="2.6309918963920436"/>
    <n v="0"/>
    <n v="0"/>
    <n v="0.35299999999999998"/>
    <n v="2.3386717021215175"/>
    <n v="0.372"/>
    <n v="3.0495391659036315"/>
    <n v="0.5780821917808221"/>
    <n v="2.7450476065966201"/>
    <n v="0.42145593869731801"/>
    <n v="2.9606722226048641"/>
  </r>
  <r>
    <x v="4"/>
    <x v="0"/>
    <n v="0.4"/>
    <n v="0.4"/>
    <n v="0.35"/>
    <n v="0.35"/>
    <n v="0.4214"/>
    <n v="0.4214"/>
    <n v="0.39400000000000002"/>
    <n v="0.39400000000000002"/>
    <n v="0.27025462962962954"/>
    <n v="0.27025462962962954"/>
    <n v="0.23989218328840956"/>
    <n v="0.23989218328840956"/>
  </r>
  <r>
    <x v="4"/>
    <x v="1"/>
    <n v="0.4"/>
    <n v="0.95999999999999974"/>
    <n v="0.25"/>
    <n v="0.6875"/>
    <n v="0.193"/>
    <n v="0.69573020000000008"/>
    <n v="0.154"/>
    <n v="0.60867599999999999"/>
    <n v="0.10979498861047832"/>
    <n v="0.4097222222222221"/>
    <n v="7.3913043478260887E-2"/>
    <n v="0.33153638814016162"/>
  </r>
  <r>
    <x v="4"/>
    <x v="2"/>
    <n v="0.16"/>
    <n v="1.2735999999999996"/>
    <n v="0.15"/>
    <n v="0.94062499999999982"/>
    <n v="6.0900000000000003E-2"/>
    <n v="0.79900016917999994"/>
    <n v="4.2000000000000003E-2"/>
    <n v="0.67624039199999997"/>
    <n v="4.9261083743843415E-3"/>
    <n v="0.41666666666666674"/>
    <n v="2.0242914979757831E-3"/>
    <n v="0.33423180592991919"/>
  </r>
  <r>
    <x v="4"/>
    <x v="3"/>
    <n v="0.09"/>
    <n v="1.478224"/>
    <n v="0.09"/>
    <n v="1.1152812499999998"/>
    <n v="3.7999999999999999E-2"/>
    <n v="0.8673621756088401"/>
    <n v="2.5000000000000001E-2"/>
    <n v="0.71814640179999989"/>
    <n v="1.1029411764705843E-2"/>
    <n v="0.43229166666666674"/>
    <n v="3.4747474747474749E-2"/>
    <n v="0.38059299191374674"/>
  </r>
  <r>
    <x v="4"/>
    <x v="4"/>
    <n v="0.13"/>
    <n v="1.8003931199999998"/>
    <n v="0.09"/>
    <n v="1.3056565624999998"/>
    <n v="5.0999999999999997E-2"/>
    <n v="0.96259764656489089"/>
    <n v="7.5999999999999998E-2"/>
    <n v="0.84872552833680004"/>
    <n v="5.6969696969696892E-2"/>
    <n v="0.51388888888888884"/>
    <n v="9.137055837563457E-2"/>
    <n v="0.5067385444743937"/>
  </r>
  <r>
    <x v="4"/>
    <x v="5"/>
    <n v="0.05"/>
    <n v="1.9404127760000001"/>
    <n v="0.05"/>
    <n v="1.4209393906250001"/>
    <n v="6.2E-2"/>
    <n v="1.0842787006519141"/>
    <n v="8.5000000000000006E-2"/>
    <n v="1.0058671982454279"/>
    <n v="6.4602446483180476E-2"/>
    <n v="0.61168981481481488"/>
    <n v="5.2951699463327451E-2"/>
    <n v="0.58652291105121335"/>
  </r>
  <r>
    <x v="4"/>
    <x v="6"/>
    <n v="0.06"/>
    <n v="2.1168375425600003"/>
    <n v="6.2E-2"/>
    <n v="1.5710376328437503"/>
    <n v="6.2E-2"/>
    <n v="1.2135039800923328"/>
    <n v="7.1999999999999995E-2"/>
    <n v="1.1502896365190987"/>
    <n v="5.2064631956912022E-2"/>
    <n v="0.69560185185185186"/>
    <n v="7.0336391437308965E-2"/>
    <n v="0.69811320754717032"/>
  </r>
  <r>
    <x v="4"/>
    <x v="12"/>
    <n v="0.03"/>
    <n v="2.2103426688368004"/>
    <n v="3.9E-2"/>
    <n v="1.6713081005246564"/>
    <n v="7.3999999999999996E-2"/>
    <n v="1.3773032746191656"/>
    <n v="0.13600000000000001"/>
    <n v="1.4427290270856963"/>
    <n v="0.1067713310580205"/>
    <n v="0.87664351851851863"/>
    <n v="0"/>
    <n v="0"/>
  </r>
  <r>
    <x v="4"/>
    <x v="8"/>
    <n v="0.05"/>
    <n v="2.3708598022786407"/>
    <n v="5.7000000000000002E-2"/>
    <n v="1.8235726622545618"/>
    <n v="8.6999999999999994E-2"/>
    <n v="1.5841286595110331"/>
    <n v="0.06"/>
    <n v="1.589292768710838"/>
    <n v="5.617298417436567E-2"/>
    <n v="0.98206018518518534"/>
    <n v="0"/>
    <n v="0"/>
  </r>
  <r>
    <x v="4"/>
    <x v="9"/>
    <n v="9.0300000000000005E-2"/>
    <n v="2.6752484424244023"/>
    <n v="0"/>
    <n v="0"/>
    <n v="0"/>
    <n v="0"/>
    <n v="6.7000000000000004E-2"/>
    <n v="1.7627753842144642"/>
    <n v="2.540145985401443E-2"/>
    <n v="1.0324074074074074"/>
    <n v="0"/>
    <n v="0"/>
  </r>
  <r>
    <x v="4"/>
    <x v="10"/>
    <n v="0"/>
    <n v="0"/>
    <n v="0"/>
    <n v="0"/>
    <n v="0"/>
    <n v="0"/>
    <n v="0"/>
    <n v="0"/>
    <n v="0"/>
    <n v="0"/>
    <n v="0"/>
    <n v="0"/>
  </r>
  <r>
    <x v="4"/>
    <x v="11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8B3D0-FAF0-461E-8A34-836B29BB70E7}" name="TablaDinámica14" cacheId="0" applyNumberFormats="0" applyBorderFormats="0" applyFontFormats="0" applyPatternFormats="0" applyAlignmentFormats="0" applyWidthHeightFormats="1" dataCaption="Valores" grandTotalCaption="PROMEDIO" updatedVersion="8" minRefreshableVersion="3" useAutoFormatting="1" itemPrintTitles="1" createdVersion="8" indent="0" outline="1" outlineData="1" multipleFieldFilters="0" rowHeaderCaption="AÑO">
  <location ref="A15:M24" firstHeaderRow="0" firstDataRow="1" firstDataCol="1"/>
  <pivotFields count="16">
    <pivotField axis="axisRow" showAll="0">
      <items count="6">
        <item h="1" x="0"/>
        <item h="1" sd="0" x="1"/>
        <item h="1" sd="0" x="2"/>
        <item h="1" sd="0" x="3"/>
        <item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t="default"/>
      </items>
    </pivotField>
    <pivotField dataField="1" numFmtId="9" showAll="0"/>
    <pivotField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numFmtId="9" showAll="0"/>
    <pivotField dataField="1" numFmtId="168" showAll="0"/>
    <pivotField dataField="1" numFmtId="168" showAll="0"/>
  </pivotFields>
  <rowFields count="2">
    <field x="0"/>
    <field x="1"/>
  </rowFields>
  <rowItems count="9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TASA BCV " fld="14" subtotal="average" baseField="1" baseItem="1" numFmtId="43"/>
    <dataField name="TASA EP " fld="15" subtotal="average" baseField="1" baseItem="1" numFmtId="43"/>
    <dataField name=" INCREMENTOS BS" fld="2" subtotal="average" baseField="0" baseItem="0"/>
    <dataField name=" INGRESO MENSUAL" fld="4" subtotal="average" baseField="0" baseItem="0"/>
    <dataField name=" INGRESO MENSUAL YTD" fld="5" subtotal="average" baseField="0" baseItem="0"/>
    <dataField name=" INFLACIÓN BCV" fld="6" subtotal="average" baseField="0" baseItem="0"/>
    <dataField name=" INFLACIÓN BCV YTD" fld="7" subtotal="average" baseField="0" baseItem="0"/>
    <dataField name=" INFLACIÓN OVF" fld="8" subtotal="average" baseField="0" baseItem="0"/>
    <dataField name=" INFLACIÓN OVF YTD" fld="9" subtotal="average" baseField="0" baseItem="0"/>
    <dataField name=" DEPRECIACIÓN BCV" fld="10" subtotal="average" baseField="0" baseItem="0"/>
    <dataField name=" DEPRECIACIÓN BCV YTD" fld="11" subtotal="average" baseField="0" baseItem="0"/>
    <dataField name=" DEPRECIACIÓN EP" fld="12" subtotal="average" baseField="0" baseItem="0"/>
  </dataFields>
  <formats count="7">
    <format dxfId="39">
      <pivotArea outline="0" collapsedLevelsAreSubtotals="1" fieldPosition="0"/>
    </format>
    <format dxfId="38">
      <pivotArea outline="0" collapsedLevelsAreSubtotals="1" fieldPosition="0"/>
    </format>
    <format dxfId="37">
      <pivotArea dataOnly="0" labelOnly="1" outline="0" fieldPosition="0">
        <references count="1">
          <reference field="4294967294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13855-05E3-4384-B35B-4BFECA8B18F9}" name="TablaDinámica12" cacheId="1" applyNumberFormats="0" applyBorderFormats="0" applyFontFormats="0" applyPatternFormats="0" applyAlignmentFormats="0" applyWidthHeightFormats="1" dataCaption="Valores" grandTotalCaption="PROMEDIO" updatedVersion="8" minRefreshableVersion="3" useAutoFormatting="1" itemPrintTitles="1" createdVersion="8" indent="0" outline="1" outlineData="1" multipleFieldFilters="0" chartFormat="1" rowHeaderCaption="AÑO">
  <location ref="A13:G23" firstHeaderRow="0" firstDataRow="1" firstDataCol="1"/>
  <pivotFields count="14">
    <pivotField axis="axisRow" showAll="0">
      <items count="6">
        <item h="1" sd="0" x="0"/>
        <item h="1" sd="0" x="1"/>
        <item h="1" sd="0" x="2"/>
        <item h="1" sd="0" x="3"/>
        <item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x="12"/>
        <item t="default"/>
      </items>
    </pivotField>
    <pivotField dataField="1" numFmtId="9" showAll="0"/>
    <pivotField numFmtId="9" showAll="0"/>
    <pivotField dataField="1" numFmtId="9" showAll="0"/>
    <pivotField numFmtId="9" showAll="0"/>
    <pivotField dataField="1" numFmtId="9" showAll="0"/>
    <pivotField numFmtId="9" showAll="0"/>
    <pivotField dataField="1" numFmtId="9" showAll="0"/>
    <pivotField numFmtId="9" showAll="0"/>
    <pivotField dataField="1" numFmtId="9" showAll="0"/>
    <pivotField numFmtId="9" showAll="0"/>
    <pivotField dataField="1" numFmtId="9" showAll="0"/>
    <pivotField numFmtId="9" showAll="0"/>
  </pivotFields>
  <rowFields count="2">
    <field x="0"/>
    <field x="1"/>
  </rowFields>
  <rowItems count="10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 INCREMENTOS BS" fld="2" subtotal="average" baseField="0" baseItem="0"/>
    <dataField name="  INGRESO MENSUAL" fld="4" subtotal="average" baseField="0" baseItem="0"/>
    <dataField name="  INFLACIÓN BCV" fld="6" subtotal="average" baseField="0" baseItem="0"/>
    <dataField name="  INFLACIÓN OVF" fld="8" subtotal="average" baseField="0" baseItem="0"/>
    <dataField name="  DEPRECIACIÓN BCV" fld="10" subtotal="average" baseField="0" baseItem="0"/>
    <dataField name="  DEPRECIACIÓN EP" fld="12" subtotal="average" baseField="0" baseItem="0"/>
  </dataFields>
  <formats count="5">
    <format dxfId="32">
      <pivotArea outline="0" collapsedLevelsAreSubtotals="1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4B177-FC97-4C3D-A336-C5C67FAC59CF}" name="TablaDinámica13" cacheId="1" applyNumberFormats="0" applyBorderFormats="0" applyFontFormats="0" applyPatternFormats="0" applyAlignmentFormats="0" applyWidthHeightFormats="1" dataCaption="Valores" grandTotalCaption="PROMEDIO" updatedVersion="7" minRefreshableVersion="3" useAutoFormatting="1" itemPrintTitles="1" createdVersion="8" indent="0" outline="1" outlineData="1" multipleFieldFilters="0" chartFormat="8" rowHeaderCaption="AÑO">
  <location ref="A13:G23" firstHeaderRow="0" firstDataRow="1" firstDataCol="1"/>
  <pivotFields count="14">
    <pivotField axis="axisRow" showAll="0">
      <items count="6">
        <item h="1" sd="0" x="0"/>
        <item h="1" x="1"/>
        <item h="1" x="2"/>
        <item h="1" x="3"/>
        <item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x="12"/>
        <item t="default"/>
      </items>
    </pivotField>
    <pivotField numFmtId="9" showAll="0"/>
    <pivotField dataField="1" numFmtId="9" showAll="0"/>
    <pivotField numFmtId="9" showAll="0"/>
    <pivotField dataField="1" numFmtId="9" showAll="0"/>
    <pivotField numFmtId="9" showAll="0"/>
    <pivotField dataField="1" numFmtId="9" showAll="0"/>
    <pivotField numFmtId="9" showAll="0"/>
    <pivotField dataField="1" numFmtId="9" showAll="0"/>
    <pivotField numFmtId="9" showAll="0"/>
    <pivotField dataField="1" numFmtId="9" showAll="0"/>
    <pivotField numFmtId="9" showAll="0"/>
    <pivotField dataField="1" numFmtId="9" showAll="0"/>
  </pivotFields>
  <rowFields count="2">
    <field x="0"/>
    <field x="1"/>
  </rowFields>
  <rowItems count="10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CREMENTO YTD " fld="3" subtotal="average" baseField="0" baseItem="0"/>
    <dataField name=" INFLACIÓN BCV YTD" fld="7" subtotal="average" baseField="0" baseItem="0"/>
    <dataField name=" INFLACIÓN OVF YTD" fld="9" subtotal="average" baseField="0" baseItem="0"/>
    <dataField name=" DEPRECIACIÓN BCV YTD" fld="11" subtotal="average" baseField="0" baseItem="0"/>
    <dataField name="DEPRECIACIÓN EP YTD " fld="13" subtotal="average" baseField="1" baseItem="1"/>
    <dataField name="INGRESO MENSUAL YTD " fld="5" baseField="0" baseItem="0"/>
  </dataFields>
  <formats count="5"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chartFormats count="6">
    <chartFormat chart="0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4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B6B2012F-A721-4EA3-A7EA-27D58D702DDF}" sourceName="AÑO">
  <pivotTables>
    <pivotTable tabId="17" name="TablaDinámica12"/>
  </pivotTables>
  <data>
    <tabular pivotCacheId="682515200">
      <items count="5">
        <i x="0"/>
        <i x="1"/>
        <i x="2"/>
        <i x="3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43596CEC-760F-43BE-A0C5-D273CDB6931C}" sourceName="MES">
  <pivotTables>
    <pivotTable tabId="17" name="TablaDinámica12"/>
  </pivotTables>
  <data>
    <tabular pivotCacheId="682515200">
      <items count="13">
        <i x="0" s="1"/>
        <i x="1" s="1"/>
        <i x="2" s="1"/>
        <i x="3" s="1"/>
        <i x="4" s="1"/>
        <i x="5" s="1"/>
        <i x="6" s="1"/>
        <i x="8"/>
        <i x="9"/>
        <i x="10"/>
        <i x="11"/>
        <i x="12" s="1"/>
        <i x="7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FAC208A7-9323-47E0-B497-F23FBBCB5DE0}" sourceName="AÑO">
  <pivotTables>
    <pivotTable tabId="18" name="TablaDinámica13"/>
  </pivotTables>
  <data>
    <tabular pivotCacheId="682515200">
      <items count="5">
        <i x="0"/>
        <i x="1"/>
        <i x="2"/>
        <i x="3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B52BFE64-9266-4D2C-8008-5499E51FFE80}" sourceName="MES">
  <pivotTables>
    <pivotTable tabId="18" name="TablaDinámica13"/>
  </pivotTables>
  <data>
    <tabular pivotCacheId="682515200">
      <items count="13">
        <i x="0" s="1"/>
        <i x="1" s="1"/>
        <i x="2" s="1"/>
        <i x="3" s="1"/>
        <i x="4" s="1"/>
        <i x="5" s="1"/>
        <i x="6" s="1"/>
        <i x="8"/>
        <i x="9"/>
        <i x="10"/>
        <i x="11"/>
        <i x="12" s="1"/>
        <i x="7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2" xr10:uid="{8B4CA763-ADDC-4D38-B421-4F10EA2C2409}" sourceName="AÑO">
  <pivotTables>
    <pivotTable tabId="20" name="TablaDinámica14"/>
  </pivotTables>
  <data>
    <tabular pivotCacheId="1245735907">
      <items count="5">
        <i x="0"/>
        <i x="1"/>
        <i x="2"/>
        <i x="3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" xr10:uid="{EB77BA7D-CB0F-43EA-B075-18A3E60826BB}" sourceName="MES">
  <pivotTables>
    <pivotTable tabId="20" name="TablaDinámica14"/>
  </pivotTables>
  <data>
    <tabular pivotCacheId="1245735907">
      <items count="13">
        <i x="0" s="1"/>
        <i x="1" s="1"/>
        <i x="2" s="1"/>
        <i x="3" s="1"/>
        <i x="4" s="1"/>
        <i x="5" s="1"/>
        <i x="6" s="1"/>
        <i x="8"/>
        <i x="9"/>
        <i x="10"/>
        <i x="11"/>
        <i x="12"/>
        <i x="7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2" xr10:uid="{942D9640-4D75-45A0-B647-05E1638BE16E}" cache="SegmentaciónDeDatos_AÑO2" caption="AÑO" startItem="2" rowHeight="241300"/>
  <slicer name="MES 2" xr10:uid="{0DD6ABB5-D2E9-4E96-8475-124C8543F99B}" cache="SegmentaciónDeDatos_MES2" caption="ME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B120D48A-F947-4D28-9770-3CFD91DD9581}" cache="SegmentaciónDeDatos_AÑO" caption="AÑO" startItem="2" rowHeight="241300"/>
  <slicer name="MES" xr10:uid="{926495A3-6B2B-4131-94D6-44105075A324}" cache="SegmentaciónDeDatos_MES" caption="MES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0B6D9913-0865-446F-A9B1-233436B69128}" cache="SegmentaciónDeDatos_AÑO1" caption="AÑO" startItem="2" rowHeight="241300"/>
  <slicer name="MES 1" xr10:uid="{072C1A57-6C39-46F7-899A-36A530042518}" cache="SegmentaciónDeDatos_MES1" caption="MES" startItem="7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95EC7-DF44-4F8F-ACC6-8B3927E2C076}" name="Data" displayName="Data" ref="A1:AC89" totalsRowShown="0">
  <autoFilter ref="A1:AC89" xr:uid="{94C95EC7-DF44-4F8F-ACC6-8B3927E2C076}"/>
  <tableColumns count="29">
    <tableColumn id="1" xr3:uid="{99732141-CB1F-4DC6-811A-517F447FA55F}" name="Año"/>
    <tableColumn id="2" xr3:uid="{0DA5CB7E-828A-4EA6-81BD-C28224C921FD}" name="Mes"/>
    <tableColumn id="3" xr3:uid="{CDD55B2D-D669-450B-904A-173C631B9114}" name=" Incremento salario " dataDxfId="22" dataCellStyle="Porcentaje"/>
    <tableColumn id="4" xr3:uid="{D948CC09-0F70-4489-8F6C-0EAA6E331106}" name=" Incremento Acumulado" dataDxfId="21">
      <calculatedColumnFormula>(C2+1)*(D1+1)-1</calculatedColumnFormula>
    </tableColumn>
    <tableColumn id="17" xr3:uid="{DBE6A7D6-80E4-42A3-94F5-62C2DEDC2123}" name="Incremento Ingreso mensual VEF" dataDxfId="20"/>
    <tableColumn id="18" xr3:uid="{A219F7F4-B6C5-4D07-B3FB-4969680F9501}" name="ingreso mensual ytd" dataDxfId="19">
      <calculatedColumnFormula>Data[[#This Row],[Incremento Ingreso mensual VEF]]</calculatedColumnFormula>
    </tableColumn>
    <tableColumn id="14" xr3:uid="{E2782016-B014-485E-98E9-0A95C23A0124}" name="Inflacion BCV" dataDxfId="18"/>
    <tableColumn id="16" xr3:uid="{531386F5-7784-4B85-9F6E-9FCA58903664}" name="Inflación acumulada BCV" dataDxfId="17">
      <calculatedColumnFormula>(Data[[#This Row],[Inflacion BCV]]+1)*(G1+1)-1</calculatedColumnFormula>
    </tableColumn>
    <tableColumn id="5" xr3:uid="{ABD6DCFB-E75A-471E-A32A-2653CB7FB5BB}" name=" Inflación OVF" dataDxfId="16" dataCellStyle="Porcentaje"/>
    <tableColumn id="6" xr3:uid="{3DE60237-DE0A-45AF-B9E3-A533C797887A}" name=" Inflación Acumulada OVF" dataDxfId="15">
      <calculatedColumnFormula>(I2+1)*(J1+1)-1</calculatedColumnFormula>
    </tableColumn>
    <tableColumn id="7" xr3:uid="{C876B90E-2979-4290-B68E-82AABF3ED085}" name="Tasa Enparalelo" dataDxfId="14"/>
    <tableColumn id="8" xr3:uid="{0BE5B08C-7B1B-48B8-B36D-FEF631BBB0D6}" name="Tasa bcv" dataDxfId="13"/>
    <tableColumn id="21" xr3:uid="{913AFBAD-5262-45CF-B93A-FB1911149AC3}" name=" Deevaluación BCV" dataDxfId="12">
      <calculatedColumnFormula>Data[[#This Row],[Tasa bcv]]/L1-1</calculatedColumnFormula>
    </tableColumn>
    <tableColumn id="23" xr3:uid="{7D9EFBDC-0CD6-41EB-AC1E-5953A584985E}" name=" Devaluación acumulada BCV" dataDxfId="11">
      <calculatedColumnFormula>(Data[[#This Row],[ Deevaluación BCV]]+1)*(N1+1)-1</calculatedColumnFormula>
    </tableColumn>
    <tableColumn id="9" xr3:uid="{3A827558-D633-41AB-825F-B63F98BBF6AC}" name="dólar today" dataDxfId="10"/>
    <tableColumn id="10" xr3:uid="{65B10666-E904-4A31-9F77-1B2154FBF149}" name="Depreciación EP" dataDxfId="9">
      <calculatedColumnFormula>(O3/Data[[#This Row],[dólar today]]-1)*100</calculatedColumnFormula>
    </tableColumn>
    <tableColumn id="15" xr3:uid="{15AD8147-289C-42EB-9B91-5C8D58E6F8E0}" name="Devaluación Acumulada EP" dataDxfId="8">
      <calculatedColumnFormula>Data[[#This Row],[Tasa Enparalelo]]/K1-1</calculatedColumnFormula>
    </tableColumn>
    <tableColumn id="12" xr3:uid="{4D067BA7-BE85-489F-BD59-7968B990633B}" name="CANASTA ALIMENTARIA"/>
    <tableColumn id="13" xr3:uid="{1608664C-EC19-47E4-993B-0A26BBA0FD2B}" name="SALARIO MINIMO MENSUAL "/>
    <tableColumn id="22" xr3:uid="{39A9BFB5-2FEB-4FF7-9DF1-80F7749E6155}" name="Tasa Promedio BCV"/>
    <tableColumn id="24" xr3:uid="{D206C9D1-023D-419C-9993-2CD792A94230}" name="Devaluación Promedio BCV" dataDxfId="7">
      <calculatedColumnFormula>+Data[[#This Row],[Tasa Promedio BCV]]/T1-1</calculatedColumnFormula>
    </tableColumn>
    <tableColumn id="11" xr3:uid="{16109FEA-9DA7-4CEF-82CA-057B4B4BD16F}" name="Devaluación acumulada promedio BCV" dataDxfId="6" dataCellStyle="Porcentaje">
      <calculatedColumnFormula>(Data[[#This Row],[ Deevaluación BCV]]+1)*(V1+1)-1</calculatedColumnFormula>
    </tableColumn>
    <tableColumn id="19" xr3:uid="{CEC89BB6-C968-430F-A4D7-D01E52E70889}" name="Tasa Promedio paralelo"/>
    <tableColumn id="20" xr3:uid="{BE7E4522-CE2E-4435-8132-38465C32A22B}" name="Tasa paralelo"/>
    <tableColumn id="25" xr3:uid="{08390BFC-AF3E-4B73-9B4F-161A0330C831}" name="Devaluación paralelo" dataDxfId="5">
      <calculatedColumnFormula>+Data[[#This Row],[Tasa paralelo]]/X1-1</calculatedColumnFormula>
    </tableColumn>
    <tableColumn id="26" xr3:uid="{477A1108-6A67-493B-8568-7B536A02F6F4}" name="Devaluación acumulada paralelo" dataDxfId="4">
      <calculatedColumnFormula>+(Data[[#This Row],[Devaluación paralelo]]+1)*(Z1+1)-1</calculatedColumnFormula>
    </tableColumn>
    <tableColumn id="29" xr3:uid="{6126FA13-B4A9-4D1B-8943-F697D43659DC}" name="Tasa Promedio USDT" dataDxfId="3"/>
    <tableColumn id="27" xr3:uid="{E16C3FF2-7043-4D87-A876-D6097C996844}" name="Devaluación No Oficial"/>
    <tableColumn id="28" xr3:uid="{9ACDC660-0DD5-4BFF-8262-183186FB409B}" name="Devaluación acumulada no oficial" dataDxfId="2">
      <calculatedColumnFormula>+(AB2+1)*(AC1+1)-1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853B3-30C4-4E8E-907B-46DCDAE20E3B}" name="Tabla2" displayName="Tabla2" ref="A1:F2404" totalsRowShown="0" headerRowDxfId="1">
  <autoFilter ref="A1:F2404" xr:uid="{DAF853B3-30C4-4E8E-907B-46DCDAE20E3B}">
    <filterColumn colId="3">
      <filters>
        <filter val="2023"/>
      </filters>
    </filterColumn>
  </autoFilter>
  <tableColumns count="6">
    <tableColumn id="1" xr3:uid="{24752DC8-B363-4778-BC41-82E0D03086AC}" name="Día">
      <calculatedColumnFormula>DAY(B2)</calculatedColumnFormula>
    </tableColumn>
    <tableColumn id="2" xr3:uid="{EC86C596-3318-4465-A4CA-E2F955F31B3F}" name="FECHA" dataDxfId="0"/>
    <tableColumn id="3" xr3:uid="{437B2CC5-3025-4A87-B2A6-94AE86EA1E79}" name="MES"/>
    <tableColumn id="4" xr3:uid="{7BD62CD8-3F59-48EF-A446-6675557CA62C}" name="AÑO">
      <calculatedColumnFormula>YEAR(B2)</calculatedColumnFormula>
    </tableColumn>
    <tableColumn id="5" xr3:uid="{A3334F9E-CB37-443E-AB87-56D028922195}" name="ENPARALELO"/>
    <tableColumn id="6" xr3:uid="{23451D6D-39CC-44CB-BE2E-D8455E1206A9}" name="BC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DA9F-847A-4602-AF17-CE03501C17A7}">
  <dimension ref="A5:M24"/>
  <sheetViews>
    <sheetView showGridLines="0" zoomScale="70" zoomScaleNormal="70" workbookViewId="0">
      <selection activeCell="E21" sqref="E21"/>
    </sheetView>
  </sheetViews>
  <sheetFormatPr baseColWidth="10" defaultRowHeight="15" x14ac:dyDescent="0.25"/>
  <cols>
    <col min="1" max="1" width="14.28515625" bestFit="1" customWidth="1"/>
    <col min="2" max="2" width="12" bestFit="1" customWidth="1"/>
    <col min="3" max="3" width="10.28515625" bestFit="1" customWidth="1"/>
    <col min="4" max="4" width="19.5703125" bestFit="1" customWidth="1"/>
    <col min="5" max="5" width="21.42578125" bestFit="1" customWidth="1"/>
    <col min="6" max="6" width="25.85546875" bestFit="1" customWidth="1"/>
    <col min="7" max="7" width="17.140625" bestFit="1" customWidth="1"/>
    <col min="8" max="8" width="21.7109375" bestFit="1" customWidth="1"/>
    <col min="9" max="9" width="17.140625" bestFit="1" customWidth="1"/>
    <col min="10" max="10" width="21.7109375" bestFit="1" customWidth="1"/>
    <col min="11" max="11" width="21.5703125" bestFit="1" customWidth="1"/>
    <col min="12" max="12" width="26.28515625" bestFit="1" customWidth="1"/>
    <col min="13" max="13" width="20" bestFit="1" customWidth="1"/>
  </cols>
  <sheetData>
    <row r="5" spans="1:13" ht="17.25" x14ac:dyDescent="0.35">
      <c r="A5" s="35" t="s">
        <v>58</v>
      </c>
    </row>
    <row r="6" spans="1:13" ht="17.25" x14ac:dyDescent="0.35">
      <c r="A6" s="35" t="s">
        <v>59</v>
      </c>
    </row>
    <row r="7" spans="1:13" x14ac:dyDescent="0.25">
      <c r="A7" t="s">
        <v>71</v>
      </c>
    </row>
    <row r="15" spans="1:13" x14ac:dyDescent="0.25">
      <c r="A15" s="25" t="s">
        <v>17</v>
      </c>
      <c r="B15" s="14" t="s">
        <v>69</v>
      </c>
      <c r="C15" s="14" t="s">
        <v>70</v>
      </c>
      <c r="D15" s="14" t="s">
        <v>52</v>
      </c>
      <c r="E15" s="14" t="s">
        <v>53</v>
      </c>
      <c r="F15" s="14" t="s">
        <v>49</v>
      </c>
      <c r="G15" s="14" t="s">
        <v>54</v>
      </c>
      <c r="H15" s="14" t="s">
        <v>50</v>
      </c>
      <c r="I15" s="14" t="s">
        <v>55</v>
      </c>
      <c r="J15" s="14" t="s">
        <v>51</v>
      </c>
      <c r="K15" s="14" t="s">
        <v>61</v>
      </c>
      <c r="L15" s="14" t="s">
        <v>62</v>
      </c>
      <c r="M15" s="14" t="s">
        <v>63</v>
      </c>
    </row>
    <row r="16" spans="1:13" x14ac:dyDescent="0.25">
      <c r="A16" s="26">
        <v>2023</v>
      </c>
      <c r="B16" s="36">
        <v>25.550000000000004</v>
      </c>
      <c r="C16" s="36">
        <v>26.705714285714286</v>
      </c>
      <c r="D16" s="22">
        <v>0.18428571428571433</v>
      </c>
      <c r="E16" s="22">
        <v>0.14857142857142858</v>
      </c>
      <c r="F16" s="22">
        <v>0.14857142857142858</v>
      </c>
      <c r="G16" s="22">
        <v>0.12690000000000001</v>
      </c>
      <c r="H16" s="22">
        <v>0.863410410299711</v>
      </c>
      <c r="I16" s="22">
        <v>0.12114285714285714</v>
      </c>
      <c r="J16" s="22">
        <v>0.77170645098590374</v>
      </c>
      <c r="K16" s="22">
        <v>8.1377416255569629E-2</v>
      </c>
      <c r="L16" s="22">
        <v>0.47858796296296291</v>
      </c>
      <c r="M16" s="22">
        <v>8.0747948898341707E-2</v>
      </c>
    </row>
    <row r="17" spans="1:13" x14ac:dyDescent="0.25">
      <c r="A17" s="27" t="s">
        <v>23</v>
      </c>
      <c r="B17" s="36">
        <v>21.95</v>
      </c>
      <c r="C17" s="36">
        <v>23</v>
      </c>
      <c r="D17" s="22">
        <v>0.4</v>
      </c>
      <c r="E17" s="22">
        <v>0.35</v>
      </c>
      <c r="F17" s="22">
        <v>0.35</v>
      </c>
      <c r="G17" s="22">
        <v>0.4214</v>
      </c>
      <c r="H17" s="22">
        <v>0.4214</v>
      </c>
      <c r="I17" s="22">
        <v>0.39400000000000002</v>
      </c>
      <c r="J17" s="22">
        <v>0.39400000000000002</v>
      </c>
      <c r="K17" s="22">
        <v>0.27025462962962954</v>
      </c>
      <c r="L17" s="22">
        <v>0.27025462962962954</v>
      </c>
      <c r="M17" s="22">
        <v>0.23989218328840956</v>
      </c>
    </row>
    <row r="18" spans="1:13" x14ac:dyDescent="0.25">
      <c r="A18" s="27" t="s">
        <v>24</v>
      </c>
      <c r="B18" s="36">
        <v>24.36</v>
      </c>
      <c r="C18" s="36">
        <v>24.7</v>
      </c>
      <c r="D18" s="22">
        <v>0.4</v>
      </c>
      <c r="E18" s="22">
        <v>0.25</v>
      </c>
      <c r="F18" s="22">
        <v>0.25</v>
      </c>
      <c r="G18" s="22">
        <v>0.193</v>
      </c>
      <c r="H18" s="22">
        <v>0.69573020000000008</v>
      </c>
      <c r="I18" s="22">
        <v>0.154</v>
      </c>
      <c r="J18" s="22">
        <v>0.60867599999999999</v>
      </c>
      <c r="K18" s="22">
        <v>0.10979498861047832</v>
      </c>
      <c r="L18" s="22">
        <v>0.4097222222222221</v>
      </c>
      <c r="M18" s="22">
        <v>7.3913043478260887E-2</v>
      </c>
    </row>
    <row r="19" spans="1:13" x14ac:dyDescent="0.25">
      <c r="A19" s="27" t="s">
        <v>25</v>
      </c>
      <c r="B19" s="36">
        <v>24.48</v>
      </c>
      <c r="C19" s="36">
        <v>24.75</v>
      </c>
      <c r="D19" s="22">
        <v>0.16</v>
      </c>
      <c r="E19" s="22">
        <v>0.15</v>
      </c>
      <c r="F19" s="22">
        <v>0.15</v>
      </c>
      <c r="G19" s="22">
        <v>6.0900000000000003E-2</v>
      </c>
      <c r="H19" s="22">
        <v>0.79900016917999994</v>
      </c>
      <c r="I19" s="22">
        <v>4.2000000000000003E-2</v>
      </c>
      <c r="J19" s="22">
        <v>0.67624039199999997</v>
      </c>
      <c r="K19" s="22">
        <v>4.9261083743843415E-3</v>
      </c>
      <c r="L19" s="22">
        <v>0.41666666666666674</v>
      </c>
      <c r="M19" s="22">
        <v>2.0242914979757831E-3</v>
      </c>
    </row>
    <row r="20" spans="1:13" x14ac:dyDescent="0.25">
      <c r="A20" s="27" t="s">
        <v>26</v>
      </c>
      <c r="B20" s="36">
        <v>24.75</v>
      </c>
      <c r="C20" s="36">
        <v>25.61</v>
      </c>
      <c r="D20" s="22">
        <v>0.09</v>
      </c>
      <c r="E20" s="22">
        <v>0.09</v>
      </c>
      <c r="F20" s="22">
        <v>0.09</v>
      </c>
      <c r="G20" s="22">
        <v>3.7999999999999999E-2</v>
      </c>
      <c r="H20" s="22">
        <v>0.8673621756088401</v>
      </c>
      <c r="I20" s="22">
        <v>2.5000000000000001E-2</v>
      </c>
      <c r="J20" s="22">
        <v>0.71814640179999989</v>
      </c>
      <c r="K20" s="22">
        <v>1.1029411764705843E-2</v>
      </c>
      <c r="L20" s="22">
        <v>0.43229166666666674</v>
      </c>
      <c r="M20" s="22">
        <v>3.4747474747474749E-2</v>
      </c>
    </row>
    <row r="21" spans="1:13" x14ac:dyDescent="0.25">
      <c r="A21" s="27" t="s">
        <v>27</v>
      </c>
      <c r="B21" s="36">
        <v>26.16</v>
      </c>
      <c r="C21" s="36">
        <v>27.95</v>
      </c>
      <c r="D21" s="22">
        <v>0.13</v>
      </c>
      <c r="E21" s="22">
        <v>0.09</v>
      </c>
      <c r="F21" s="22">
        <v>0.09</v>
      </c>
      <c r="G21" s="22">
        <v>5.0999999999999997E-2</v>
      </c>
      <c r="H21" s="22">
        <v>0.96259764656489089</v>
      </c>
      <c r="I21" s="22">
        <v>7.5999999999999998E-2</v>
      </c>
      <c r="J21" s="22">
        <v>0.84872552833680004</v>
      </c>
      <c r="K21" s="22">
        <v>5.6969696969696892E-2</v>
      </c>
      <c r="L21" s="22">
        <v>0.51388888888888884</v>
      </c>
      <c r="M21" s="22">
        <v>9.137055837563457E-2</v>
      </c>
    </row>
    <row r="22" spans="1:13" x14ac:dyDescent="0.25">
      <c r="A22" s="27" t="s">
        <v>28</v>
      </c>
      <c r="B22" s="36">
        <v>27.85</v>
      </c>
      <c r="C22" s="36">
        <v>29.43</v>
      </c>
      <c r="D22" s="22">
        <v>0.05</v>
      </c>
      <c r="E22" s="22">
        <v>0.05</v>
      </c>
      <c r="F22" s="22">
        <v>0.05</v>
      </c>
      <c r="G22" s="22">
        <v>6.2E-2</v>
      </c>
      <c r="H22" s="22">
        <v>1.0842787006519141</v>
      </c>
      <c r="I22" s="22">
        <v>8.5000000000000006E-2</v>
      </c>
      <c r="J22" s="22">
        <v>1.0058671982454279</v>
      </c>
      <c r="K22" s="22">
        <v>6.4602446483180476E-2</v>
      </c>
      <c r="L22" s="22">
        <v>0.61168981481481488</v>
      </c>
      <c r="M22" s="22">
        <v>5.2951699463327451E-2</v>
      </c>
    </row>
    <row r="23" spans="1:13" x14ac:dyDescent="0.25">
      <c r="A23" s="27" t="s">
        <v>29</v>
      </c>
      <c r="B23" s="36">
        <v>29.3</v>
      </c>
      <c r="C23" s="36">
        <v>31.5</v>
      </c>
      <c r="D23" s="22">
        <v>0.06</v>
      </c>
      <c r="E23" s="22">
        <v>0.06</v>
      </c>
      <c r="F23" s="22">
        <v>0.06</v>
      </c>
      <c r="G23" s="22">
        <v>6.2E-2</v>
      </c>
      <c r="H23" s="22">
        <v>1.2135039800923328</v>
      </c>
      <c r="I23" s="22">
        <v>7.1999999999999995E-2</v>
      </c>
      <c r="J23" s="22">
        <v>1.1502896365190987</v>
      </c>
      <c r="K23" s="22">
        <v>5.2064631956912022E-2</v>
      </c>
      <c r="L23" s="22">
        <v>0.69560185185185186</v>
      </c>
      <c r="M23" s="22">
        <v>7.0336391437308965E-2</v>
      </c>
    </row>
    <row r="24" spans="1:13" x14ac:dyDescent="0.25">
      <c r="A24" s="26" t="s">
        <v>39</v>
      </c>
      <c r="B24" s="36">
        <v>25.550000000000004</v>
      </c>
      <c r="C24" s="36">
        <v>26.705714285714286</v>
      </c>
      <c r="D24" s="22">
        <v>0.18428571428571433</v>
      </c>
      <c r="E24" s="22">
        <v>0.14857142857142858</v>
      </c>
      <c r="F24" s="22">
        <v>0.14857142857142858</v>
      </c>
      <c r="G24" s="22">
        <v>0.12690000000000001</v>
      </c>
      <c r="H24" s="22">
        <v>0.863410410299711</v>
      </c>
      <c r="I24" s="22">
        <v>0.12114285714285714</v>
      </c>
      <c r="J24" s="22">
        <v>0.77170645098590374</v>
      </c>
      <c r="K24" s="22">
        <v>8.1377416255569629E-2</v>
      </c>
      <c r="L24" s="22">
        <v>0.47858796296296291</v>
      </c>
      <c r="M24" s="22">
        <v>8.0747948898341707E-2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8EEC-A12C-4314-9CC1-DD3898CEF7F3}">
  <dimension ref="A13:G23"/>
  <sheetViews>
    <sheetView showGridLines="0" zoomScale="70" zoomScaleNormal="70" workbookViewId="0">
      <selection activeCell="H30" sqref="H30"/>
    </sheetView>
  </sheetViews>
  <sheetFormatPr baseColWidth="10" defaultRowHeight="15" x14ac:dyDescent="0.25"/>
  <cols>
    <col min="1" max="1" width="14.28515625" bestFit="1" customWidth="1"/>
    <col min="2" max="2" width="20.140625" style="23" bestFit="1" customWidth="1"/>
    <col min="3" max="3" width="21.7109375" style="23" bestFit="1" customWidth="1"/>
    <col min="4" max="5" width="17.42578125" style="23" bestFit="1" customWidth="1"/>
    <col min="6" max="6" width="22" style="23" bestFit="1" customWidth="1"/>
    <col min="7" max="7" width="20.28515625" style="23" bestFit="1" customWidth="1"/>
  </cols>
  <sheetData>
    <row r="13" spans="1:7" x14ac:dyDescent="0.25">
      <c r="A13" s="25" t="s">
        <v>17</v>
      </c>
      <c r="B13" s="23" t="s">
        <v>45</v>
      </c>
      <c r="C13" s="23" t="s">
        <v>46</v>
      </c>
      <c r="D13" s="23" t="s">
        <v>47</v>
      </c>
      <c r="E13" s="23" t="s">
        <v>48</v>
      </c>
      <c r="F13" s="23" t="s">
        <v>64</v>
      </c>
      <c r="G13" s="23" t="s">
        <v>65</v>
      </c>
    </row>
    <row r="14" spans="1:7" x14ac:dyDescent="0.25">
      <c r="A14" s="26">
        <v>2023</v>
      </c>
      <c r="B14" s="24">
        <v>0.16500000000000004</v>
      </c>
      <c r="C14" s="24">
        <v>0.135125</v>
      </c>
      <c r="D14" s="24">
        <v>0.12028750000000001</v>
      </c>
      <c r="E14" s="24">
        <v>0.123</v>
      </c>
      <c r="F14" s="24">
        <v>8.4551655605875992E-2</v>
      </c>
      <c r="G14" s="24">
        <v>7.0654455286048995E-2</v>
      </c>
    </row>
    <row r="15" spans="1:7" x14ac:dyDescent="0.25">
      <c r="A15" s="27" t="s">
        <v>23</v>
      </c>
      <c r="B15" s="24">
        <v>0.4</v>
      </c>
      <c r="C15" s="24">
        <v>0.35</v>
      </c>
      <c r="D15" s="24">
        <v>0.4214</v>
      </c>
      <c r="E15" s="24">
        <v>0.39400000000000002</v>
      </c>
      <c r="F15" s="24">
        <v>0.27025462962962954</v>
      </c>
      <c r="G15" s="24">
        <v>0.23989218328840956</v>
      </c>
    </row>
    <row r="16" spans="1:7" x14ac:dyDescent="0.25">
      <c r="A16" s="27" t="s">
        <v>24</v>
      </c>
      <c r="B16" s="24">
        <v>0.4</v>
      </c>
      <c r="C16" s="24">
        <v>0.25</v>
      </c>
      <c r="D16" s="24">
        <v>0.193</v>
      </c>
      <c r="E16" s="24">
        <v>0.154</v>
      </c>
      <c r="F16" s="24">
        <v>0.10979498861047832</v>
      </c>
      <c r="G16" s="24">
        <v>7.3913043478260887E-2</v>
      </c>
    </row>
    <row r="17" spans="1:7" x14ac:dyDescent="0.25">
      <c r="A17" s="27" t="s">
        <v>25</v>
      </c>
      <c r="B17" s="24">
        <v>0.16</v>
      </c>
      <c r="C17" s="24">
        <v>0.15</v>
      </c>
      <c r="D17" s="24">
        <v>6.0900000000000003E-2</v>
      </c>
      <c r="E17" s="24">
        <v>4.2000000000000003E-2</v>
      </c>
      <c r="F17" s="24">
        <v>4.9261083743843415E-3</v>
      </c>
      <c r="G17" s="24">
        <v>2.0242914979757831E-3</v>
      </c>
    </row>
    <row r="18" spans="1:7" x14ac:dyDescent="0.25">
      <c r="A18" s="27" t="s">
        <v>26</v>
      </c>
      <c r="B18" s="24">
        <v>0.09</v>
      </c>
      <c r="C18" s="24">
        <v>0.09</v>
      </c>
      <c r="D18" s="24">
        <v>3.7999999999999999E-2</v>
      </c>
      <c r="E18" s="24">
        <v>2.5000000000000001E-2</v>
      </c>
      <c r="F18" s="24">
        <v>1.1029411764705843E-2</v>
      </c>
      <c r="G18" s="24">
        <v>3.4747474747474749E-2</v>
      </c>
    </row>
    <row r="19" spans="1:7" x14ac:dyDescent="0.25">
      <c r="A19" s="27" t="s">
        <v>27</v>
      </c>
      <c r="B19" s="24">
        <v>0.13</v>
      </c>
      <c r="C19" s="24">
        <v>0.09</v>
      </c>
      <c r="D19" s="24">
        <v>5.0999999999999997E-2</v>
      </c>
      <c r="E19" s="24">
        <v>7.5999999999999998E-2</v>
      </c>
      <c r="F19" s="24">
        <v>5.6969696969696892E-2</v>
      </c>
      <c r="G19" s="24">
        <v>9.137055837563457E-2</v>
      </c>
    </row>
    <row r="20" spans="1:7" x14ac:dyDescent="0.25">
      <c r="A20" s="27" t="s">
        <v>28</v>
      </c>
      <c r="B20" s="24">
        <v>0.05</v>
      </c>
      <c r="C20" s="24">
        <v>0.05</v>
      </c>
      <c r="D20" s="24">
        <v>6.2E-2</v>
      </c>
      <c r="E20" s="24">
        <v>8.5000000000000006E-2</v>
      </c>
      <c r="F20" s="24">
        <v>6.4602446483180476E-2</v>
      </c>
      <c r="G20" s="24">
        <v>5.2951699463327451E-2</v>
      </c>
    </row>
    <row r="21" spans="1:7" x14ac:dyDescent="0.25">
      <c r="A21" s="27" t="s">
        <v>29</v>
      </c>
      <c r="B21" s="24">
        <v>0.06</v>
      </c>
      <c r="C21" s="24">
        <v>6.2E-2</v>
      </c>
      <c r="D21" s="24">
        <v>6.2E-2</v>
      </c>
      <c r="E21" s="24">
        <v>7.1999999999999995E-2</v>
      </c>
      <c r="F21" s="24">
        <v>5.2064631956912022E-2</v>
      </c>
      <c r="G21" s="24">
        <v>7.0336391437308965E-2</v>
      </c>
    </row>
    <row r="22" spans="1:7" x14ac:dyDescent="0.25">
      <c r="A22" s="27" t="s">
        <v>38</v>
      </c>
      <c r="B22" s="24">
        <v>0.03</v>
      </c>
      <c r="C22" s="24">
        <v>3.9E-2</v>
      </c>
      <c r="D22" s="24">
        <v>7.3999999999999996E-2</v>
      </c>
      <c r="E22" s="24">
        <v>0.13600000000000001</v>
      </c>
      <c r="F22" s="24">
        <v>0.1067713310580205</v>
      </c>
      <c r="G22" s="24">
        <v>0</v>
      </c>
    </row>
    <row r="23" spans="1:7" x14ac:dyDescent="0.25">
      <c r="A23" s="26" t="s">
        <v>39</v>
      </c>
      <c r="B23" s="24">
        <v>0.16500000000000004</v>
      </c>
      <c r="C23" s="24">
        <v>0.135125</v>
      </c>
      <c r="D23" s="24">
        <v>0.12028750000000001</v>
      </c>
      <c r="E23" s="24">
        <v>0.123</v>
      </c>
      <c r="F23" s="24">
        <v>8.4551655605875992E-2</v>
      </c>
      <c r="G23" s="24">
        <v>7.0654455286048995E-2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EC1A-C56D-4E3B-B209-ACA1E88DE61F}">
  <dimension ref="A13:G23"/>
  <sheetViews>
    <sheetView showGridLines="0" topLeftCell="A3" zoomScale="70" zoomScaleNormal="70" workbookViewId="0">
      <selection activeCell="D16" sqref="D16"/>
    </sheetView>
  </sheetViews>
  <sheetFormatPr baseColWidth="10" defaultRowHeight="15" x14ac:dyDescent="0.25"/>
  <cols>
    <col min="1" max="1" width="12.5703125" bestFit="1" customWidth="1"/>
    <col min="2" max="2" width="16.7109375" bestFit="1" customWidth="1"/>
    <col min="3" max="3" width="18.28515625" bestFit="1" customWidth="1"/>
    <col min="4" max="4" width="18.5703125" bestFit="1" customWidth="1"/>
    <col min="5" max="5" width="21.85546875" bestFit="1" customWidth="1"/>
    <col min="6" max="6" width="20.5703125" bestFit="1" customWidth="1"/>
    <col min="7" max="7" width="21.5703125" bestFit="1" customWidth="1"/>
  </cols>
  <sheetData>
    <row r="13" spans="1:7" x14ac:dyDescent="0.25">
      <c r="A13" s="25" t="s">
        <v>17</v>
      </c>
      <c r="B13" t="s">
        <v>60</v>
      </c>
      <c r="C13" s="23" t="s">
        <v>50</v>
      </c>
      <c r="D13" s="23" t="s">
        <v>51</v>
      </c>
      <c r="E13" s="23" t="s">
        <v>62</v>
      </c>
      <c r="F13" t="s">
        <v>66</v>
      </c>
      <c r="G13" t="s">
        <v>127</v>
      </c>
    </row>
    <row r="14" spans="1:7" x14ac:dyDescent="0.25">
      <c r="A14" s="26">
        <v>2023</v>
      </c>
      <c r="B14" s="24">
        <v>1.5224762634246001</v>
      </c>
      <c r="C14" s="24">
        <v>0.9276470183396428</v>
      </c>
      <c r="D14" s="24">
        <v>0.8555842729983778</v>
      </c>
      <c r="E14" s="24">
        <v>0.52834490740740736</v>
      </c>
      <c r="F14" s="24">
        <v>0.38470350404312681</v>
      </c>
      <c r="G14" s="24">
        <v>9.0623479364934063</v>
      </c>
    </row>
    <row r="15" spans="1:7" x14ac:dyDescent="0.25">
      <c r="A15" s="27" t="s">
        <v>23</v>
      </c>
      <c r="B15" s="24">
        <v>0.4</v>
      </c>
      <c r="C15" s="24">
        <v>0.4214</v>
      </c>
      <c r="D15" s="24">
        <v>0.39400000000000002</v>
      </c>
      <c r="E15" s="24">
        <v>0.27025462962962954</v>
      </c>
      <c r="F15" s="24">
        <v>0.23989218328840956</v>
      </c>
      <c r="G15" s="24">
        <v>0.35</v>
      </c>
    </row>
    <row r="16" spans="1:7" x14ac:dyDescent="0.25">
      <c r="A16" s="27" t="s">
        <v>24</v>
      </c>
      <c r="B16" s="24">
        <v>0.95999999999999974</v>
      </c>
      <c r="C16" s="24">
        <v>0.69573020000000008</v>
      </c>
      <c r="D16" s="24">
        <v>0.60867599999999999</v>
      </c>
      <c r="E16" s="24">
        <v>0.4097222222222221</v>
      </c>
      <c r="F16" s="24">
        <v>0.33153638814016162</v>
      </c>
      <c r="G16" s="24">
        <v>0.6875</v>
      </c>
    </row>
    <row r="17" spans="1:7" x14ac:dyDescent="0.25">
      <c r="A17" s="27" t="s">
        <v>25</v>
      </c>
      <c r="B17" s="24">
        <v>1.2735999999999996</v>
      </c>
      <c r="C17" s="24">
        <v>0.79900016917999994</v>
      </c>
      <c r="D17" s="24">
        <v>0.67624039199999997</v>
      </c>
      <c r="E17" s="24">
        <v>0.41666666666666674</v>
      </c>
      <c r="F17" s="24">
        <v>0.33423180592991919</v>
      </c>
      <c r="G17" s="24">
        <v>0.94062499999999982</v>
      </c>
    </row>
    <row r="18" spans="1:7" x14ac:dyDescent="0.25">
      <c r="A18" s="27" t="s">
        <v>26</v>
      </c>
      <c r="B18" s="24">
        <v>1.478224</v>
      </c>
      <c r="C18" s="24">
        <v>0.8673621756088401</v>
      </c>
      <c r="D18" s="24">
        <v>0.71814640179999989</v>
      </c>
      <c r="E18" s="24">
        <v>0.43229166666666674</v>
      </c>
      <c r="F18" s="24">
        <v>0.38059299191374674</v>
      </c>
      <c r="G18" s="24">
        <v>1.1152812499999998</v>
      </c>
    </row>
    <row r="19" spans="1:7" x14ac:dyDescent="0.25">
      <c r="A19" s="27" t="s">
        <v>27</v>
      </c>
      <c r="B19" s="24">
        <v>1.8003931199999998</v>
      </c>
      <c r="C19" s="24">
        <v>0.96259764656489089</v>
      </c>
      <c r="D19" s="24">
        <v>0.84872552833680004</v>
      </c>
      <c r="E19" s="24">
        <v>0.51388888888888884</v>
      </c>
      <c r="F19" s="24">
        <v>0.5067385444743937</v>
      </c>
      <c r="G19" s="24">
        <v>1.3056565624999998</v>
      </c>
    </row>
    <row r="20" spans="1:7" x14ac:dyDescent="0.25">
      <c r="A20" s="27" t="s">
        <v>28</v>
      </c>
      <c r="B20" s="24">
        <v>1.9404127760000001</v>
      </c>
      <c r="C20" s="24">
        <v>1.0842787006519141</v>
      </c>
      <c r="D20" s="24">
        <v>1.0058671982454279</v>
      </c>
      <c r="E20" s="24">
        <v>0.61168981481481488</v>
      </c>
      <c r="F20" s="24">
        <v>0.58652291105121335</v>
      </c>
      <c r="G20" s="24">
        <v>1.4209393906250001</v>
      </c>
    </row>
    <row r="21" spans="1:7" x14ac:dyDescent="0.25">
      <c r="A21" s="27" t="s">
        <v>29</v>
      </c>
      <c r="B21" s="24">
        <v>2.1168375425600003</v>
      </c>
      <c r="C21" s="24">
        <v>1.2135039800923328</v>
      </c>
      <c r="D21" s="24">
        <v>1.1502896365190987</v>
      </c>
      <c r="E21" s="24">
        <v>0.69560185185185186</v>
      </c>
      <c r="F21" s="24">
        <v>0.69811320754717032</v>
      </c>
      <c r="G21" s="24">
        <v>1.5710376328437503</v>
      </c>
    </row>
    <row r="22" spans="1:7" x14ac:dyDescent="0.25">
      <c r="A22" s="27" t="s">
        <v>38</v>
      </c>
      <c r="B22" s="24">
        <v>2.2103426688368004</v>
      </c>
      <c r="C22" s="24">
        <v>1.3773032746191656</v>
      </c>
      <c r="D22" s="24">
        <v>1.4427290270856963</v>
      </c>
      <c r="E22" s="24">
        <v>0.87664351851851863</v>
      </c>
      <c r="F22" s="24">
        <v>0</v>
      </c>
      <c r="G22" s="24">
        <v>1.6713081005246564</v>
      </c>
    </row>
    <row r="23" spans="1:7" x14ac:dyDescent="0.25">
      <c r="A23" s="26" t="s">
        <v>39</v>
      </c>
      <c r="B23" s="24">
        <v>1.5224762634246001</v>
      </c>
      <c r="C23" s="24">
        <v>0.9276470183396428</v>
      </c>
      <c r="D23" s="24">
        <v>0.8555842729983778</v>
      </c>
      <c r="E23" s="24">
        <v>0.52834490740740736</v>
      </c>
      <c r="F23" s="24">
        <v>0.38470350404312681</v>
      </c>
      <c r="G23" s="24">
        <v>9.0623479364934063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E241-AD40-4FF0-B335-2D7C7725094D}">
  <dimension ref="A1:AC89"/>
  <sheetViews>
    <sheetView tabSelected="1" topLeftCell="A67" zoomScale="90" zoomScaleNormal="90" workbookViewId="0">
      <pane xSplit="2" topLeftCell="E1" activePane="topRight" state="frozen"/>
      <selection pane="topRight" activeCell="A74" sqref="A74:XFD74"/>
    </sheetView>
  </sheetViews>
  <sheetFormatPr baseColWidth="10" defaultRowHeight="15" x14ac:dyDescent="0.25"/>
  <cols>
    <col min="1" max="1" width="13" customWidth="1"/>
    <col min="2" max="2" width="12.42578125" customWidth="1"/>
    <col min="3" max="3" width="27.28515625" hidden="1" customWidth="1"/>
    <col min="4" max="4" width="35.28515625" hidden="1" customWidth="1"/>
    <col min="5" max="5" width="28.7109375" customWidth="1"/>
    <col min="6" max="6" width="38.42578125" customWidth="1"/>
    <col min="7" max="7" width="20.28515625" bestFit="1" customWidth="1"/>
    <col min="8" max="8" width="33.5703125" bestFit="1" customWidth="1"/>
    <col min="9" max="9" width="24" bestFit="1" customWidth="1"/>
    <col min="10" max="10" width="28" bestFit="1" customWidth="1"/>
    <col min="11" max="11" width="17" hidden="1" customWidth="1"/>
    <col min="12" max="12" width="12.85546875" bestFit="1" customWidth="1"/>
    <col min="13" max="13" width="21.28515625" bestFit="1" customWidth="1"/>
    <col min="14" max="14" width="25.140625" bestFit="1" customWidth="1"/>
    <col min="15" max="15" width="14.28515625" hidden="1" customWidth="1"/>
    <col min="16" max="16" width="17.42578125" hidden="1" customWidth="1"/>
    <col min="17" max="17" width="28" hidden="1" customWidth="1"/>
    <col min="18" max="18" width="24.7109375" hidden="1" customWidth="1"/>
    <col min="19" max="19" width="3.28515625" hidden="1" customWidth="1"/>
    <col min="20" max="20" width="19.140625" customWidth="1"/>
    <col min="21" max="21" width="25.85546875" customWidth="1"/>
    <col min="22" max="22" width="33.85546875" customWidth="1"/>
    <col min="23" max="23" width="26.85546875" customWidth="1"/>
    <col min="24" max="24" width="17.85546875" customWidth="1"/>
    <col min="25" max="25" width="24" customWidth="1"/>
    <col min="26" max="27" width="34.5703125" customWidth="1"/>
    <col min="28" max="28" width="23.5703125" bestFit="1" customWidth="1"/>
    <col min="29" max="29" width="33.140625" bestFit="1" customWidth="1"/>
  </cols>
  <sheetData>
    <row r="1" spans="1:29" x14ac:dyDescent="0.25">
      <c r="A1" t="s">
        <v>0</v>
      </c>
      <c r="B1" t="s">
        <v>1</v>
      </c>
      <c r="C1" s="14" t="s">
        <v>126</v>
      </c>
      <c r="D1" s="14" t="s">
        <v>10</v>
      </c>
      <c r="E1" s="14" t="s">
        <v>16</v>
      </c>
      <c r="F1" s="14" t="s">
        <v>22</v>
      </c>
      <c r="G1" t="s">
        <v>8</v>
      </c>
      <c r="H1" t="s">
        <v>13</v>
      </c>
      <c r="I1" s="14" t="s">
        <v>11</v>
      </c>
      <c r="J1" s="14" t="s">
        <v>12</v>
      </c>
      <c r="K1" t="s">
        <v>3</v>
      </c>
      <c r="L1" s="14" t="s">
        <v>4</v>
      </c>
      <c r="M1" s="14" t="s">
        <v>41</v>
      </c>
      <c r="N1" s="14" t="s">
        <v>14</v>
      </c>
      <c r="O1" t="s">
        <v>2</v>
      </c>
      <c r="P1" t="s">
        <v>7</v>
      </c>
      <c r="Q1" t="s">
        <v>15</v>
      </c>
      <c r="R1" t="s">
        <v>5</v>
      </c>
      <c r="S1" t="s">
        <v>6</v>
      </c>
      <c r="T1" t="s">
        <v>163</v>
      </c>
      <c r="U1" t="s">
        <v>164</v>
      </c>
      <c r="V1" t="s">
        <v>165</v>
      </c>
      <c r="W1" t="s">
        <v>144</v>
      </c>
      <c r="X1" t="s">
        <v>158</v>
      </c>
      <c r="Y1" t="s">
        <v>159</v>
      </c>
      <c r="Z1" t="s">
        <v>160</v>
      </c>
      <c r="AA1" s="14" t="s">
        <v>168</v>
      </c>
      <c r="AB1" t="s">
        <v>166</v>
      </c>
      <c r="AC1" t="s">
        <v>167</v>
      </c>
    </row>
    <row r="2" spans="1:29" x14ac:dyDescent="0.25">
      <c r="A2">
        <v>2019</v>
      </c>
      <c r="B2" s="21" t="s">
        <v>23</v>
      </c>
      <c r="C2" s="1">
        <v>1.78</v>
      </c>
      <c r="D2" s="2">
        <f>C2</f>
        <v>1.78</v>
      </c>
      <c r="E2" s="2"/>
      <c r="F2" s="2">
        <f>Data[[#This Row],[Incremento Ingreso mensual VEF]]</f>
        <v>0</v>
      </c>
      <c r="G2" s="2">
        <v>1.966</v>
      </c>
      <c r="H2" s="2">
        <f>Data[[#This Row],[Inflacion BCV]]</f>
        <v>1.966</v>
      </c>
      <c r="I2" s="1">
        <v>1.9159999999999999</v>
      </c>
      <c r="J2" s="2">
        <f>I2</f>
        <v>1.9159999999999999</v>
      </c>
      <c r="K2" s="9">
        <v>2.3800000000000002E-3</v>
      </c>
      <c r="L2" s="11">
        <v>1.2999999999999999E-3</v>
      </c>
      <c r="M2" s="12">
        <v>0</v>
      </c>
      <c r="N2" s="5">
        <v>0</v>
      </c>
      <c r="O2" s="5">
        <v>2150.9209677419358</v>
      </c>
      <c r="P2" s="3">
        <v>0</v>
      </c>
      <c r="Q2" s="3">
        <f>Data[[#This Row],[Depreciación EP]]</f>
        <v>0</v>
      </c>
      <c r="R2" s="7">
        <v>683.16164452763633</v>
      </c>
      <c r="S2" s="4">
        <v>4500</v>
      </c>
      <c r="U2" t="e">
        <f>+Data[[#This Row],[Tasa Promedio BCV]]/T1-1</f>
        <v>#VALUE!</v>
      </c>
      <c r="V2" s="2" t="e">
        <f>(Data[[#This Row],[ Deevaluación BCV]]+1)*(V1+1)-1</f>
        <v>#VALUE!</v>
      </c>
      <c r="Y2" t="e">
        <f>+Data[[#This Row],[Tasa paralelo]]/X1-1</f>
        <v>#VALUE!</v>
      </c>
      <c r="Z2" s="2" t="e">
        <f>+(Data[[#This Row],[Devaluación paralelo]]+1)*(Z1+1)-1</f>
        <v>#VALUE!</v>
      </c>
      <c r="AA2" s="2"/>
      <c r="AC2" s="2" t="e">
        <f t="shared" ref="AC2:AC33" si="0">+(AB2+1)*(AC1+1)-1</f>
        <v>#VALUE!</v>
      </c>
    </row>
    <row r="3" spans="1:29" x14ac:dyDescent="0.25">
      <c r="A3">
        <v>2019</v>
      </c>
      <c r="B3" s="21" t="s">
        <v>24</v>
      </c>
      <c r="C3" s="1">
        <v>1.1399999999999999</v>
      </c>
      <c r="D3" s="2">
        <f t="shared" ref="D3:D13" si="1">(C3+1)*(D2+1)-1</f>
        <v>4.9491999999999994</v>
      </c>
      <c r="E3" s="2"/>
      <c r="F3" s="2">
        <f>Data[[#This Row],[Incremento Ingreso mensual VEF]]</f>
        <v>0</v>
      </c>
      <c r="G3" s="2">
        <v>1.1440000000000001</v>
      </c>
      <c r="H3" s="2">
        <f>(Data[[#This Row],[Inflacion BCV]]+1)*(H2+1)-1</f>
        <v>5.3591040000000012</v>
      </c>
      <c r="I3" s="1">
        <v>0.53700000000000003</v>
      </c>
      <c r="J3" s="2">
        <f>(I3+1)*(J2+1)-1</f>
        <v>3.4818919999999993</v>
      </c>
      <c r="K3" s="9">
        <v>3.6519999999999999E-3</v>
      </c>
      <c r="L3" s="11">
        <v>1.3280740909090906E-3</v>
      </c>
      <c r="M3" s="12">
        <f>Data[[#This Row],[Tasa bcv]]/L2-1</f>
        <v>2.1595454545454418E-2</v>
      </c>
      <c r="N3" s="12">
        <f>(Data[[#This Row],[ Deevaluación BCV]]+1)*(N2+1)-1</f>
        <v>2.1595454545454418E-2</v>
      </c>
      <c r="O3" s="5">
        <v>3139.1014285714286</v>
      </c>
      <c r="P3" s="6">
        <f>Data[[#This Row],[Tasa Enparalelo]]/K2-1</f>
        <v>0.53445378151260492</v>
      </c>
      <c r="Q3" s="6">
        <f>(1+Q2)*(1+Data[[#This Row],[Depreciación EP]])-1</f>
        <v>0.53445378151260492</v>
      </c>
      <c r="R3" s="7">
        <v>385.8345389128321</v>
      </c>
      <c r="S3" s="4">
        <v>18000</v>
      </c>
      <c r="U3" t="e">
        <f>+Data[[#This Row],[Tasa Promedio BCV]]/T2-1</f>
        <v>#DIV/0!</v>
      </c>
      <c r="V3" s="2" t="e">
        <f>(Data[[#This Row],[ Deevaluación BCV]]+1)*(V2+1)-1</f>
        <v>#VALUE!</v>
      </c>
      <c r="Y3" t="e">
        <f>+Data[[#This Row],[Tasa paralelo]]/X2-1</f>
        <v>#DIV/0!</v>
      </c>
      <c r="Z3" s="2" t="e">
        <f>+(Data[[#This Row],[Devaluación paralelo]]+1)*(Z2+1)-1</f>
        <v>#DIV/0!</v>
      </c>
      <c r="AA3" s="2"/>
      <c r="AC3" s="2" t="e">
        <f t="shared" si="0"/>
        <v>#VALUE!</v>
      </c>
    </row>
    <row r="4" spans="1:29" x14ac:dyDescent="0.25">
      <c r="A4">
        <v>2019</v>
      </c>
      <c r="B4" s="21" t="s">
        <v>25</v>
      </c>
      <c r="C4" s="1">
        <v>0.72</v>
      </c>
      <c r="D4" s="2">
        <f t="shared" si="1"/>
        <v>9.2326239999999995</v>
      </c>
      <c r="E4" s="2"/>
      <c r="F4" s="2">
        <f>Data[[#This Row],[Incremento Ingreso mensual VEF]]</f>
        <v>0</v>
      </c>
      <c r="G4" s="2">
        <v>0.34799999999999998</v>
      </c>
      <c r="H4" s="2">
        <f>(Data[[#This Row],[Inflacion BCV]]+1)*(H3+1)-1</f>
        <v>7.5720721920000003</v>
      </c>
      <c r="I4" s="1">
        <v>0.18100000000000002</v>
      </c>
      <c r="J4" s="2">
        <f t="shared" ref="J4:J13" si="2">(I4+1)*(J3+1)-1</f>
        <v>4.2931144519999993</v>
      </c>
      <c r="K4" s="9">
        <v>3.6480000000000002E-3</v>
      </c>
      <c r="L4" s="11">
        <v>3.2985519999999997E-3</v>
      </c>
      <c r="M4" s="12">
        <f>Data[[#This Row],[Tasa bcv]]/L3-1</f>
        <v>1.4837108280171942</v>
      </c>
      <c r="N4" s="12">
        <f>(Data[[#This Row],[ Deevaluación BCV]]+1)*(N3+1)-1</f>
        <v>1.5373476923076925</v>
      </c>
      <c r="O4" s="5">
        <v>3571.3183870967741</v>
      </c>
      <c r="P4" s="6">
        <f>Data[[#This Row],[Tasa Enparalelo]]/K3-1</f>
        <v>-1.0952902519166807E-3</v>
      </c>
      <c r="Q4" s="6">
        <f>(1+Q3)*(1+Data[[#This Row],[Depreciación EP]])-1</f>
        <v>0.53277310924369758</v>
      </c>
      <c r="R4" s="7">
        <v>471.80944315689283</v>
      </c>
      <c r="S4" s="4">
        <v>18000</v>
      </c>
      <c r="U4" t="e">
        <f>+Data[[#This Row],[Tasa Promedio BCV]]/T3-1</f>
        <v>#DIV/0!</v>
      </c>
      <c r="V4" s="2" t="e">
        <f>(Data[[#This Row],[ Deevaluación BCV]]+1)*(V3+1)-1</f>
        <v>#VALUE!</v>
      </c>
      <c r="Y4" t="e">
        <f>+Data[[#This Row],[Tasa paralelo]]/X3-1</f>
        <v>#DIV/0!</v>
      </c>
      <c r="Z4" s="2" t="e">
        <f>+(Data[[#This Row],[Devaluación paralelo]]+1)*(Z3+1)-1</f>
        <v>#DIV/0!</v>
      </c>
      <c r="AA4" s="2"/>
      <c r="AC4" s="2" t="e">
        <f t="shared" si="0"/>
        <v>#VALUE!</v>
      </c>
    </row>
    <row r="5" spans="1:29" x14ac:dyDescent="0.25">
      <c r="A5">
        <v>2019</v>
      </c>
      <c r="B5" s="21" t="s">
        <v>26</v>
      </c>
      <c r="C5" s="1">
        <v>0.41</v>
      </c>
      <c r="D5" s="2">
        <f t="shared" si="1"/>
        <v>13.427999839999998</v>
      </c>
      <c r="E5" s="2"/>
      <c r="F5" s="2">
        <f>Data[[#This Row],[Incremento Ingreso mensual VEF]]</f>
        <v>0</v>
      </c>
      <c r="G5" s="2">
        <v>0.33799999999999997</v>
      </c>
      <c r="H5" s="2">
        <f>(Data[[#This Row],[Inflacion BCV]]+1)*(H4+1)-1</f>
        <v>10.469432592896</v>
      </c>
      <c r="I5" s="1">
        <v>0.44700000000000001</v>
      </c>
      <c r="J5" s="2">
        <f t="shared" si="2"/>
        <v>6.6591366120439996</v>
      </c>
      <c r="K5" s="9">
        <v>4.798145624999999E-3</v>
      </c>
      <c r="L5" s="11">
        <v>3.2976594736842113E-3</v>
      </c>
      <c r="M5" s="12">
        <f>Data[[#This Row],[Tasa bcv]]/L4-1</f>
        <v>-2.7058124770762415E-4</v>
      </c>
      <c r="N5" s="12">
        <f>(Data[[#This Row],[ Deevaluación BCV]]+1)*(N4+1)-1</f>
        <v>1.5366611336032396</v>
      </c>
      <c r="O5" s="5">
        <v>4660.7800000000007</v>
      </c>
      <c r="P5" s="6">
        <f>Data[[#This Row],[Tasa Enparalelo]]/K4-1</f>
        <v>0.31528114720394695</v>
      </c>
      <c r="Q5" s="6">
        <f>(1+Q4)*(1+Data[[#This Row],[Depreciación EP]])-1</f>
        <v>1.0160275735294113</v>
      </c>
      <c r="R5" s="7">
        <v>482.50271637641225</v>
      </c>
      <c r="S5" s="4">
        <v>18000</v>
      </c>
      <c r="U5" t="e">
        <f>+Data[[#This Row],[Tasa Promedio BCV]]/T4-1</f>
        <v>#DIV/0!</v>
      </c>
      <c r="V5" s="2" t="e">
        <f>(Data[[#This Row],[ Deevaluación BCV]]+1)*(V4+1)-1</f>
        <v>#VALUE!</v>
      </c>
      <c r="Y5" t="e">
        <f>+Data[[#This Row],[Tasa paralelo]]/X4-1</f>
        <v>#DIV/0!</v>
      </c>
      <c r="Z5" s="2" t="e">
        <f>+(Data[[#This Row],[Devaluación paralelo]]+1)*(Z4+1)-1</f>
        <v>#DIV/0!</v>
      </c>
      <c r="AA5" s="2"/>
      <c r="AC5" s="2" t="e">
        <f t="shared" si="0"/>
        <v>#VALUE!</v>
      </c>
    </row>
    <row r="6" spans="1:29" x14ac:dyDescent="0.25">
      <c r="A6">
        <v>2019</v>
      </c>
      <c r="B6" s="21" t="s">
        <v>27</v>
      </c>
      <c r="C6" s="1">
        <v>0.63</v>
      </c>
      <c r="D6" s="2">
        <f t="shared" si="1"/>
        <v>22.517639739199996</v>
      </c>
      <c r="E6" s="2"/>
      <c r="F6" s="2">
        <f>Data[[#This Row],[Incremento Ingreso mensual VEF]]</f>
        <v>0</v>
      </c>
      <c r="G6" s="2">
        <v>0.39500000000000002</v>
      </c>
      <c r="H6" s="2">
        <f>(Data[[#This Row],[Inflacion BCV]]+1)*(H5+1)-1</f>
        <v>14.99985846708992</v>
      </c>
      <c r="I6" s="1">
        <v>0.313</v>
      </c>
      <c r="J6" s="2">
        <f t="shared" si="2"/>
        <v>9.056446371613772</v>
      </c>
      <c r="K6" s="9">
        <v>6.1708119999999995E-3</v>
      </c>
      <c r="L6" s="11">
        <v>3.9880915789473675E-3</v>
      </c>
      <c r="M6" s="12">
        <f>Data[[#This Row],[Tasa bcv]]/L5-1</f>
        <v>0.20937034608118332</v>
      </c>
      <c r="N6" s="12">
        <f>(Data[[#This Row],[ Deevaluación BCV]]+1)*(N5+1)-1</f>
        <v>2.0677627530364369</v>
      </c>
      <c r="O6" s="5">
        <v>5917.6880645161282</v>
      </c>
      <c r="P6" s="6">
        <f>Data[[#This Row],[Tasa Enparalelo]]/K5-1</f>
        <v>0.28608268324494657</v>
      </c>
      <c r="Q6" s="6">
        <f>(1+Q5)*(1+Data[[#This Row],[Depreciación EP]])-1</f>
        <v>1.5927781512605041</v>
      </c>
      <c r="R6" s="7">
        <v>411.74</v>
      </c>
      <c r="S6" s="4">
        <v>40000</v>
      </c>
      <c r="U6" t="e">
        <f>+Data[[#This Row],[Tasa Promedio BCV]]/T5-1</f>
        <v>#DIV/0!</v>
      </c>
      <c r="V6" s="2" t="e">
        <f>(Data[[#This Row],[ Deevaluación BCV]]+1)*(V5+1)-1</f>
        <v>#VALUE!</v>
      </c>
      <c r="Y6" t="e">
        <f>+Data[[#This Row],[Tasa paralelo]]/X5-1</f>
        <v>#DIV/0!</v>
      </c>
      <c r="Z6" s="2" t="e">
        <f>+(Data[[#This Row],[Devaluación paralelo]]+1)*(Z5+1)-1</f>
        <v>#DIV/0!</v>
      </c>
      <c r="AA6" s="2"/>
      <c r="AC6" s="2" t="e">
        <f t="shared" si="0"/>
        <v>#VALUE!</v>
      </c>
    </row>
    <row r="7" spans="1:29" x14ac:dyDescent="0.25">
      <c r="A7">
        <v>2019</v>
      </c>
      <c r="B7" s="21" t="s">
        <v>28</v>
      </c>
      <c r="C7" s="1">
        <v>0.27</v>
      </c>
      <c r="D7" s="2">
        <f t="shared" si="1"/>
        <v>28.867402468783997</v>
      </c>
      <c r="E7" s="2"/>
      <c r="F7" s="2">
        <f>Data[[#This Row],[Incremento Ingreso mensual VEF]]</f>
        <v>0</v>
      </c>
      <c r="G7" s="2">
        <v>0.221</v>
      </c>
      <c r="H7" s="2">
        <f>(Data[[#This Row],[Inflacion BCV]]+1)*(H6+1)-1</f>
        <v>18.535827188316794</v>
      </c>
      <c r="I7" s="1">
        <v>0.248</v>
      </c>
      <c r="J7" s="2">
        <f t="shared" si="2"/>
        <v>11.550445071773987</v>
      </c>
      <c r="K7" s="9">
        <v>7.6431833333333345E-3</v>
      </c>
      <c r="L7" s="11">
        <v>5.446938668181819E-3</v>
      </c>
      <c r="M7" s="12">
        <f>Data[[#This Row],[Tasa bcv]]/L6-1</f>
        <v>0.36580079979494995</v>
      </c>
      <c r="N7" s="12">
        <f>(Data[[#This Row],[ Deevaluación BCV]]+1)*(N6+1)-1</f>
        <v>3.1899528216783226</v>
      </c>
      <c r="O7" s="5">
        <v>6909.200333333335</v>
      </c>
      <c r="P7" s="6">
        <f>Data[[#This Row],[Tasa Enparalelo]]/K6-1</f>
        <v>0.23860252643142177</v>
      </c>
      <c r="Q7" s="6">
        <f>(1+Q6)*(1+Data[[#This Row],[Depreciación EP]])-1</f>
        <v>2.2114215686274514</v>
      </c>
      <c r="R7" s="7">
        <v>328.19</v>
      </c>
      <c r="S7" s="4">
        <v>40000</v>
      </c>
      <c r="U7" t="e">
        <f>+Data[[#This Row],[Tasa Promedio BCV]]/T6-1</f>
        <v>#DIV/0!</v>
      </c>
      <c r="V7" s="2" t="e">
        <f>(Data[[#This Row],[ Deevaluación BCV]]+1)*(V6+1)-1</f>
        <v>#VALUE!</v>
      </c>
      <c r="Y7" t="e">
        <f>+Data[[#This Row],[Tasa paralelo]]/X6-1</f>
        <v>#DIV/0!</v>
      </c>
      <c r="Z7" s="2" t="e">
        <f>+(Data[[#This Row],[Devaluación paralelo]]+1)*(Z6+1)-1</f>
        <v>#DIV/0!</v>
      </c>
      <c r="AA7" s="2"/>
      <c r="AC7" s="2" t="e">
        <f t="shared" si="0"/>
        <v>#VALUE!</v>
      </c>
    </row>
    <row r="8" spans="1:29" x14ac:dyDescent="0.25">
      <c r="A8">
        <v>2019</v>
      </c>
      <c r="B8" s="21" t="s">
        <v>29</v>
      </c>
      <c r="C8" s="1">
        <v>0.18</v>
      </c>
      <c r="D8" s="2">
        <f t="shared" si="1"/>
        <v>34.243534913165114</v>
      </c>
      <c r="E8" s="2"/>
      <c r="F8" s="2">
        <f>Data[[#This Row],[Incremento Ingreso mensual VEF]]</f>
        <v>0</v>
      </c>
      <c r="G8" s="2">
        <v>0.19399999999999998</v>
      </c>
      <c r="H8" s="2">
        <f>(Data[[#This Row],[Inflacion BCV]]+1)*(H7+1)-1</f>
        <v>22.325777662850253</v>
      </c>
      <c r="I8" s="1">
        <v>0.33799999999999997</v>
      </c>
      <c r="J8" s="2">
        <f t="shared" si="2"/>
        <v>15.792495506033596</v>
      </c>
      <c r="K8" s="9">
        <v>9.7483799999999992E-3</v>
      </c>
      <c r="L8" s="11">
        <v>6.2154657833333321E-3</v>
      </c>
      <c r="M8" s="12">
        <f>Data[[#This Row],[Tasa bcv]]/L7-1</f>
        <v>0.14109340346364618</v>
      </c>
      <c r="N8" s="12">
        <f>(Data[[#This Row],[ Deevaluación BCV]]+1)*(N7+1)-1</f>
        <v>3.7811275256410246</v>
      </c>
      <c r="O8" s="5">
        <v>9546.5416129032274</v>
      </c>
      <c r="P8" s="6">
        <f>Data[[#This Row],[Tasa Enparalelo]]/K7-1</f>
        <v>0.27543453752908342</v>
      </c>
      <c r="Q8" s="6">
        <f>(1+Q7)*(1+Data[[#This Row],[Depreciación EP]])-1</f>
        <v>3.0959579831932773</v>
      </c>
      <c r="R8" s="7">
        <v>425.37574451678159</v>
      </c>
      <c r="S8" s="4">
        <v>40000</v>
      </c>
      <c r="U8" t="e">
        <f>+Data[[#This Row],[Tasa Promedio BCV]]/T7-1</f>
        <v>#DIV/0!</v>
      </c>
      <c r="V8" s="2" t="e">
        <f>(Data[[#This Row],[ Deevaluación BCV]]+1)*(V7+1)-1</f>
        <v>#VALUE!</v>
      </c>
      <c r="Y8" t="e">
        <f>+Data[[#This Row],[Tasa paralelo]]/X7-1</f>
        <v>#DIV/0!</v>
      </c>
      <c r="Z8" s="2" t="e">
        <f>+(Data[[#This Row],[Devaluación paralelo]]+1)*(Z7+1)-1</f>
        <v>#DIV/0!</v>
      </c>
      <c r="AA8" s="2"/>
      <c r="AC8" s="2" t="e">
        <f t="shared" si="0"/>
        <v>#VALUE!</v>
      </c>
    </row>
    <row r="9" spans="1:29" x14ac:dyDescent="0.25">
      <c r="A9">
        <v>2019</v>
      </c>
      <c r="B9" s="21" t="s">
        <v>30</v>
      </c>
      <c r="C9" s="1">
        <v>0.36</v>
      </c>
      <c r="D9" s="2">
        <f t="shared" si="1"/>
        <v>46.931207481904551</v>
      </c>
      <c r="E9" s="2"/>
      <c r="F9" s="2">
        <f>Data[[#This Row],[Incremento Ingreso mensual VEF]]</f>
        <v>0</v>
      </c>
      <c r="G9" s="2">
        <v>0.34600000000000003</v>
      </c>
      <c r="H9" s="2">
        <f>(Data[[#This Row],[Inflacion BCV]]+1)*(H8+1)-1</f>
        <v>30.396496734196443</v>
      </c>
      <c r="I9" s="1">
        <v>0.65200000000000002</v>
      </c>
      <c r="J9" s="2">
        <f t="shared" si="2"/>
        <v>26.741202575967502</v>
      </c>
      <c r="K9" s="9">
        <v>1.6106703225806457E-2</v>
      </c>
      <c r="L9" s="11">
        <v>7.6343613190476192E-3</v>
      </c>
      <c r="M9" s="12">
        <f>Data[[#This Row],[Tasa bcv]]/L8-1</f>
        <v>0.22828466685779714</v>
      </c>
      <c r="N9" s="12">
        <f>(Data[[#This Row],[ Deevaluación BCV]]+1)*(N8+1)-1</f>
        <v>4.8725856300366299</v>
      </c>
      <c r="O9" s="5">
        <v>15836.46580645161</v>
      </c>
      <c r="P9" s="6">
        <f>Data[[#This Row],[Tasa Enparalelo]]/K8-1</f>
        <v>0.65224408833123637</v>
      </c>
      <c r="Q9" s="6">
        <f>(1+Q8)*(1+Data[[#This Row],[Depreciación EP]])-1</f>
        <v>5.7675223637842263</v>
      </c>
      <c r="R9" s="7">
        <v>215.13</v>
      </c>
      <c r="S9" s="4">
        <v>40000</v>
      </c>
      <c r="U9" t="e">
        <f>+Data[[#This Row],[Tasa Promedio BCV]]/T8-1</f>
        <v>#DIV/0!</v>
      </c>
      <c r="V9" s="2" t="e">
        <f>(Data[[#This Row],[ Deevaluación BCV]]+1)*(V8+1)-1</f>
        <v>#VALUE!</v>
      </c>
      <c r="Y9" t="e">
        <f>+Data[[#This Row],[Tasa paralelo]]/X8-1</f>
        <v>#DIV/0!</v>
      </c>
      <c r="Z9" s="2" t="e">
        <f>+(Data[[#This Row],[Devaluación paralelo]]+1)*(Z8+1)-1</f>
        <v>#DIV/0!</v>
      </c>
      <c r="AA9" s="2"/>
      <c r="AC9" s="2" t="e">
        <f t="shared" si="0"/>
        <v>#VALUE!</v>
      </c>
    </row>
    <row r="10" spans="1:29" x14ac:dyDescent="0.25">
      <c r="A10">
        <v>2019</v>
      </c>
      <c r="B10" s="21" t="s">
        <v>31</v>
      </c>
      <c r="C10" s="1">
        <v>0.34</v>
      </c>
      <c r="D10" s="2">
        <f t="shared" si="1"/>
        <v>63.2278180257521</v>
      </c>
      <c r="E10" s="2"/>
      <c r="F10" s="2">
        <f>Data[[#This Row],[Incremento Ingreso mensual VEF]]</f>
        <v>0</v>
      </c>
      <c r="G10" s="2">
        <v>0.52200000000000002</v>
      </c>
      <c r="H10" s="2">
        <f>(Data[[#This Row],[Inflacion BCV]]+1)*(H9+1)-1</f>
        <v>46.785468029446989</v>
      </c>
      <c r="I10" s="1">
        <v>0.23499999999999999</v>
      </c>
      <c r="J10" s="2">
        <f t="shared" si="2"/>
        <v>33.260385181319862</v>
      </c>
      <c r="K10" s="9">
        <v>2.1224889333333337E-2</v>
      </c>
      <c r="L10" s="11">
        <v>1.4749661359090912E-2</v>
      </c>
      <c r="M10" s="12">
        <f>Data[[#This Row],[Tasa bcv]]/L9-1</f>
        <v>0.93200986208115721</v>
      </c>
      <c r="N10" s="12">
        <f>(Data[[#This Row],[ Deevaluación BCV]]+1)*(N9+1)-1</f>
        <v>10.345893353146856</v>
      </c>
      <c r="O10" s="5">
        <v>21687.240333333328</v>
      </c>
      <c r="P10" s="6">
        <f>Data[[#This Row],[Tasa Enparalelo]]/K9-1</f>
        <v>0.31776745593265954</v>
      </c>
      <c r="Q10" s="6">
        <f>(1+Q9)*(1+Data[[#This Row],[Depreciación EP]])-1</f>
        <v>7.9180207282913191</v>
      </c>
      <c r="R10" s="7">
        <v>320.32948160156946</v>
      </c>
      <c r="S10" s="4">
        <v>40000</v>
      </c>
      <c r="U10" t="e">
        <f>+Data[[#This Row],[Tasa Promedio BCV]]/T9-1</f>
        <v>#DIV/0!</v>
      </c>
      <c r="V10" s="2" t="e">
        <f>(Data[[#This Row],[ Deevaluación BCV]]+1)*(V9+1)-1</f>
        <v>#VALUE!</v>
      </c>
      <c r="Y10" t="e">
        <f>+Data[[#This Row],[Tasa paralelo]]/X9-1</f>
        <v>#DIV/0!</v>
      </c>
      <c r="Z10" s="2" t="e">
        <f>+(Data[[#This Row],[Devaluación paralelo]]+1)*(Z9+1)-1</f>
        <v>#DIV/0!</v>
      </c>
      <c r="AA10" s="2"/>
      <c r="AC10" s="2" t="e">
        <f t="shared" si="0"/>
        <v>#VALUE!</v>
      </c>
    </row>
    <row r="11" spans="1:29" x14ac:dyDescent="0.25">
      <c r="A11">
        <v>2019</v>
      </c>
      <c r="B11" s="21" t="s">
        <v>32</v>
      </c>
      <c r="C11" s="1">
        <v>0.46</v>
      </c>
      <c r="D11" s="2">
        <f t="shared" si="1"/>
        <v>92.77261431759807</v>
      </c>
      <c r="E11" s="2"/>
      <c r="F11" s="2">
        <f>Data[[#This Row],[Incremento Ingreso mensual VEF]]</f>
        <v>0</v>
      </c>
      <c r="G11" s="2">
        <v>0.22600000000000001</v>
      </c>
      <c r="H11" s="2">
        <f>(Data[[#This Row],[Inflacion BCV]]+1)*(H10+1)-1</f>
        <v>57.584983804102009</v>
      </c>
      <c r="I11" s="1">
        <v>0.20699999999999999</v>
      </c>
      <c r="J11" s="2">
        <f t="shared" si="2"/>
        <v>40.352284913853076</v>
      </c>
      <c r="K11" s="10">
        <v>2.0428321612903224E-2</v>
      </c>
      <c r="L11" s="11">
        <v>2.1102746760000003E-2</v>
      </c>
      <c r="M11" s="12">
        <f>Data[[#This Row],[Tasa bcv]]/L10-1</f>
        <v>0.43072754324582396</v>
      </c>
      <c r="N11" s="12">
        <f>(Data[[#This Row],[ Deevaluación BCV]]+1)*(N10+1)-1</f>
        <v>15.232882123076926</v>
      </c>
      <c r="O11" s="5">
        <v>20600.974838709684</v>
      </c>
      <c r="P11" s="6">
        <f>Data[[#This Row],[Tasa Enparalelo]]/K10-1</f>
        <v>-3.7529888044180115E-2</v>
      </c>
      <c r="Q11" s="6">
        <f>(1+Q10)*(1+Data[[#This Row],[Depreciación EP]])-1</f>
        <v>7.5833284087828687</v>
      </c>
      <c r="R11" s="7">
        <v>374.81167592626701</v>
      </c>
      <c r="S11" s="4">
        <v>150000</v>
      </c>
      <c r="U11" t="e">
        <f>+Data[[#This Row],[Tasa Promedio BCV]]/T10-1</f>
        <v>#DIV/0!</v>
      </c>
      <c r="V11" s="2" t="e">
        <f>(Data[[#This Row],[ Deevaluación BCV]]+1)*(V10+1)-1</f>
        <v>#VALUE!</v>
      </c>
      <c r="Y11" t="e">
        <f>+Data[[#This Row],[Tasa paralelo]]/X10-1</f>
        <v>#DIV/0!</v>
      </c>
      <c r="Z11" s="2" t="e">
        <f>+(Data[[#This Row],[Devaluación paralelo]]+1)*(Z10+1)-1</f>
        <v>#DIV/0!</v>
      </c>
      <c r="AA11" s="2"/>
      <c r="AC11" s="2" t="e">
        <f t="shared" si="0"/>
        <v>#VALUE!</v>
      </c>
    </row>
    <row r="12" spans="1:29" x14ac:dyDescent="0.25">
      <c r="A12">
        <v>2019</v>
      </c>
      <c r="B12" s="21" t="s">
        <v>33</v>
      </c>
      <c r="C12" s="1">
        <v>0.24</v>
      </c>
      <c r="D12" s="2">
        <f t="shared" si="1"/>
        <v>115.27804175382161</v>
      </c>
      <c r="E12" s="2"/>
      <c r="F12" s="2">
        <f>Data[[#This Row],[Incremento Ingreso mensual VEF]]</f>
        <v>0</v>
      </c>
      <c r="G12" s="2">
        <v>0.25700000000000001</v>
      </c>
      <c r="H12" s="2">
        <f>(Data[[#This Row],[Inflacion BCV]]+1)*(H11+1)-1</f>
        <v>72.641324641756228</v>
      </c>
      <c r="I12" s="1">
        <v>0.35</v>
      </c>
      <c r="J12" s="2">
        <f t="shared" si="2"/>
        <v>54.825584633701659</v>
      </c>
      <c r="K12" s="9">
        <v>3.0603190333333332E-2</v>
      </c>
      <c r="L12" s="11">
        <v>2.0237901904347825E-2</v>
      </c>
      <c r="M12" s="12">
        <f>Data[[#This Row],[Tasa bcv]]/L11-1</f>
        <v>-4.0982572813292761E-2</v>
      </c>
      <c r="N12" s="12">
        <f>(Data[[#This Row],[ Deevaluación BCV]]+1)*(N11+1)-1</f>
        <v>14.567616849498329</v>
      </c>
      <c r="O12" s="5">
        <v>30773.742333333339</v>
      </c>
      <c r="P12" s="6">
        <f>Data[[#This Row],[Tasa Enparalelo]]/K11-1</f>
        <v>0.498076587652865</v>
      </c>
      <c r="Q12" s="6">
        <f>(1+Q11)*(1+Data[[#This Row],[Depreciación EP]])-1</f>
        <v>11.858483333333336</v>
      </c>
      <c r="R12" s="7">
        <v>181.65840033611047</v>
      </c>
      <c r="S12" s="4">
        <v>150000</v>
      </c>
      <c r="U12" t="e">
        <f>+Data[[#This Row],[Tasa Promedio BCV]]/T11-1</f>
        <v>#DIV/0!</v>
      </c>
      <c r="V12" s="2" t="e">
        <f>(Data[[#This Row],[ Deevaluación BCV]]+1)*(V11+1)-1</f>
        <v>#VALUE!</v>
      </c>
      <c r="Y12" t="e">
        <f>+Data[[#This Row],[Tasa paralelo]]/X11-1</f>
        <v>#DIV/0!</v>
      </c>
      <c r="Z12" s="2" t="e">
        <f>+(Data[[#This Row],[Devaluación paralelo]]+1)*(Z11+1)-1</f>
        <v>#DIV/0!</v>
      </c>
      <c r="AA12" s="2"/>
      <c r="AC12" s="2" t="e">
        <f t="shared" si="0"/>
        <v>#VALUE!</v>
      </c>
    </row>
    <row r="13" spans="1:29" x14ac:dyDescent="0.25">
      <c r="A13">
        <v>2019</v>
      </c>
      <c r="B13" s="21" t="s">
        <v>34</v>
      </c>
      <c r="C13" s="1">
        <v>0.22</v>
      </c>
      <c r="D13" s="2">
        <f t="shared" si="1"/>
        <v>140.85921093966238</v>
      </c>
      <c r="E13" s="2"/>
      <c r="F13" s="2">
        <f>Data[[#This Row],[Incremento Ingreso mensual VEF]]</f>
        <v>0</v>
      </c>
      <c r="G13" s="2">
        <v>0.315</v>
      </c>
      <c r="H13" s="2">
        <f>(Data[[#This Row],[Inflacion BCV]]+1)*(H12+1)-1</f>
        <v>95.838341903909438</v>
      </c>
      <c r="I13" s="1">
        <v>0.33100000000000002</v>
      </c>
      <c r="J13" s="2">
        <f t="shared" si="2"/>
        <v>73.303853147456906</v>
      </c>
      <c r="K13" s="9">
        <v>4.6658575806451608E-2</v>
      </c>
      <c r="L13" s="11">
        <v>3.0513779047619042E-2</v>
      </c>
      <c r="M13" s="12">
        <f>Data[[#This Row],[Tasa bcv]]/L12-1</f>
        <v>0.50775407410506279</v>
      </c>
      <c r="N13" s="12">
        <f>(Data[[#This Row],[ Deevaluación BCV]]+1)*(N12+1)-1</f>
        <v>22.472137728937728</v>
      </c>
      <c r="O13" s="5">
        <v>46316.934838709683</v>
      </c>
      <c r="P13" s="6">
        <f>Data[[#This Row],[Tasa Enparalelo]]/K12-1</f>
        <v>0.52463110212501518</v>
      </c>
      <c r="Q13" s="6">
        <f>(1+Q12)*(1+Data[[#This Row],[Depreciación EP]])-1</f>
        <v>18.604443616156143</v>
      </c>
      <c r="R13" s="7">
        <v>546.45000000000005</v>
      </c>
      <c r="S13" s="4">
        <v>150000</v>
      </c>
      <c r="U13" t="e">
        <f>+Data[[#This Row],[Tasa Promedio BCV]]/T12-1</f>
        <v>#DIV/0!</v>
      </c>
      <c r="V13" s="2" t="e">
        <f>(Data[[#This Row],[ Deevaluación BCV]]+1)*(V12+1)-1</f>
        <v>#VALUE!</v>
      </c>
      <c r="Y13" t="e">
        <f>+Data[[#This Row],[Tasa paralelo]]/X12-1</f>
        <v>#DIV/0!</v>
      </c>
      <c r="Z13" s="2" t="e">
        <f>+(Data[[#This Row],[Devaluación paralelo]]+1)*(Z12+1)-1</f>
        <v>#DIV/0!</v>
      </c>
      <c r="AA13" s="2"/>
      <c r="AC13" s="2" t="e">
        <f t="shared" si="0"/>
        <v>#VALUE!</v>
      </c>
    </row>
    <row r="14" spans="1:29" x14ac:dyDescent="0.25">
      <c r="A14">
        <v>2020</v>
      </c>
      <c r="B14" s="21" t="s">
        <v>23</v>
      </c>
      <c r="C14" s="1">
        <v>0.57100294117647099</v>
      </c>
      <c r="D14" s="2">
        <f>C14</f>
        <v>0.57100294117647099</v>
      </c>
      <c r="E14" s="2"/>
      <c r="F14" s="2">
        <f>Data[[#This Row],[Incremento Ingreso mensual VEF]]</f>
        <v>0</v>
      </c>
      <c r="G14" s="2">
        <v>0.62</v>
      </c>
      <c r="H14" s="2">
        <f>Data[[#This Row],[Inflacion BCV]]</f>
        <v>0.62</v>
      </c>
      <c r="I14" s="1">
        <v>0.65400000000000003</v>
      </c>
      <c r="J14" s="2">
        <f>I14</f>
        <v>0.65400000000000003</v>
      </c>
      <c r="K14" s="9">
        <v>7.3817077096774195E-2</v>
      </c>
      <c r="L14" s="11">
        <v>4.4537579500000007E-2</v>
      </c>
      <c r="M14" s="12">
        <f>Data[[#This Row],[Tasa bcv]]/L13-1</f>
        <v>0.45958910662936159</v>
      </c>
      <c r="N14" s="12">
        <f>Data[[#This Row],[ Deevaluación BCV]]</f>
        <v>0.45958910662936159</v>
      </c>
      <c r="O14" s="5">
        <v>75452.007096774236</v>
      </c>
      <c r="P14" s="6">
        <f>Data[[#This Row],[Tasa Enparalelo]]/K13-1</f>
        <v>0.58206880130634642</v>
      </c>
      <c r="Q14" s="6">
        <f>Data[[#This Row],[Depreciación EP]]</f>
        <v>0.58206880130634642</v>
      </c>
      <c r="R14" s="7">
        <v>199.42</v>
      </c>
      <c r="S14" s="4">
        <v>250000</v>
      </c>
      <c r="U14" t="e">
        <f>+Data[[#This Row],[Tasa Promedio BCV]]/T13-1</f>
        <v>#DIV/0!</v>
      </c>
      <c r="V14" s="2" t="e">
        <f>(Data[[#This Row],[ Deevaluación BCV]]+1)*(V13+1)-1</f>
        <v>#VALUE!</v>
      </c>
      <c r="Y14" t="e">
        <f>+Data[[#This Row],[Tasa paralelo]]/X13-1</f>
        <v>#DIV/0!</v>
      </c>
      <c r="Z14" s="2" t="e">
        <f>+(Data[[#This Row],[Devaluación paralelo]]+1)*(Z13+1)-1</f>
        <v>#DIV/0!</v>
      </c>
      <c r="AA14" s="2"/>
      <c r="AC14" s="2" t="e">
        <f t="shared" si="0"/>
        <v>#VALUE!</v>
      </c>
    </row>
    <row r="15" spans="1:29" x14ac:dyDescent="0.25">
      <c r="A15">
        <v>2020</v>
      </c>
      <c r="B15" s="21" t="s">
        <v>24</v>
      </c>
      <c r="C15" s="1">
        <v>0.33</v>
      </c>
      <c r="D15" s="2">
        <f t="shared" ref="D15:D25" si="3">(C15+1)*(D14+1)-1</f>
        <v>1.0894339117647065</v>
      </c>
      <c r="E15" s="2"/>
      <c r="F15" s="2">
        <f>Data[[#This Row],[Incremento Ingreso mensual VEF]]</f>
        <v>0</v>
      </c>
      <c r="G15" s="2">
        <v>0.22</v>
      </c>
      <c r="H15" s="2">
        <f>(Data[[#This Row],[Inflacion BCV]]+1)*(H14+1)-1</f>
        <v>0.97640000000000016</v>
      </c>
      <c r="I15" s="1">
        <v>0.22399999999999998</v>
      </c>
      <c r="J15" s="2">
        <f t="shared" ref="J15:J25" si="4">(I15+1)*(J14+1)-1</f>
        <v>1.0244960000000001</v>
      </c>
      <c r="K15" s="9">
        <v>7.4950333448275869E-2</v>
      </c>
      <c r="L15" s="11">
        <v>6.6116405163183331E-2</v>
      </c>
      <c r="M15" s="12">
        <f>Data[[#This Row],[Tasa bcv]]/L14-1</f>
        <v>0.48450827156386711</v>
      </c>
      <c r="N15" s="12">
        <f>(Data[[#This Row],[ Deevaluación BCV]]+1)*(N14+1)-1</f>
        <v>1.1667721018758024</v>
      </c>
      <c r="O15" s="5">
        <v>75771.589655172414</v>
      </c>
      <c r="P15" s="6">
        <f>Data[[#This Row],[Tasa Enparalelo]]/K14-1</f>
        <v>1.5352224662268599E-2</v>
      </c>
      <c r="Q15" s="6">
        <f>(1+Q14)*(1+Data[[#This Row],[Depreciación EP]])-1</f>
        <v>0.60635707697516739</v>
      </c>
      <c r="R15" s="7">
        <v>354.6</v>
      </c>
      <c r="S15" s="4">
        <v>250000</v>
      </c>
      <c r="U15" t="e">
        <f>+Data[[#This Row],[Tasa Promedio BCV]]/T14-1</f>
        <v>#DIV/0!</v>
      </c>
      <c r="V15" s="2" t="e">
        <f>(Data[[#This Row],[ Deevaluación BCV]]+1)*(V14+1)-1</f>
        <v>#VALUE!</v>
      </c>
      <c r="Y15" t="e">
        <f>+Data[[#This Row],[Tasa paralelo]]/X14-1</f>
        <v>#DIV/0!</v>
      </c>
      <c r="Z15" s="2" t="e">
        <f>+(Data[[#This Row],[Devaluación paralelo]]+1)*(Z14+1)-1</f>
        <v>#DIV/0!</v>
      </c>
      <c r="AA15" s="2"/>
      <c r="AC15" s="2" t="e">
        <f t="shared" si="0"/>
        <v>#VALUE!</v>
      </c>
    </row>
    <row r="16" spans="1:29" x14ac:dyDescent="0.25">
      <c r="A16">
        <v>2020</v>
      </c>
      <c r="B16" s="21" t="s">
        <v>25</v>
      </c>
      <c r="C16" s="1">
        <v>0.14000000000000001</v>
      </c>
      <c r="D16" s="2">
        <f t="shared" si="3"/>
        <v>1.3819546594117655</v>
      </c>
      <c r="E16" s="2"/>
      <c r="F16" s="2">
        <f>Data[[#This Row],[Incremento Ingreso mensual VEF]]</f>
        <v>0</v>
      </c>
      <c r="G16" s="2">
        <v>0.13</v>
      </c>
      <c r="H16" s="2">
        <f>(Data[[#This Row],[Inflacion BCV]]+1)*(H15+1)-1</f>
        <v>1.2333319999999999</v>
      </c>
      <c r="I16" s="1">
        <v>0.21199999999999999</v>
      </c>
      <c r="J16" s="2">
        <f t="shared" si="4"/>
        <v>1.4536891519999999</v>
      </c>
      <c r="K16" s="9">
        <v>7.7337293225806472E-2</v>
      </c>
      <c r="L16" s="11">
        <v>7.3541029024137908E-2</v>
      </c>
      <c r="M16" s="12">
        <f>Data[[#This Row],[Tasa bcv]]/L15-1</f>
        <v>0.11229624240201352</v>
      </c>
      <c r="N16" s="12">
        <f>(Data[[#This Row],[ Deevaluación BCV]]+1)*(N15+1)-1</f>
        <v>1.410092467057968</v>
      </c>
      <c r="O16" s="5">
        <v>77921.425161290303</v>
      </c>
      <c r="P16" s="6">
        <f>Data[[#This Row],[Tasa Enparalelo]]/K15-1</f>
        <v>3.1847220255235786E-2</v>
      </c>
      <c r="Q16" s="6">
        <f>(1+Q15)*(1+Data[[#This Row],[Depreciación EP]])-1</f>
        <v>0.6575150846141522</v>
      </c>
      <c r="R16" s="7">
        <v>355.55</v>
      </c>
      <c r="S16" s="4">
        <v>250000</v>
      </c>
      <c r="U16" t="e">
        <f>+Data[[#This Row],[Tasa Promedio BCV]]/T15-1</f>
        <v>#DIV/0!</v>
      </c>
      <c r="V16" s="2" t="e">
        <f>(Data[[#This Row],[ Deevaluación BCV]]+1)*(V15+1)-1</f>
        <v>#VALUE!</v>
      </c>
      <c r="Y16" t="e">
        <f>+Data[[#This Row],[Tasa paralelo]]/X15-1</f>
        <v>#DIV/0!</v>
      </c>
      <c r="Z16" s="2" t="e">
        <f>+(Data[[#This Row],[Devaluación paralelo]]+1)*(Z15+1)-1</f>
        <v>#DIV/0!</v>
      </c>
      <c r="AA16" s="2"/>
      <c r="AC16" s="2" t="e">
        <f t="shared" si="0"/>
        <v>#VALUE!</v>
      </c>
    </row>
    <row r="17" spans="1:29" x14ac:dyDescent="0.25">
      <c r="A17">
        <v>2020</v>
      </c>
      <c r="B17" s="21" t="s">
        <v>26</v>
      </c>
      <c r="C17" s="1">
        <v>0.18</v>
      </c>
      <c r="D17" s="2">
        <f t="shared" si="3"/>
        <v>1.8107064981058834</v>
      </c>
      <c r="E17" s="2"/>
      <c r="F17" s="2">
        <f>Data[[#This Row],[Incremento Ingreso mensual VEF]]</f>
        <v>0</v>
      </c>
      <c r="G17" s="2">
        <v>0.28000000000000003</v>
      </c>
      <c r="H17" s="2">
        <f>(Data[[#This Row],[Inflacion BCV]]+1)*(H16+1)-1</f>
        <v>1.85866496</v>
      </c>
      <c r="I17" s="1">
        <v>0.8</v>
      </c>
      <c r="J17" s="2">
        <f t="shared" si="4"/>
        <v>3.4166404736000002</v>
      </c>
      <c r="K17" s="4">
        <v>0.13869761166666664</v>
      </c>
      <c r="L17" s="11">
        <v>7.3549650908516132E-2</v>
      </c>
      <c r="M17" s="12">
        <f>Data[[#This Row],[Tasa bcv]]/L16-1</f>
        <v>1.1723910438332652E-4</v>
      </c>
      <c r="N17" s="12">
        <f>(Data[[#This Row],[ Deevaluación BCV]]+1)*(N16+1)-1</f>
        <v>1.4103750241402868</v>
      </c>
      <c r="O17" s="5">
        <v>142920.57233333337</v>
      </c>
      <c r="P17" s="6">
        <f>Data[[#This Row],[Tasa Enparalelo]]/K16-1</f>
        <v>0.79341176658074453</v>
      </c>
      <c r="Q17" s="6">
        <f>(1+Q16)*(1+Data[[#This Row],[Depreciación EP]])-1</f>
        <v>1.972607056032099</v>
      </c>
      <c r="R17" s="7">
        <v>164.09</v>
      </c>
      <c r="S17" s="4">
        <v>250000</v>
      </c>
      <c r="U17" t="e">
        <f>+Data[[#This Row],[Tasa Promedio BCV]]/T16-1</f>
        <v>#DIV/0!</v>
      </c>
      <c r="V17" s="2" t="e">
        <f>(Data[[#This Row],[ Deevaluación BCV]]+1)*(V16+1)-1</f>
        <v>#VALUE!</v>
      </c>
      <c r="Y17" t="e">
        <f>+Data[[#This Row],[Tasa paralelo]]/X16-1</f>
        <v>#DIV/0!</v>
      </c>
      <c r="Z17" s="2" t="e">
        <f>+(Data[[#This Row],[Devaluación paralelo]]+1)*(Z16+1)-1</f>
        <v>#DIV/0!</v>
      </c>
      <c r="AA17" s="2"/>
      <c r="AC17" s="2" t="e">
        <f t="shared" si="0"/>
        <v>#VALUE!</v>
      </c>
    </row>
    <row r="18" spans="1:29" x14ac:dyDescent="0.25">
      <c r="A18">
        <v>2020</v>
      </c>
      <c r="B18" s="21" t="s">
        <v>27</v>
      </c>
      <c r="C18" s="1">
        <v>0.31</v>
      </c>
      <c r="D18" s="2">
        <f t="shared" si="3"/>
        <v>2.6820255125187074</v>
      </c>
      <c r="E18" s="2"/>
      <c r="F18" s="2">
        <f>Data[[#This Row],[Incremento Ingreso mensual VEF]]</f>
        <v>0</v>
      </c>
      <c r="G18" s="2">
        <v>0.39</v>
      </c>
      <c r="H18" s="2">
        <f>(Data[[#This Row],[Inflacion BCV]]+1)*(H17+1)-1</f>
        <v>2.9735442944000003</v>
      </c>
      <c r="I18" s="1">
        <v>0.153</v>
      </c>
      <c r="J18" s="2">
        <f t="shared" si="4"/>
        <v>4.0923864660608</v>
      </c>
      <c r="K18" s="4">
        <v>0.18666410258064514</v>
      </c>
      <c r="L18" s="5">
        <v>0.12118645068000003</v>
      </c>
      <c r="M18" s="12">
        <f>Data[[#This Row],[Tasa bcv]]/L17-1</f>
        <v>0.64768220084057737</v>
      </c>
      <c r="N18" s="12">
        <f>(Data[[#This Row],[ Deevaluación BCV]]+1)*(N17+1)-1</f>
        <v>2.9715320246266277</v>
      </c>
      <c r="O18" s="5">
        <v>189462.70451612899</v>
      </c>
      <c r="P18" s="6">
        <f>Data[[#This Row],[Tasa Enparalelo]]/K17-1</f>
        <v>0.34583501718296961</v>
      </c>
      <c r="Q18" s="6">
        <f>(1+Q17)*(1+Data[[#This Row],[Depreciación EP]])-1</f>
        <v>3.0006386683331767</v>
      </c>
      <c r="R18" s="7">
        <v>304.19534188339236</v>
      </c>
      <c r="S18" s="4">
        <v>400000</v>
      </c>
      <c r="U18" t="e">
        <f>+Data[[#This Row],[Tasa Promedio BCV]]/T17-1</f>
        <v>#DIV/0!</v>
      </c>
      <c r="V18" s="2" t="e">
        <f>(Data[[#This Row],[ Deevaluación BCV]]+1)*(V17+1)-1</f>
        <v>#VALUE!</v>
      </c>
      <c r="Y18" t="e">
        <f>+Data[[#This Row],[Tasa paralelo]]/X17-1</f>
        <v>#DIV/0!</v>
      </c>
      <c r="Z18" s="2" t="e">
        <f>+(Data[[#This Row],[Devaluación paralelo]]+1)*(Z17+1)-1</f>
        <v>#DIV/0!</v>
      </c>
      <c r="AA18" s="2"/>
      <c r="AC18" s="2" t="e">
        <f t="shared" si="0"/>
        <v>#VALUE!</v>
      </c>
    </row>
    <row r="19" spans="1:29" x14ac:dyDescent="0.25">
      <c r="A19">
        <v>2020</v>
      </c>
      <c r="B19" s="21" t="s">
        <v>28</v>
      </c>
      <c r="C19" s="1">
        <v>0.2</v>
      </c>
      <c r="D19" s="2">
        <f t="shared" si="3"/>
        <v>3.4184306150224488</v>
      </c>
      <c r="E19" s="2"/>
      <c r="F19" s="2">
        <f>Data[[#This Row],[Incremento Ingreso mensual VEF]]</f>
        <v>0</v>
      </c>
      <c r="G19" s="2">
        <v>0.25</v>
      </c>
      <c r="H19" s="2">
        <f>(Data[[#This Row],[Inflacion BCV]]+1)*(H18+1)-1</f>
        <v>3.9669303680000008</v>
      </c>
      <c r="I19" s="1">
        <v>0.19500000000000001</v>
      </c>
      <c r="J19" s="2">
        <f t="shared" si="4"/>
        <v>5.0854018269426566</v>
      </c>
      <c r="K19" s="4">
        <v>0.20264986933333337</v>
      </c>
      <c r="L19" s="5">
        <v>0.18204261780322578</v>
      </c>
      <c r="M19" s="12">
        <f>Data[[#This Row],[Tasa bcv]]/L18-1</f>
        <v>0.50216972922096748</v>
      </c>
      <c r="N19" s="12">
        <f>(Data[[#This Row],[ Deevaluación BCV]]+1)*(N18+1)-1</f>
        <v>4.9659151860257822</v>
      </c>
      <c r="O19" s="5">
        <v>206283.91600000003</v>
      </c>
      <c r="P19" s="6">
        <f>Data[[#This Row],[Tasa Enparalelo]]/K18-1</f>
        <v>8.5639212530335573E-2</v>
      </c>
      <c r="Q19" s="6">
        <f>(1+Q18)*(1+Data[[#This Row],[Depreciación EP]])-1</f>
        <v>3.3432502135076403</v>
      </c>
      <c r="R19" s="7">
        <v>269.08999999999997</v>
      </c>
      <c r="S19" s="4">
        <v>400000</v>
      </c>
      <c r="U19" t="e">
        <f>+Data[[#This Row],[Tasa Promedio BCV]]/T18-1</f>
        <v>#DIV/0!</v>
      </c>
      <c r="V19" s="2" t="e">
        <f>(Data[[#This Row],[ Deevaluación BCV]]+1)*(V18+1)-1</f>
        <v>#VALUE!</v>
      </c>
      <c r="Y19" t="e">
        <f>+Data[[#This Row],[Tasa paralelo]]/X18-1</f>
        <v>#DIV/0!</v>
      </c>
      <c r="Z19" s="2" t="e">
        <f>+(Data[[#This Row],[Devaluación paralelo]]+1)*(Z18+1)-1</f>
        <v>#DIV/0!</v>
      </c>
      <c r="AA19" s="2"/>
      <c r="AC19" s="2" t="e">
        <f t="shared" si="0"/>
        <v>#VALUE!</v>
      </c>
    </row>
    <row r="20" spans="1:29" x14ac:dyDescent="0.25">
      <c r="A20">
        <v>2020</v>
      </c>
      <c r="B20" s="21" t="s">
        <v>29</v>
      </c>
      <c r="C20" s="1">
        <v>0.26</v>
      </c>
      <c r="D20" s="2">
        <f t="shared" si="3"/>
        <v>4.5672225749282855</v>
      </c>
      <c r="E20" s="2"/>
      <c r="F20" s="2">
        <f>Data[[#This Row],[Incremento Ingreso mensual VEF]]</f>
        <v>0</v>
      </c>
      <c r="G20" s="2">
        <v>0.2</v>
      </c>
      <c r="H20" s="2">
        <f>(Data[[#This Row],[Inflacion BCV]]+1)*(H19+1)-1</f>
        <v>4.9603164416000007</v>
      </c>
      <c r="I20" s="1">
        <v>0.55049999999999999</v>
      </c>
      <c r="J20" s="2">
        <f t="shared" si="4"/>
        <v>8.4354155326745897</v>
      </c>
      <c r="K20" s="4">
        <v>0.23716318096774194</v>
      </c>
      <c r="L20" s="5">
        <v>0.20106613363333331</v>
      </c>
      <c r="M20" s="12">
        <f>Data[[#This Row],[Tasa bcv]]/L19-1</f>
        <v>0.10450034206094805</v>
      </c>
      <c r="N20" s="12">
        <f>(Data[[#This Row],[ Deevaluación BCV]]+1)*(N19+1)-1</f>
        <v>5.5893553636720812</v>
      </c>
      <c r="O20" s="5">
        <v>237289.8306451613</v>
      </c>
      <c r="P20" s="6">
        <f>Data[[#This Row],[Tasa Enparalelo]]/K19-1</f>
        <v>0.1703100611312931</v>
      </c>
      <c r="Q20" s="6">
        <f>(1+Q19)*(1+Data[[#This Row],[Depreciación EP]])-1</f>
        <v>4.0829494228786283</v>
      </c>
      <c r="R20" s="7">
        <v>277.04000000000002</v>
      </c>
      <c r="S20" s="4">
        <v>400000</v>
      </c>
      <c r="U20" t="e">
        <f>+Data[[#This Row],[Tasa Promedio BCV]]/T19-1</f>
        <v>#DIV/0!</v>
      </c>
      <c r="V20" s="2" t="e">
        <f>(Data[[#This Row],[ Deevaluación BCV]]+1)*(V19+1)-1</f>
        <v>#VALUE!</v>
      </c>
      <c r="Y20" t="e">
        <f>+Data[[#This Row],[Tasa paralelo]]/X19-1</f>
        <v>#DIV/0!</v>
      </c>
      <c r="Z20" s="2" t="e">
        <f>+(Data[[#This Row],[Devaluación paralelo]]+1)*(Z19+1)-1</f>
        <v>#DIV/0!</v>
      </c>
      <c r="AA20" s="2"/>
      <c r="AC20" s="2" t="e">
        <f t="shared" si="0"/>
        <v>#VALUE!</v>
      </c>
    </row>
    <row r="21" spans="1:29" x14ac:dyDescent="0.25">
      <c r="A21">
        <v>2020</v>
      </c>
      <c r="B21" s="21" t="s">
        <v>30</v>
      </c>
      <c r="C21" s="1">
        <v>0.21</v>
      </c>
      <c r="D21" s="2">
        <f t="shared" si="3"/>
        <v>5.7363393156632254</v>
      </c>
      <c r="E21" s="2"/>
      <c r="F21" s="2">
        <f>Data[[#This Row],[Incremento Ingreso mensual VEF]]</f>
        <v>0</v>
      </c>
      <c r="G21" s="2">
        <v>0.25</v>
      </c>
      <c r="H21" s="2">
        <f>(Data[[#This Row],[Inflacion BCV]]+1)*(H20+1)-1</f>
        <v>6.4503955520000007</v>
      </c>
      <c r="I21" s="1">
        <v>0.25040000000000001</v>
      </c>
      <c r="J21" s="2">
        <f t="shared" si="4"/>
        <v>10.798043582056307</v>
      </c>
      <c r="K21" s="4">
        <v>0.30037837096774195</v>
      </c>
      <c r="L21" s="5">
        <v>0.22352158137419359</v>
      </c>
      <c r="M21" s="12">
        <f>Data[[#This Row],[Tasa bcv]]/L20-1</f>
        <v>0.11168189955753727</v>
      </c>
      <c r="N21" s="12">
        <f>(Data[[#This Row],[ Deevaluación BCV]]+1)*(N20+1)-1</f>
        <v>6.3252670875466261</v>
      </c>
      <c r="O21" s="5">
        <v>301840.81774193549</v>
      </c>
      <c r="P21" s="6">
        <f>Data[[#This Row],[Tasa Enparalelo]]/K20-1</f>
        <v>0.26654723444866546</v>
      </c>
      <c r="Q21" s="6">
        <f>(1+Q20)*(1+Data[[#This Row],[Depreciación EP]])-1</f>
        <v>5.4377955343893669</v>
      </c>
      <c r="R21" s="7">
        <v>270.10000000000002</v>
      </c>
      <c r="S21" s="4">
        <v>400000</v>
      </c>
      <c r="U21" t="e">
        <f>+Data[[#This Row],[Tasa Promedio BCV]]/T20-1</f>
        <v>#DIV/0!</v>
      </c>
      <c r="V21" s="2" t="e">
        <f>(Data[[#This Row],[ Deevaluación BCV]]+1)*(V20+1)-1</f>
        <v>#VALUE!</v>
      </c>
      <c r="Y21" t="e">
        <f>+Data[[#This Row],[Tasa paralelo]]/X20-1</f>
        <v>#DIV/0!</v>
      </c>
      <c r="Z21" s="2" t="e">
        <f>+(Data[[#This Row],[Devaluación paralelo]]+1)*(Z20+1)-1</f>
        <v>#DIV/0!</v>
      </c>
      <c r="AA21" s="2"/>
      <c r="AC21" s="2" t="e">
        <f t="shared" si="0"/>
        <v>#VALUE!</v>
      </c>
    </row>
    <row r="22" spans="1:29" x14ac:dyDescent="0.25">
      <c r="A22">
        <v>2020</v>
      </c>
      <c r="B22" s="21" t="s">
        <v>31</v>
      </c>
      <c r="C22" s="1">
        <v>0.56999999999999995</v>
      </c>
      <c r="D22" s="2">
        <f t="shared" si="3"/>
        <v>9.5760527255912624</v>
      </c>
      <c r="E22" s="2"/>
      <c r="F22" s="2">
        <f>Data[[#This Row],[Incremento Ingreso mensual VEF]]</f>
        <v>0</v>
      </c>
      <c r="G22" s="2">
        <v>0.28000000000000003</v>
      </c>
      <c r="H22" s="2">
        <f>(Data[[#This Row],[Inflacion BCV]]+1)*(H21+1)-1</f>
        <v>8.5365063065600015</v>
      </c>
      <c r="I22" s="1">
        <v>0.3004</v>
      </c>
      <c r="J22" s="2">
        <f t="shared" si="4"/>
        <v>14.342175874106022</v>
      </c>
      <c r="K22" s="4">
        <v>0.38428217133333342</v>
      </c>
      <c r="L22" s="5">
        <v>0.28918686278387101</v>
      </c>
      <c r="M22" s="12">
        <f>Data[[#This Row],[Tasa bcv]]/L21-1</f>
        <v>0.29377602380035195</v>
      </c>
      <c r="N22" s="12">
        <f>(Data[[#This Row],[ Deevaluación BCV]]+1)*(N21+1)-1</f>
        <v>8.4772549258016578</v>
      </c>
      <c r="O22" s="5">
        <v>393974.22333333339</v>
      </c>
      <c r="P22" s="6">
        <f>Data[[#This Row],[Tasa Enparalelo]]/K21-1</f>
        <v>0.27932703708084894</v>
      </c>
      <c r="Q22" s="6">
        <f>(1+Q21)*(1+Data[[#This Row],[Depreciación EP]])-1</f>
        <v>7.2360458863426693</v>
      </c>
      <c r="R22" s="7">
        <v>308.93848744038075</v>
      </c>
      <c r="S22" s="4">
        <v>400000</v>
      </c>
      <c r="U22" t="e">
        <f>+Data[[#This Row],[Tasa Promedio BCV]]/T21-1</f>
        <v>#DIV/0!</v>
      </c>
      <c r="V22" s="2" t="e">
        <f>(Data[[#This Row],[ Deevaluación BCV]]+1)*(V21+1)-1</f>
        <v>#VALUE!</v>
      </c>
      <c r="Y22" t="e">
        <f>+Data[[#This Row],[Tasa paralelo]]/X21-1</f>
        <v>#DIV/0!</v>
      </c>
      <c r="Z22" s="2" t="e">
        <f>+(Data[[#This Row],[Devaluación paralelo]]+1)*(Z21+1)-1</f>
        <v>#DIV/0!</v>
      </c>
      <c r="AA22" s="2"/>
      <c r="AC22" s="2" t="e">
        <f t="shared" si="0"/>
        <v>#VALUE!</v>
      </c>
    </row>
    <row r="23" spans="1:29" x14ac:dyDescent="0.25">
      <c r="A23">
        <v>2020</v>
      </c>
      <c r="B23" s="21" t="s">
        <v>32</v>
      </c>
      <c r="C23" s="1">
        <v>0.37</v>
      </c>
      <c r="D23" s="2">
        <f t="shared" si="3"/>
        <v>13.489192234060031</v>
      </c>
      <c r="E23" s="2"/>
      <c r="F23" s="2">
        <f>Data[[#This Row],[Incremento Ingreso mensual VEF]]</f>
        <v>0</v>
      </c>
      <c r="G23" s="2">
        <v>0.31</v>
      </c>
      <c r="H23" s="2">
        <f>(Data[[#This Row],[Inflacion BCV]]+1)*(H22+1)-1</f>
        <v>11.492823261593603</v>
      </c>
      <c r="I23" s="1">
        <v>0.23800000000000002</v>
      </c>
      <c r="J23" s="2">
        <f t="shared" si="4"/>
        <v>17.993613732143256</v>
      </c>
      <c r="K23" s="4">
        <v>0.46229554451612909</v>
      </c>
      <c r="L23" s="5">
        <v>0.36909662937999999</v>
      </c>
      <c r="M23" s="12">
        <f>Data[[#This Row],[Tasa bcv]]/L22-1</f>
        <v>0.27632571489200375</v>
      </c>
      <c r="N23" s="12">
        <f>(Data[[#This Row],[ Deevaluación BCV]]+1)*(N22+1)-1</f>
        <v>11.096064168387565</v>
      </c>
      <c r="O23" s="5">
        <v>475221.19806451624</v>
      </c>
      <c r="P23" s="6">
        <f>Data[[#This Row],[Tasa Enparalelo]]/K22-1</f>
        <v>0.2030106494717534</v>
      </c>
      <c r="Q23" s="6">
        <f>(1+Q22)*(1+Data[[#This Row],[Depreciación EP]])-1</f>
        <v>8.9080509108082584</v>
      </c>
      <c r="R23" s="7">
        <v>283.62</v>
      </c>
      <c r="S23" s="4">
        <v>400000</v>
      </c>
      <c r="U23" t="e">
        <f>+Data[[#This Row],[Tasa Promedio BCV]]/T22-1</f>
        <v>#DIV/0!</v>
      </c>
      <c r="V23" s="2" t="e">
        <f>(Data[[#This Row],[ Deevaluación BCV]]+1)*(V22+1)-1</f>
        <v>#VALUE!</v>
      </c>
      <c r="Y23" t="e">
        <f>+Data[[#This Row],[Tasa paralelo]]/X22-1</f>
        <v>#DIV/0!</v>
      </c>
      <c r="Z23" s="2" t="e">
        <f>+(Data[[#This Row],[Devaluación paralelo]]+1)*(Z22+1)-1</f>
        <v>#DIV/0!</v>
      </c>
      <c r="AA23" s="2"/>
      <c r="AC23" s="2" t="e">
        <f t="shared" si="0"/>
        <v>#VALUE!</v>
      </c>
    </row>
    <row r="24" spans="1:29" x14ac:dyDescent="0.25">
      <c r="A24">
        <v>2020</v>
      </c>
      <c r="B24" s="21" t="s">
        <v>33</v>
      </c>
      <c r="C24" s="1">
        <v>0.49</v>
      </c>
      <c r="D24" s="2">
        <f t="shared" si="3"/>
        <v>20.588896428749447</v>
      </c>
      <c r="E24" s="2"/>
      <c r="F24" s="2">
        <f>Data[[#This Row],[Incremento Ingreso mensual VEF]]</f>
        <v>0</v>
      </c>
      <c r="G24" s="2">
        <v>0.4</v>
      </c>
      <c r="H24" s="2">
        <f>(Data[[#This Row],[Inflacion BCV]]+1)*(H23+1)-1</f>
        <v>16.489952566231043</v>
      </c>
      <c r="I24" s="1">
        <v>0.65700000000000003</v>
      </c>
      <c r="J24" s="2">
        <f t="shared" si="4"/>
        <v>30.472417954161376</v>
      </c>
      <c r="K24" s="4">
        <v>0.74228544166666677</v>
      </c>
      <c r="L24" s="5">
        <v>0.45518717602258063</v>
      </c>
      <c r="M24" s="12">
        <f>Data[[#This Row],[Tasa bcv]]/L23-1</f>
        <v>0.23324663459320538</v>
      </c>
      <c r="N24" s="12">
        <f>(Data[[#This Row],[ Deevaluación BCV]]+1)*(N23+1)-1</f>
        <v>13.917430427487425</v>
      </c>
      <c r="O24" s="5">
        <v>768669.61099999992</v>
      </c>
      <c r="P24" s="6">
        <f>Data[[#This Row],[Tasa Enparalelo]]/K23-1</f>
        <v>0.60565129919994076</v>
      </c>
      <c r="Q24" s="6">
        <f>(1+Q23)*(1+Data[[#This Row],[Depreciación EP]])-1</f>
        <v>14.908874817478436</v>
      </c>
      <c r="R24" s="7">
        <v>202.31</v>
      </c>
      <c r="S24" s="4">
        <v>1200000</v>
      </c>
      <c r="U24" t="e">
        <f>+Data[[#This Row],[Tasa Promedio BCV]]/T23-1</f>
        <v>#DIV/0!</v>
      </c>
      <c r="V24" s="2" t="e">
        <f>(Data[[#This Row],[ Deevaluación BCV]]+1)*(V23+1)-1</f>
        <v>#VALUE!</v>
      </c>
      <c r="Y24" t="e">
        <f>+Data[[#This Row],[Tasa paralelo]]/X23-1</f>
        <v>#DIV/0!</v>
      </c>
      <c r="Z24" s="2" t="e">
        <f>+(Data[[#This Row],[Devaluación paralelo]]+1)*(Z23+1)-1</f>
        <v>#DIV/0!</v>
      </c>
      <c r="AA24" s="2"/>
      <c r="AC24" s="2" t="e">
        <f t="shared" si="0"/>
        <v>#VALUE!</v>
      </c>
    </row>
    <row r="25" spans="1:29" x14ac:dyDescent="0.25">
      <c r="A25">
        <v>2020</v>
      </c>
      <c r="B25" s="21" t="s">
        <v>34</v>
      </c>
      <c r="C25" s="1">
        <v>0.55000000000000004</v>
      </c>
      <c r="D25" s="2">
        <f t="shared" si="3"/>
        <v>32.462789464561645</v>
      </c>
      <c r="E25" s="2"/>
      <c r="F25" s="2">
        <f>Data[[#This Row],[Incremento Ingreso mensual VEF]]</f>
        <v>0</v>
      </c>
      <c r="G25" s="2">
        <v>0.78</v>
      </c>
      <c r="H25" s="2">
        <f>(Data[[#This Row],[Inflacion BCV]]+1)*(H24+1)-1</f>
        <v>30.132115567891258</v>
      </c>
      <c r="I25" s="1">
        <v>0.21199999999999999</v>
      </c>
      <c r="J25" s="2">
        <f t="shared" si="4"/>
        <v>37.144570560443583</v>
      </c>
      <c r="K25" s="4">
        <v>1.04</v>
      </c>
      <c r="L25" s="5">
        <v>0.67549148249333324</v>
      </c>
      <c r="M25" s="12">
        <f>Data[[#This Row],[Tasa bcv]]/L24-1</f>
        <v>0.48398618870542154</v>
      </c>
      <c r="N25" s="12">
        <f>(Data[[#This Row],[ Deevaluación BCV]]+1)*(N24+1)-1</f>
        <v>21.137260725365351</v>
      </c>
      <c r="O25" s="5">
        <v>1098252.1664516125</v>
      </c>
      <c r="P25" s="6">
        <f>Data[[#This Row],[Tasa Enparalelo]]/K24-1</f>
        <v>0.40107826669060009</v>
      </c>
      <c r="Q25" s="6">
        <f>(1+Q24)*(1+Data[[#This Row],[Depreciación EP]])-1</f>
        <v>21.289578754270423</v>
      </c>
      <c r="R25" s="7">
        <v>294.11</v>
      </c>
      <c r="S25" s="4">
        <v>1200000</v>
      </c>
      <c r="U25" t="e">
        <f>+Data[[#This Row],[Tasa Promedio BCV]]/T24-1</f>
        <v>#DIV/0!</v>
      </c>
      <c r="V25" s="2" t="e">
        <f>(Data[[#This Row],[ Deevaluación BCV]]+1)*(V24+1)-1</f>
        <v>#VALUE!</v>
      </c>
      <c r="Y25" t="e">
        <f>+Data[[#This Row],[Tasa paralelo]]/X24-1</f>
        <v>#DIV/0!</v>
      </c>
      <c r="Z25" s="2" t="e">
        <f>+(Data[[#This Row],[Devaluación paralelo]]+1)*(Z24+1)-1</f>
        <v>#DIV/0!</v>
      </c>
      <c r="AA25" s="2"/>
      <c r="AC25" s="2" t="e">
        <f t="shared" si="0"/>
        <v>#VALUE!</v>
      </c>
    </row>
    <row r="26" spans="1:29" x14ac:dyDescent="0.25">
      <c r="A26">
        <v>2021</v>
      </c>
      <c r="B26" s="21" t="s">
        <v>23</v>
      </c>
      <c r="C26" s="1">
        <v>0.6</v>
      </c>
      <c r="D26" s="2">
        <f>C26</f>
        <v>0.6</v>
      </c>
      <c r="E26" s="2"/>
      <c r="F26" s="2">
        <f>Data[[#This Row],[Incremento Ingreso mensual VEF]]</f>
        <v>0</v>
      </c>
      <c r="G26" s="2">
        <v>0.46600000000000003</v>
      </c>
      <c r="H26" s="2">
        <f>Data[[#This Row],[Inflacion BCV]]</f>
        <v>0.46600000000000003</v>
      </c>
      <c r="I26" s="1">
        <v>0.55100000000000005</v>
      </c>
      <c r="J26" s="2">
        <f>I26</f>
        <v>0.55100000000000005</v>
      </c>
      <c r="K26" s="4">
        <v>1.5589711790322585</v>
      </c>
      <c r="L26" s="5">
        <v>1.52544483725806</v>
      </c>
      <c r="M26" s="12">
        <f>Data[[#This Row],[Tasa bcv]]/L25-1</f>
        <v>1.2582739779744232</v>
      </c>
      <c r="N26" s="12">
        <f>Data[[#This Row],[ Deevaluación BCV]]</f>
        <v>1.2582739779744232</v>
      </c>
      <c r="O26" s="5">
        <v>1576934.3658064518</v>
      </c>
      <c r="P26" s="6">
        <f>Data[[#This Row],[Tasa Enparalelo]]/K25-1</f>
        <v>0.49901074906947929</v>
      </c>
      <c r="Q26" s="6">
        <f>Data[[#This Row],[Depreciación EP]]</f>
        <v>0.49901074906947929</v>
      </c>
      <c r="R26" s="7">
        <v>225.69</v>
      </c>
      <c r="S26" s="4">
        <v>1200000</v>
      </c>
      <c r="U26" t="e">
        <f>+Data[[#This Row],[Tasa Promedio BCV]]/T25-1</f>
        <v>#DIV/0!</v>
      </c>
      <c r="V26" s="2" t="e">
        <f>(Data[[#This Row],[ Deevaluación BCV]]+1)*(V25+1)-1</f>
        <v>#VALUE!</v>
      </c>
      <c r="Y26" t="e">
        <f>+Data[[#This Row],[Tasa paralelo]]/X25-1</f>
        <v>#DIV/0!</v>
      </c>
      <c r="Z26" s="2" t="e">
        <f>+(Data[[#This Row],[Devaluación paralelo]]+1)*(Z25+1)-1</f>
        <v>#DIV/0!</v>
      </c>
      <c r="AA26" s="2"/>
      <c r="AC26" s="2" t="e">
        <f t="shared" si="0"/>
        <v>#VALUE!</v>
      </c>
    </row>
    <row r="27" spans="1:29" x14ac:dyDescent="0.25">
      <c r="A27">
        <v>2021</v>
      </c>
      <c r="B27" s="21" t="s">
        <v>24</v>
      </c>
      <c r="C27" s="1">
        <v>0.4</v>
      </c>
      <c r="D27" s="2">
        <f t="shared" ref="D27:D37" si="5">(C27+1)*(D26+1)-1</f>
        <v>1.2399999999999998</v>
      </c>
      <c r="E27" s="2"/>
      <c r="F27" s="2">
        <f>Data[[#This Row],[Incremento Ingreso mensual VEF]]</f>
        <v>0</v>
      </c>
      <c r="G27" s="2">
        <v>0.33800000000000002</v>
      </c>
      <c r="H27" s="2">
        <f>(Data[[#This Row],[Inflacion BCV]]+1)*(H26+1)-1</f>
        <v>0.96150800000000003</v>
      </c>
      <c r="I27" s="1">
        <v>0.50900000000000001</v>
      </c>
      <c r="J27" s="2">
        <f>(I27+1)*(J26+1)-1</f>
        <v>1.3404590000000001</v>
      </c>
      <c r="K27" s="4">
        <v>1.7854189371428568</v>
      </c>
      <c r="L27" s="5">
        <v>1.7938927621821428</v>
      </c>
      <c r="M27" s="12">
        <f>Data[[#This Row],[Tasa bcv]]/L26-1</f>
        <v>0.17598009339138709</v>
      </c>
      <c r="N27" s="12">
        <f>(Data[[#This Row],[ Deevaluación BCV]]+1)*(N26+1)-1</f>
        <v>1.6556852435217015</v>
      </c>
      <c r="O27" s="5">
        <v>1809099.0035714284</v>
      </c>
      <c r="P27" s="6">
        <f>Data[[#This Row],[Tasa Enparalelo]]/K26-1</f>
        <v>0.14525461481024116</v>
      </c>
      <c r="Q27" s="6">
        <f>(1+Q26)*(1+Data[[#This Row],[Depreciación EP]])-1</f>
        <v>0.71674897802197757</v>
      </c>
      <c r="R27" s="7">
        <v>281.97000000000003</v>
      </c>
      <c r="S27" s="4">
        <v>1200000</v>
      </c>
      <c r="U27" t="e">
        <f>+Data[[#This Row],[Tasa Promedio BCV]]/T26-1</f>
        <v>#DIV/0!</v>
      </c>
      <c r="V27" s="2" t="e">
        <f>(Data[[#This Row],[ Deevaluación BCV]]+1)*(V26+1)-1</f>
        <v>#VALUE!</v>
      </c>
      <c r="Y27" t="e">
        <f>+Data[[#This Row],[Tasa paralelo]]/X26-1</f>
        <v>#DIV/0!</v>
      </c>
      <c r="Z27" s="2" t="e">
        <f>+(Data[[#This Row],[Devaluación paralelo]]+1)*(Z26+1)-1</f>
        <v>#DIV/0!</v>
      </c>
      <c r="AA27" s="2"/>
      <c r="AC27" s="2" t="e">
        <f t="shared" si="0"/>
        <v>#VALUE!</v>
      </c>
    </row>
    <row r="28" spans="1:29" x14ac:dyDescent="0.25">
      <c r="A28">
        <v>2021</v>
      </c>
      <c r="B28" s="21" t="s">
        <v>25</v>
      </c>
      <c r="C28" s="1">
        <v>0.24</v>
      </c>
      <c r="D28" s="2">
        <f t="shared" si="5"/>
        <v>1.7775999999999996</v>
      </c>
      <c r="E28" s="2"/>
      <c r="F28" s="2">
        <f>Data[[#This Row],[Incremento Ingreso mensual VEF]]</f>
        <v>0</v>
      </c>
      <c r="G28" s="2">
        <v>0.161</v>
      </c>
      <c r="H28" s="2">
        <f>(Data[[#This Row],[Inflacion BCV]]+1)*(H27+1)-1</f>
        <v>1.2773107880000003</v>
      </c>
      <c r="I28" s="1">
        <v>9.0999999999999998E-2</v>
      </c>
      <c r="J28" s="2">
        <f t="shared" ref="J28:J37" si="6">(I28+1)*(J27+1)-1</f>
        <v>1.5534407689999998</v>
      </c>
      <c r="K28" s="4">
        <v>1.8819104067741932</v>
      </c>
      <c r="L28" s="5">
        <v>1.8633705466870965</v>
      </c>
      <c r="M28" s="12">
        <f>Data[[#This Row],[Tasa bcv]]/L27-1</f>
        <v>3.8730177170924529E-2</v>
      </c>
      <c r="N28" s="12">
        <f>(Data[[#This Row],[ Deevaluación BCV]]+1)*(N27+1)-1</f>
        <v>1.758540403513507</v>
      </c>
      <c r="O28" s="5">
        <v>1890150.1087096781</v>
      </c>
      <c r="P28" s="6">
        <f>Data[[#This Row],[Tasa Enparalelo]]/K27-1</f>
        <v>5.4044161638471477E-2</v>
      </c>
      <c r="Q28" s="6">
        <f>(1+Q27)*(1+Data[[#This Row],[Depreciación EP]])-1</f>
        <v>0.80952923728287796</v>
      </c>
      <c r="R28" s="7">
        <v>322.57</v>
      </c>
      <c r="S28" s="4">
        <v>1800000</v>
      </c>
      <c r="U28" t="e">
        <f>+Data[[#This Row],[Tasa Promedio BCV]]/T27-1</f>
        <v>#DIV/0!</v>
      </c>
      <c r="V28" s="2" t="e">
        <f>(Data[[#This Row],[ Deevaluación BCV]]+1)*(V27+1)-1</f>
        <v>#VALUE!</v>
      </c>
      <c r="Y28" t="e">
        <f>+Data[[#This Row],[Tasa paralelo]]/X27-1</f>
        <v>#DIV/0!</v>
      </c>
      <c r="Z28" s="2" t="e">
        <f>+(Data[[#This Row],[Devaluación paralelo]]+1)*(Z27+1)-1</f>
        <v>#DIV/0!</v>
      </c>
      <c r="AA28" s="2"/>
      <c r="AC28" s="2" t="e">
        <f t="shared" si="0"/>
        <v>#VALUE!</v>
      </c>
    </row>
    <row r="29" spans="1:29" x14ac:dyDescent="0.25">
      <c r="A29">
        <v>2021</v>
      </c>
      <c r="B29" s="21" t="s">
        <v>26</v>
      </c>
      <c r="C29" s="1">
        <v>0.37</v>
      </c>
      <c r="D29" s="2">
        <f t="shared" si="5"/>
        <v>2.8053119999999998</v>
      </c>
      <c r="E29" s="2"/>
      <c r="F29" s="2">
        <f>Data[[#This Row],[Incremento Ingreso mensual VEF]]</f>
        <v>0</v>
      </c>
      <c r="G29" s="2">
        <v>0.246</v>
      </c>
      <c r="H29" s="2">
        <f>(Data[[#This Row],[Inflacion BCV]]+1)*(H28+1)-1</f>
        <v>1.8375292418480003</v>
      </c>
      <c r="I29" s="1">
        <v>0.33399999999999996</v>
      </c>
      <c r="J29" s="2">
        <f t="shared" si="6"/>
        <v>2.4062899858460001</v>
      </c>
      <c r="K29" s="4">
        <v>2.4569355963666668</v>
      </c>
      <c r="L29" s="5">
        <v>2.3658209502466661</v>
      </c>
      <c r="M29" s="12">
        <f>Data[[#This Row],[Tasa bcv]]/L28-1</f>
        <v>0.26964599416518675</v>
      </c>
      <c r="N29" s="12">
        <f>(Data[[#This Row],[ Deevaluación BCV]]+1)*(N28+1)-1</f>
        <v>2.5023697730637422</v>
      </c>
      <c r="O29" s="5">
        <v>2445500.3810000001</v>
      </c>
      <c r="P29" s="6">
        <f>Data[[#This Row],[Tasa Enparalelo]]/K28-1</f>
        <v>0.30555396660892686</v>
      </c>
      <c r="Q29" s="6">
        <f>(1+Q28)*(1+Data[[#This Row],[Depreciación EP]])-1</f>
        <v>1.3624380734294874</v>
      </c>
      <c r="R29" s="7">
        <v>321.33999999999997</v>
      </c>
      <c r="S29" s="4">
        <v>1800000</v>
      </c>
      <c r="U29" t="e">
        <f>+Data[[#This Row],[Tasa Promedio BCV]]/T28-1</f>
        <v>#DIV/0!</v>
      </c>
      <c r="V29" s="2" t="e">
        <f>(Data[[#This Row],[ Deevaluación BCV]]+1)*(V28+1)-1</f>
        <v>#VALUE!</v>
      </c>
      <c r="Y29" t="e">
        <f>+Data[[#This Row],[Tasa paralelo]]/X28-1</f>
        <v>#DIV/0!</v>
      </c>
      <c r="Z29" s="2" t="e">
        <f>+(Data[[#This Row],[Devaluación paralelo]]+1)*(Z28+1)-1</f>
        <v>#DIV/0!</v>
      </c>
      <c r="AA29" s="2"/>
      <c r="AC29" s="2" t="e">
        <f t="shared" si="0"/>
        <v>#VALUE!</v>
      </c>
    </row>
    <row r="30" spans="1:29" x14ac:dyDescent="0.25">
      <c r="A30">
        <v>2021</v>
      </c>
      <c r="B30" s="21" t="s">
        <v>27</v>
      </c>
      <c r="C30" s="1">
        <v>0.46</v>
      </c>
      <c r="D30" s="2">
        <f t="shared" si="5"/>
        <v>4.5557555199999999</v>
      </c>
      <c r="E30" s="2"/>
      <c r="F30" s="2">
        <f>Data[[#This Row],[Incremento Ingreso mensual VEF]]</f>
        <v>0</v>
      </c>
      <c r="G30" s="2">
        <v>0.28499999999999998</v>
      </c>
      <c r="H30" s="2">
        <f>(Data[[#This Row],[Inflacion BCV]]+1)*(H29+1)-1</f>
        <v>2.6462250757746801</v>
      </c>
      <c r="I30" s="1">
        <v>0.19600000000000001</v>
      </c>
      <c r="J30" s="2">
        <f t="shared" si="6"/>
        <v>3.0739228230718156</v>
      </c>
      <c r="K30" s="4">
        <v>2.9648526335483858</v>
      </c>
      <c r="L30" s="5">
        <v>2.9553467901096764</v>
      </c>
      <c r="M30" s="12">
        <f>Data[[#This Row],[Tasa bcv]]/L29-1</f>
        <v>0.24918447011027811</v>
      </c>
      <c r="N30" s="12">
        <f>(Data[[#This Row],[ Deevaluación BCV]]+1)*(N29+1)-1</f>
        <v>3.3751059290948859</v>
      </c>
      <c r="O30" s="5">
        <v>3019230.767419355</v>
      </c>
      <c r="P30" s="6">
        <f>Data[[#This Row],[Tasa Enparalelo]]/K29-1</f>
        <v>0.20672785966910578</v>
      </c>
      <c r="Q30" s="6">
        <f>(1+Q29)*(1+Data[[#This Row],[Depreciación EP]])-1</f>
        <v>1.850819839950371</v>
      </c>
      <c r="R30" s="7">
        <v>416.94</v>
      </c>
      <c r="S30" s="4">
        <v>7000000</v>
      </c>
      <c r="U30" t="e">
        <f>+Data[[#This Row],[Tasa Promedio BCV]]/T29-1</f>
        <v>#DIV/0!</v>
      </c>
      <c r="V30" s="2" t="e">
        <f>(Data[[#This Row],[ Deevaluación BCV]]+1)*(V29+1)-1</f>
        <v>#VALUE!</v>
      </c>
      <c r="Y30" t="e">
        <f>+Data[[#This Row],[Tasa paralelo]]/X29-1</f>
        <v>#DIV/0!</v>
      </c>
      <c r="Z30" s="2" t="e">
        <f>+(Data[[#This Row],[Devaluación paralelo]]+1)*(Z29+1)-1</f>
        <v>#DIV/0!</v>
      </c>
      <c r="AA30" s="2"/>
      <c r="AC30" s="2" t="e">
        <f t="shared" si="0"/>
        <v>#VALUE!</v>
      </c>
    </row>
    <row r="31" spans="1:29" x14ac:dyDescent="0.25">
      <c r="A31">
        <v>2021</v>
      </c>
      <c r="B31" s="21" t="s">
        <v>28</v>
      </c>
      <c r="C31" s="1">
        <v>0.13</v>
      </c>
      <c r="D31" s="2">
        <f t="shared" si="5"/>
        <v>5.2780037375999997</v>
      </c>
      <c r="E31" s="2"/>
      <c r="F31" s="2">
        <f>Data[[#This Row],[Incremento Ingreso mensual VEF]]</f>
        <v>0</v>
      </c>
      <c r="G31" s="2">
        <v>0.157</v>
      </c>
      <c r="H31" s="2">
        <f>(Data[[#This Row],[Inflacion BCV]]+1)*(H30+1)-1</f>
        <v>3.2186824126713054</v>
      </c>
      <c r="I31" s="1">
        <v>6.4000000000000001E-2</v>
      </c>
      <c r="J31" s="2">
        <f t="shared" si="6"/>
        <v>3.3346538837484117</v>
      </c>
      <c r="K31" s="4">
        <v>3.143866322</v>
      </c>
      <c r="L31" s="5">
        <v>3.1428526506833343</v>
      </c>
      <c r="M31" s="12">
        <f>Data[[#This Row],[Tasa bcv]]/L30-1</f>
        <v>6.3446314050575214E-2</v>
      </c>
      <c r="N31" s="12">
        <f>(Data[[#This Row],[ Deevaluación BCV]]+1)*(N30+1)-1</f>
        <v>3.6526902738767735</v>
      </c>
      <c r="O31" s="5">
        <v>3058944.7049999996</v>
      </c>
      <c r="P31" s="6">
        <f>Data[[#This Row],[Tasa Enparalelo]]/K30-1</f>
        <v>6.0378612557672851E-2</v>
      </c>
      <c r="Q31" s="6">
        <f>(1+Q30)*(1+Data[[#This Row],[Depreciación EP]])-1</f>
        <v>2.0229483865384612</v>
      </c>
      <c r="R31" s="7">
        <v>220.27</v>
      </c>
      <c r="S31" s="4">
        <v>7000000</v>
      </c>
      <c r="U31" t="e">
        <f>+Data[[#This Row],[Tasa Promedio BCV]]/T30-1</f>
        <v>#DIV/0!</v>
      </c>
      <c r="V31" s="2" t="e">
        <f>(Data[[#This Row],[ Deevaluación BCV]]+1)*(V30+1)-1</f>
        <v>#VALUE!</v>
      </c>
      <c r="Y31" t="e">
        <f>+Data[[#This Row],[Tasa paralelo]]/X30-1</f>
        <v>#DIV/0!</v>
      </c>
      <c r="Z31" s="2" t="e">
        <f>+(Data[[#This Row],[Devaluación paralelo]]+1)*(Z30+1)-1</f>
        <v>#DIV/0!</v>
      </c>
      <c r="AA31" s="2"/>
      <c r="AC31" s="2" t="e">
        <f t="shared" si="0"/>
        <v>#VALUE!</v>
      </c>
    </row>
    <row r="32" spans="1:29" x14ac:dyDescent="0.25">
      <c r="A32">
        <v>2021</v>
      </c>
      <c r="B32" s="21" t="s">
        <v>29</v>
      </c>
      <c r="C32" s="1">
        <v>0.25</v>
      </c>
      <c r="D32" s="2">
        <f t="shared" si="5"/>
        <v>6.8475046719999995</v>
      </c>
      <c r="E32" s="2"/>
      <c r="F32" s="2">
        <f>Data[[#This Row],[Incremento Ingreso mensual VEF]]</f>
        <v>0</v>
      </c>
      <c r="G32" s="2">
        <v>0.16700000000000001</v>
      </c>
      <c r="H32" s="2">
        <f>(Data[[#This Row],[Inflacion BCV]]+1)*(H31+1)-1</f>
        <v>3.9232023755874135</v>
      </c>
      <c r="I32" s="1">
        <v>0.19</v>
      </c>
      <c r="J32" s="2">
        <f t="shared" si="6"/>
        <v>4.1582381216606095</v>
      </c>
      <c r="K32" s="4">
        <v>3.6257573167741928</v>
      </c>
      <c r="L32" s="5">
        <v>3.5457231074096778</v>
      </c>
      <c r="M32" s="12">
        <f>Data[[#This Row],[Tasa bcv]]/L31-1</f>
        <v>0.12818623763310999</v>
      </c>
      <c r="N32" s="12">
        <f>(Data[[#This Row],[ Deevaluación BCV]]+1)*(N31+1)-1</f>
        <v>4.2491011349572014</v>
      </c>
      <c r="O32" s="5">
        <v>3633272.3570967731</v>
      </c>
      <c r="P32" s="6">
        <f>Data[[#This Row],[Tasa Enparalelo]]/K31-1</f>
        <v>0.15327973438375508</v>
      </c>
      <c r="Q32" s="6">
        <f>(1+Q31)*(1+Data[[#This Row],[Depreciación EP]])-1</f>
        <v>2.4863051122828774</v>
      </c>
      <c r="R32" s="7">
        <v>226.77</v>
      </c>
      <c r="S32" s="4">
        <v>7000000</v>
      </c>
      <c r="U32" t="e">
        <f>+Data[[#This Row],[Tasa Promedio BCV]]/T31-1</f>
        <v>#DIV/0!</v>
      </c>
      <c r="V32" s="2" t="e">
        <f>(Data[[#This Row],[ Deevaluación BCV]]+1)*(V31+1)-1</f>
        <v>#VALUE!</v>
      </c>
      <c r="Y32" t="e">
        <f>+Data[[#This Row],[Tasa paralelo]]/X31-1</f>
        <v>#DIV/0!</v>
      </c>
      <c r="Z32" s="2" t="e">
        <f>+(Data[[#This Row],[Devaluación paralelo]]+1)*(Z31+1)-1</f>
        <v>#DIV/0!</v>
      </c>
      <c r="AA32" s="2"/>
      <c r="AC32" s="2" t="e">
        <f t="shared" si="0"/>
        <v>#VALUE!</v>
      </c>
    </row>
    <row r="33" spans="1:29" x14ac:dyDescent="0.25">
      <c r="A33">
        <v>2021</v>
      </c>
      <c r="B33" s="21" t="s">
        <v>30</v>
      </c>
      <c r="C33" s="1">
        <v>0.2</v>
      </c>
      <c r="D33" s="2">
        <f t="shared" si="5"/>
        <v>8.4170056063999983</v>
      </c>
      <c r="E33" s="2"/>
      <c r="F33" s="2">
        <f>Data[[#This Row],[Incremento Ingreso mensual VEF]]</f>
        <v>0</v>
      </c>
      <c r="G33" s="2">
        <v>0.19800000000000001</v>
      </c>
      <c r="H33" s="2">
        <f>(Data[[#This Row],[Inflacion BCV]]+1)*(H32+1)-1</f>
        <v>4.8979964459537211</v>
      </c>
      <c r="I33" s="1">
        <v>0.106</v>
      </c>
      <c r="J33" s="2">
        <f t="shared" si="6"/>
        <v>4.7050113625566343</v>
      </c>
      <c r="K33" s="4">
        <v>4.1020190454838703</v>
      </c>
      <c r="L33" s="5">
        <v>4.1030323536838713</v>
      </c>
      <c r="M33" s="12">
        <f>Data[[#This Row],[Tasa bcv]]/L32-1</f>
        <v>0.15717788146219203</v>
      </c>
      <c r="N33" s="12">
        <f>(Data[[#This Row],[ Deevaluación BCV]]+1)*(N32+1)-1</f>
        <v>5.0741437309305617</v>
      </c>
      <c r="O33" s="5">
        <v>4129144.6564516132</v>
      </c>
      <c r="P33" s="6">
        <f>Data[[#This Row],[Tasa Enparalelo]]/K32-1</f>
        <v>0.13135510380308735</v>
      </c>
      <c r="Q33" s="6">
        <f>(1+Q32)*(1+Data[[#This Row],[Depreciación EP]])-1</f>
        <v>2.9442490821960288</v>
      </c>
      <c r="R33" s="7">
        <v>232.8</v>
      </c>
      <c r="S33" s="4">
        <v>7000000</v>
      </c>
      <c r="U33" t="e">
        <f>+Data[[#This Row],[Tasa Promedio BCV]]/T32-1</f>
        <v>#DIV/0!</v>
      </c>
      <c r="V33" s="2" t="e">
        <f>(Data[[#This Row],[ Deevaluación BCV]]+1)*(V32+1)-1</f>
        <v>#VALUE!</v>
      </c>
      <c r="Y33" t="e">
        <f>+Data[[#This Row],[Tasa paralelo]]/X32-1</f>
        <v>#DIV/0!</v>
      </c>
      <c r="Z33" s="2" t="e">
        <f>+(Data[[#This Row],[Devaluación paralelo]]+1)*(Z32+1)-1</f>
        <v>#DIV/0!</v>
      </c>
      <c r="AA33" s="2"/>
      <c r="AC33" s="2" t="e">
        <f t="shared" si="0"/>
        <v>#VALUE!</v>
      </c>
    </row>
    <row r="34" spans="1:29" x14ac:dyDescent="0.25">
      <c r="A34">
        <v>2021</v>
      </c>
      <c r="B34" s="21" t="s">
        <v>31</v>
      </c>
      <c r="C34" s="1">
        <v>0.16</v>
      </c>
      <c r="D34" s="2">
        <f t="shared" si="5"/>
        <v>9.9237265034239979</v>
      </c>
      <c r="E34" s="2"/>
      <c r="F34" s="2">
        <f>Data[[#This Row],[Incremento Ingreso mensual VEF]]</f>
        <v>0</v>
      </c>
      <c r="G34" s="2">
        <v>7.0999999999999994E-2</v>
      </c>
      <c r="H34" s="2">
        <f>(Data[[#This Row],[Inflacion BCV]]+1)*(H33+1)-1</f>
        <v>5.3167541936164353</v>
      </c>
      <c r="I34" s="1">
        <v>9.7000000000000003E-2</v>
      </c>
      <c r="J34" s="2">
        <f t="shared" si="6"/>
        <v>5.2583974647246281</v>
      </c>
      <c r="K34" s="4">
        <v>4.105481256</v>
      </c>
      <c r="L34" s="5">
        <v>3.793269081308789</v>
      </c>
      <c r="M34" s="12">
        <f>Data[[#This Row],[Tasa bcv]]/L33-1</f>
        <v>-7.5496180793447554E-2</v>
      </c>
      <c r="N34" s="12">
        <f>(Data[[#This Row],[ Deevaluación BCV]]+1)*(N33+1)-1</f>
        <v>4.6155690776548424</v>
      </c>
      <c r="O34" s="5">
        <v>4127587.6143333334</v>
      </c>
      <c r="P34" s="6">
        <f>Data[[#This Row],[Tasa Enparalelo]]/K33-1</f>
        <v>8.4402594862198477E-4</v>
      </c>
      <c r="Q34" s="6">
        <f>(1+Q33)*(1+Data[[#This Row],[Depreciación EP]])-1</f>
        <v>2.9475781307692306</v>
      </c>
      <c r="R34" s="7">
        <v>248.03</v>
      </c>
      <c r="S34" s="4">
        <v>7000000</v>
      </c>
      <c r="U34" t="e">
        <f>+Data[[#This Row],[Tasa Promedio BCV]]/T33-1</f>
        <v>#DIV/0!</v>
      </c>
      <c r="V34" s="2" t="e">
        <f>(Data[[#This Row],[ Deevaluación BCV]]+1)*(V33+1)-1</f>
        <v>#VALUE!</v>
      </c>
      <c r="Y34" t="e">
        <f>+Data[[#This Row],[Tasa paralelo]]/X33-1</f>
        <v>#DIV/0!</v>
      </c>
      <c r="Z34" s="2" t="e">
        <f>+(Data[[#This Row],[Devaluación paralelo]]+1)*(Z33+1)-1</f>
        <v>#DIV/0!</v>
      </c>
      <c r="AA34" s="2"/>
      <c r="AC34" s="2" t="e">
        <f t="shared" ref="AC34:AC49" si="7">+(AB34+1)*(AC33+1)-1</f>
        <v>#VALUE!</v>
      </c>
    </row>
    <row r="35" spans="1:29" x14ac:dyDescent="0.25">
      <c r="A35">
        <v>2021</v>
      </c>
      <c r="B35" s="21" t="s">
        <v>32</v>
      </c>
      <c r="C35" s="1">
        <v>0.17</v>
      </c>
      <c r="D35" s="2">
        <f t="shared" si="5"/>
        <v>11.780760009006077</v>
      </c>
      <c r="E35" s="2"/>
      <c r="F35" s="2">
        <f>Data[[#This Row],[Incremento Ingreso mensual VEF]]</f>
        <v>0</v>
      </c>
      <c r="G35" s="2">
        <v>6.8000000000000005E-2</v>
      </c>
      <c r="H35" s="2">
        <f>(Data[[#This Row],[Inflacion BCV]]+1)*(H34+1)-1</f>
        <v>5.746293478782353</v>
      </c>
      <c r="I35" s="1">
        <v>8.1000000000000003E-2</v>
      </c>
      <c r="J35" s="2">
        <f t="shared" si="6"/>
        <v>5.7653276593673226</v>
      </c>
      <c r="K35" s="4">
        <v>4.2535483870967745</v>
      </c>
      <c r="L35" s="3">
        <v>4.2141466287096767</v>
      </c>
      <c r="M35" s="12">
        <f>Data[[#This Row],[Tasa bcv]]/L34-1</f>
        <v>0.11095378112635035</v>
      </c>
      <c r="N35" s="12">
        <f>(Data[[#This Row],[ Deevaluación BCV]]+1)*(N34+1)-1</f>
        <v>5.2386376999968585</v>
      </c>
      <c r="O35" s="5">
        <v>4.34</v>
      </c>
      <c r="P35" s="6">
        <f>Data[[#This Row],[Tasa Enparalelo]]/K34-1</f>
        <v>3.606571845392792E-2</v>
      </c>
      <c r="Q35" s="6">
        <f>(1+Q34)*(1+Data[[#This Row],[Depreciación EP]])-1</f>
        <v>3.0899503722084365</v>
      </c>
      <c r="R35" s="7">
        <v>260.77</v>
      </c>
      <c r="S35" s="4">
        <v>7</v>
      </c>
      <c r="U35" t="e">
        <f>+Data[[#This Row],[Tasa Promedio BCV]]/T34-1</f>
        <v>#DIV/0!</v>
      </c>
      <c r="V35" s="2" t="e">
        <f>(Data[[#This Row],[ Deevaluación BCV]]+1)*(V34+1)-1</f>
        <v>#VALUE!</v>
      </c>
      <c r="Y35" t="e">
        <f>+Data[[#This Row],[Tasa paralelo]]/X34-1</f>
        <v>#DIV/0!</v>
      </c>
      <c r="Z35" s="2" t="e">
        <f>+(Data[[#This Row],[Devaluación paralelo]]+1)*(Z34+1)-1</f>
        <v>#DIV/0!</v>
      </c>
      <c r="AA35" s="2"/>
      <c r="AC35" s="2" t="e">
        <f t="shared" si="7"/>
        <v>#VALUE!</v>
      </c>
    </row>
    <row r="36" spans="1:29" x14ac:dyDescent="0.25">
      <c r="A36">
        <v>2021</v>
      </c>
      <c r="B36" s="21" t="s">
        <v>33</v>
      </c>
      <c r="C36" s="1">
        <v>0.18</v>
      </c>
      <c r="D36" s="2">
        <f t="shared" si="5"/>
        <v>14.081296810627169</v>
      </c>
      <c r="E36" s="2"/>
      <c r="F36" s="2">
        <f>Data[[#This Row],[Incremento Ingreso mensual VEF]]</f>
        <v>0</v>
      </c>
      <c r="G36" s="2">
        <v>8.4000000000000005E-2</v>
      </c>
      <c r="H36" s="2">
        <f>(Data[[#This Row],[Inflacion BCV]]+1)*(H35+1)-1</f>
        <v>6.3129821310000711</v>
      </c>
      <c r="I36" s="1">
        <v>0.06</v>
      </c>
      <c r="J36" s="2">
        <f t="shared" si="6"/>
        <v>6.1712473189293622</v>
      </c>
      <c r="K36" s="4">
        <v>4.7143333333333324</v>
      </c>
      <c r="L36" s="3">
        <v>4.511146666666666</v>
      </c>
      <c r="M36" s="12">
        <f>Data[[#This Row],[Tasa bcv]]/L35-1</f>
        <v>7.047691125259381E-2</v>
      </c>
      <c r="N36" s="12">
        <f>(Data[[#This Row],[ Deevaluación BCV]]+1)*(N35+1)-1</f>
        <v>5.6783176155166233</v>
      </c>
      <c r="O36" s="5">
        <v>4.7300000000000004</v>
      </c>
      <c r="P36" s="6">
        <f>Data[[#This Row],[Tasa Enparalelo]]/K35-1</f>
        <v>0.10832954143283247</v>
      </c>
      <c r="Q36" s="6">
        <f>(1+Q35)*(1+Data[[#This Row],[Depreciación EP]])-1</f>
        <v>3.5330128205128188</v>
      </c>
      <c r="R36" s="7">
        <v>396.19</v>
      </c>
      <c r="S36" s="4">
        <v>7</v>
      </c>
      <c r="U36" t="e">
        <f>+Data[[#This Row],[Tasa Promedio BCV]]/T35-1</f>
        <v>#DIV/0!</v>
      </c>
      <c r="V36" s="2" t="e">
        <f>(Data[[#This Row],[ Deevaluación BCV]]+1)*(V35+1)-1</f>
        <v>#VALUE!</v>
      </c>
      <c r="Y36" t="e">
        <f>+Data[[#This Row],[Tasa paralelo]]/X35-1</f>
        <v>#DIV/0!</v>
      </c>
      <c r="Z36" s="2" t="e">
        <f>+(Data[[#This Row],[Devaluación paralelo]]+1)*(Z35+1)-1</f>
        <v>#DIV/0!</v>
      </c>
      <c r="AA36" s="2"/>
      <c r="AC36" s="2" t="e">
        <f t="shared" si="7"/>
        <v>#VALUE!</v>
      </c>
    </row>
    <row r="37" spans="1:29" x14ac:dyDescent="0.25">
      <c r="A37">
        <v>2021</v>
      </c>
      <c r="B37" s="21" t="s">
        <v>34</v>
      </c>
      <c r="C37" s="1">
        <v>7.0000000000000007E-2</v>
      </c>
      <c r="D37" s="2">
        <f t="shared" si="5"/>
        <v>15.13698758737107</v>
      </c>
      <c r="E37" s="2"/>
      <c r="F37" s="2">
        <f>Data[[#This Row],[Incremento Ingreso mensual VEF]]</f>
        <v>0</v>
      </c>
      <c r="G37" s="2">
        <v>7.5999999999999998E-2</v>
      </c>
      <c r="H37" s="2">
        <f>(Data[[#This Row],[Inflacion BCV]]+1)*(H36+1)-1</f>
        <v>6.8687687729560771</v>
      </c>
      <c r="I37" s="1">
        <v>0.06</v>
      </c>
      <c r="J37" s="2">
        <f t="shared" si="6"/>
        <v>6.6015221580651247</v>
      </c>
      <c r="K37" s="4">
        <v>4.6835483870967751</v>
      </c>
      <c r="L37" s="3">
        <v>4.6140935483870962</v>
      </c>
      <c r="M37" s="12">
        <f>Data[[#This Row],[Tasa bcv]]/L36-1</f>
        <v>2.282055746072631E-2</v>
      </c>
      <c r="N37" s="12">
        <f>(Data[[#This Row],[ Deevaluación BCV]]+1)*(N36+1)-1</f>
        <v>5.8307205464025014</v>
      </c>
      <c r="O37" s="5">
        <v>4.7300000000000004</v>
      </c>
      <c r="P37" s="6">
        <f>Data[[#This Row],[Tasa Enparalelo]]/K36-1</f>
        <v>-6.5300741504399351E-3</v>
      </c>
      <c r="Q37" s="6">
        <f>(1+Q36)*(1+Data[[#This Row],[Depreciación EP]])-1</f>
        <v>3.5034119106699757</v>
      </c>
      <c r="R37" s="7">
        <v>396.19</v>
      </c>
      <c r="S37" s="4">
        <v>7</v>
      </c>
      <c r="U37" t="e">
        <f>+Data[[#This Row],[Tasa Promedio BCV]]/T36-1</f>
        <v>#DIV/0!</v>
      </c>
      <c r="V37" s="2" t="e">
        <f>(Data[[#This Row],[ Deevaluación BCV]]+1)*(V36+1)-1</f>
        <v>#VALUE!</v>
      </c>
      <c r="Y37" t="e">
        <f>+Data[[#This Row],[Tasa paralelo]]/X36-1</f>
        <v>#DIV/0!</v>
      </c>
      <c r="Z37" s="2" t="e">
        <f>+(Data[[#This Row],[Devaluación paralelo]]+1)*(Z36+1)-1</f>
        <v>#DIV/0!</v>
      </c>
      <c r="AA37" s="2"/>
      <c r="AC37" s="2" t="e">
        <f t="shared" si="7"/>
        <v>#VALUE!</v>
      </c>
    </row>
    <row r="38" spans="1:29" x14ac:dyDescent="0.25">
      <c r="A38">
        <v>2022</v>
      </c>
      <c r="B38" s="21" t="s">
        <v>23</v>
      </c>
      <c r="C38" s="1">
        <v>3.1E-2</v>
      </c>
      <c r="D38" s="2">
        <f>Data[[#This Row],[ Incremento salario ]]</f>
        <v>3.1E-2</v>
      </c>
      <c r="E38" s="2"/>
      <c r="F38" s="2">
        <f>Data[[#This Row],[Incremento Ingreso mensual VEF]]</f>
        <v>0</v>
      </c>
      <c r="G38" s="15">
        <v>6.7000000000000004E-2</v>
      </c>
      <c r="H38" s="1">
        <f>Data[[#This Row],[Inflacion BCV]]</f>
        <v>6.7000000000000004E-2</v>
      </c>
      <c r="I38" s="15">
        <v>4.8000000000000001E-2</v>
      </c>
      <c r="J38" s="2">
        <f>Data[[#This Row],[ Inflación OVF]]</f>
        <v>4.8000000000000001E-2</v>
      </c>
      <c r="K38" s="4">
        <v>4.8074193548387099</v>
      </c>
      <c r="L38" s="13">
        <v>4.5491999999999999</v>
      </c>
      <c r="M38" s="8">
        <f>Data[[#This Row],[Tasa bcv]]/L37-1</f>
        <v>-1.4064203013348209E-2</v>
      </c>
      <c r="N38" s="12">
        <f>Data[[#This Row],[ Deevaluación BCV]]</f>
        <v>-1.4064203013348209E-2</v>
      </c>
      <c r="O38" s="5">
        <v>4.82</v>
      </c>
      <c r="P38" s="6">
        <f>Data[[#This Row],[Tasa Enparalelo]]/K37-1</f>
        <v>2.6448102486396952E-2</v>
      </c>
      <c r="Q38" s="12">
        <f>Data[[#This Row],[Depreciación EP]]</f>
        <v>2.6448102486396952E-2</v>
      </c>
      <c r="R38" s="7">
        <v>448.05</v>
      </c>
      <c r="S38" s="4">
        <v>7</v>
      </c>
      <c r="U38" t="e">
        <f>+Data[[#This Row],[Tasa Promedio BCV]]/T37-1</f>
        <v>#DIV/0!</v>
      </c>
      <c r="V38" s="2" t="e">
        <f>(Data[[#This Row],[ Deevaluación BCV]]+1)*(V37+1)-1</f>
        <v>#VALUE!</v>
      </c>
      <c r="Y38" t="e">
        <f>+Data[[#This Row],[Tasa paralelo]]/X37-1</f>
        <v>#DIV/0!</v>
      </c>
      <c r="Z38" s="2" t="e">
        <f>+(Data[[#This Row],[Devaluación paralelo]]+1)*(Z37+1)-1</f>
        <v>#DIV/0!</v>
      </c>
      <c r="AA38" s="2"/>
      <c r="AC38" s="2" t="e">
        <f t="shared" si="7"/>
        <v>#VALUE!</v>
      </c>
    </row>
    <row r="39" spans="1:29" x14ac:dyDescent="0.25">
      <c r="A39">
        <v>2022</v>
      </c>
      <c r="B39" s="21" t="s">
        <v>24</v>
      </c>
      <c r="C39" s="1">
        <v>0.03</v>
      </c>
      <c r="D39" s="2">
        <f t="shared" ref="D39:D49" si="8">(C39+1)*(D38+1)-1</f>
        <v>6.1930000000000041E-2</v>
      </c>
      <c r="E39" s="2"/>
      <c r="F39" s="2">
        <f>Data[[#This Row],[Incremento Ingreso mensual VEF]]</f>
        <v>0</v>
      </c>
      <c r="G39" s="1">
        <v>2.9000000000000001E-2</v>
      </c>
      <c r="H39" s="1">
        <f>(Data[[#This Row],[Inflacion BCV]]+1)*(H38+1)-1</f>
        <v>9.7942999999999891E-2</v>
      </c>
      <c r="I39" s="15">
        <v>1.7000000000000001E-2</v>
      </c>
      <c r="J39" s="2">
        <f t="shared" ref="J39:J60" si="9">(I39+1)*(J38+1)-1</f>
        <v>6.5815999999999875E-2</v>
      </c>
      <c r="K39" s="4">
        <v>4.6124999999999989</v>
      </c>
      <c r="L39" s="13">
        <v>4.3804999999999996</v>
      </c>
      <c r="M39" s="12">
        <f>Data[[#This Row],[Tasa bcv]]/L38-1</f>
        <v>-3.7083443242768022E-2</v>
      </c>
      <c r="N39" s="12">
        <f>(Data[[#This Row],[ Deevaluación BCV]]+1)*(N38+1)-1</f>
        <v>-5.0626097181916019E-2</v>
      </c>
      <c r="O39" s="5">
        <v>4.58</v>
      </c>
      <c r="P39" s="6">
        <f>Data[[#This Row],[Tasa Enparalelo]]/K38-1</f>
        <v>-4.0545527746091659E-2</v>
      </c>
      <c r="Q39" s="12">
        <f>(1+Q38)*(1+Data[[#This Row],[Depreciación EP]])-1</f>
        <v>-1.5169777532888395E-2</v>
      </c>
      <c r="R39" s="7">
        <v>454.93</v>
      </c>
      <c r="S39" s="4">
        <v>7</v>
      </c>
      <c r="U39" t="e">
        <f>+Data[[#This Row],[Tasa Promedio BCV]]/T38-1</f>
        <v>#DIV/0!</v>
      </c>
      <c r="V39" s="2" t="e">
        <f>(Data[[#This Row],[ Deevaluación BCV]]+1)*(V38+1)-1</f>
        <v>#VALUE!</v>
      </c>
      <c r="Y39" t="e">
        <f>+Data[[#This Row],[Tasa paralelo]]/X38-1</f>
        <v>#DIV/0!</v>
      </c>
      <c r="Z39" s="2" t="e">
        <f>+(Data[[#This Row],[Devaluación paralelo]]+1)*(Z38+1)-1</f>
        <v>#DIV/0!</v>
      </c>
      <c r="AA39" s="2"/>
      <c r="AC39" s="2" t="e">
        <f t="shared" si="7"/>
        <v>#VALUE!</v>
      </c>
    </row>
    <row r="40" spans="1:29" x14ac:dyDescent="0.25">
      <c r="A40">
        <v>2022</v>
      </c>
      <c r="B40" s="21" t="s">
        <v>25</v>
      </c>
      <c r="C40" s="1">
        <v>0.11899999999999999</v>
      </c>
      <c r="D40" s="2">
        <f t="shared" si="8"/>
        <v>0.18829967000000014</v>
      </c>
      <c r="E40" s="2"/>
      <c r="F40" s="2">
        <f>Data[[#This Row],[Incremento Ingreso mensual VEF]]</f>
        <v>0</v>
      </c>
      <c r="G40" s="1">
        <v>1.4E-2</v>
      </c>
      <c r="H40" s="1">
        <f>(Data[[#This Row],[Inflacion BCV]]+1)*(H39+1)-1</f>
        <v>0.11331420199999998</v>
      </c>
      <c r="I40" s="15">
        <v>0.105</v>
      </c>
      <c r="J40" s="2">
        <f t="shared" si="9"/>
        <v>0.17772667999999991</v>
      </c>
      <c r="K40" s="4">
        <v>4.484516129032257</v>
      </c>
      <c r="L40" s="13">
        <v>4.3771000000000004</v>
      </c>
      <c r="M40" s="12">
        <f>Data[[#This Row],[Tasa bcv]]/L39-1</f>
        <v>-7.7616710421168911E-4</v>
      </c>
      <c r="N40" s="12">
        <f>(Data[[#This Row],[ Deevaluación BCV]]+1)*(N39+1)-1</f>
        <v>-5.1362969974880435E-2</v>
      </c>
      <c r="O40" s="5">
        <v>4.42</v>
      </c>
      <c r="P40" s="6">
        <f>Data[[#This Row],[Tasa Enparalelo]]/K39-1</f>
        <v>-2.7747180697613394E-2</v>
      </c>
      <c r="Q40" s="12">
        <f>(1+Q39)*(1+Data[[#This Row],[Depreciación EP]])-1</f>
        <v>-4.2496039672154096E-2</v>
      </c>
      <c r="R40" s="7">
        <v>471.16</v>
      </c>
      <c r="S40" s="4">
        <v>130</v>
      </c>
      <c r="U40" t="e">
        <f>+Data[[#This Row],[Tasa Promedio BCV]]/T39-1</f>
        <v>#DIV/0!</v>
      </c>
      <c r="V40" s="2" t="e">
        <f>(Data[[#This Row],[ Deevaluación BCV]]+1)*(V39+1)-1</f>
        <v>#VALUE!</v>
      </c>
      <c r="Y40" t="e">
        <f>+Data[[#This Row],[Tasa paralelo]]/X39-1</f>
        <v>#DIV/0!</v>
      </c>
      <c r="Z40" s="2" t="e">
        <f>+(Data[[#This Row],[Devaluación paralelo]]+1)*(Z39+1)-1</f>
        <v>#DIV/0!</v>
      </c>
      <c r="AA40" s="2"/>
      <c r="AC40" s="2" t="e">
        <f t="shared" si="7"/>
        <v>#VALUE!</v>
      </c>
    </row>
    <row r="41" spans="1:29" x14ac:dyDescent="0.25">
      <c r="A41">
        <v>2022</v>
      </c>
      <c r="B41" s="21" t="s">
        <v>26</v>
      </c>
      <c r="C41" s="1">
        <v>8.8999999999999996E-2</v>
      </c>
      <c r="D41" s="2">
        <f t="shared" si="8"/>
        <v>0.29405834063000014</v>
      </c>
      <c r="E41" s="2"/>
      <c r="F41" s="2">
        <f>Data[[#This Row],[Incremento Ingreso mensual VEF]]</f>
        <v>0</v>
      </c>
      <c r="G41" s="1">
        <v>4.3999999999999997E-2</v>
      </c>
      <c r="H41" s="1">
        <f>(Data[[#This Row],[Inflacion BCV]]+1)*(H40+1)-1</f>
        <v>0.16230002688799994</v>
      </c>
      <c r="I41" s="15">
        <v>3.5999999999999997E-2</v>
      </c>
      <c r="J41" s="2">
        <f t="shared" si="9"/>
        <v>0.22012484048000003</v>
      </c>
      <c r="K41" s="4">
        <v>4.63</v>
      </c>
      <c r="L41" s="13">
        <v>4.4866999999999999</v>
      </c>
      <c r="M41" s="12">
        <f>Data[[#This Row],[Tasa bcv]]/L40-1</f>
        <v>2.503940965479412E-2</v>
      </c>
      <c r="N41" s="12">
        <f>(Data[[#This Row],[ Deevaluación BCV]]+1)*(N40+1)-1</f>
        <v>-2.7609658766374223E-2</v>
      </c>
      <c r="O41" s="5"/>
      <c r="P41" s="6">
        <f>Data[[#This Row],[Tasa Enparalelo]]/K40-1</f>
        <v>3.2441375341677681E-2</v>
      </c>
      <c r="Q41" s="12">
        <f>(1+Q40)*(1+Data[[#This Row],[Depreciación EP]])-1</f>
        <v>-1.1433294304015629E-2</v>
      </c>
      <c r="S41" s="4">
        <v>130</v>
      </c>
      <c r="U41" t="e">
        <f>+Data[[#This Row],[Tasa Promedio BCV]]/T40-1</f>
        <v>#DIV/0!</v>
      </c>
      <c r="V41" s="2" t="e">
        <f>(Data[[#This Row],[ Deevaluación BCV]]+1)*(V40+1)-1</f>
        <v>#VALUE!</v>
      </c>
      <c r="Y41" t="e">
        <f>+Data[[#This Row],[Tasa paralelo]]/X40-1</f>
        <v>#DIV/0!</v>
      </c>
      <c r="Z41" s="2" t="e">
        <f>+(Data[[#This Row],[Devaluación paralelo]]+1)*(Z40+1)-1</f>
        <v>#DIV/0!</v>
      </c>
      <c r="AA41" s="2"/>
      <c r="AC41" s="2" t="e">
        <f t="shared" si="7"/>
        <v>#VALUE!</v>
      </c>
    </row>
    <row r="42" spans="1:29" x14ac:dyDescent="0.25">
      <c r="A42">
        <v>2022</v>
      </c>
      <c r="B42" s="21" t="s">
        <v>27</v>
      </c>
      <c r="C42" s="1">
        <v>9.9000000000000005E-2</v>
      </c>
      <c r="D42" s="2">
        <f t="shared" si="8"/>
        <v>0.42217011635237012</v>
      </c>
      <c r="E42" s="2"/>
      <c r="F42" s="2">
        <f>Data[[#This Row],[Incremento Ingreso mensual VEF]]</f>
        <v>0</v>
      </c>
      <c r="G42" s="1">
        <v>6.5000000000000002E-2</v>
      </c>
      <c r="H42" s="1">
        <f>(Data[[#This Row],[Inflacion BCV]]+1)*(H41+1)-1</f>
        <v>0.23784952863571984</v>
      </c>
      <c r="I42" s="15">
        <v>0.10100000000000001</v>
      </c>
      <c r="J42" s="2">
        <f t="shared" si="9"/>
        <v>0.34335744936847989</v>
      </c>
      <c r="K42" s="4">
        <v>5.16</v>
      </c>
      <c r="L42" s="13">
        <v>5.0667999999999997</v>
      </c>
      <c r="M42" s="12">
        <f>Data[[#This Row],[Tasa bcv]]/L41-1</f>
        <v>0.12929324447812429</v>
      </c>
      <c r="N42" s="12">
        <f>(Data[[#This Row],[ Deevaluación BCV]]+1)*(N41+1)-1</f>
        <v>9.8113843350911667E-2</v>
      </c>
      <c r="O42" s="3"/>
      <c r="P42" s="6">
        <f>Data[[#This Row],[Tasa Enparalelo]]/K41-1</f>
        <v>0.11447084233261351</v>
      </c>
      <c r="Q42" s="12">
        <f>(1+Q41)*(1+Data[[#This Row],[Depreciación EP]])-1</f>
        <v>0.10172876919898055</v>
      </c>
      <c r="S42" s="4"/>
      <c r="U42" t="e">
        <f>+Data[[#This Row],[Tasa Promedio BCV]]/T41-1</f>
        <v>#DIV/0!</v>
      </c>
      <c r="V42" s="2" t="e">
        <f>(Data[[#This Row],[ Deevaluación BCV]]+1)*(V41+1)-1</f>
        <v>#VALUE!</v>
      </c>
      <c r="Y42" t="e">
        <f>+Data[[#This Row],[Tasa paralelo]]/X41-1</f>
        <v>#DIV/0!</v>
      </c>
      <c r="Z42" s="2" t="e">
        <f>+(Data[[#This Row],[Devaluación paralelo]]+1)*(Z41+1)-1</f>
        <v>#DIV/0!</v>
      </c>
      <c r="AA42" s="2"/>
      <c r="AC42" s="2" t="e">
        <f t="shared" si="7"/>
        <v>#VALUE!</v>
      </c>
    </row>
    <row r="43" spans="1:29" x14ac:dyDescent="0.25">
      <c r="A43">
        <v>2022</v>
      </c>
      <c r="B43" s="21" t="s">
        <v>28</v>
      </c>
      <c r="C43" s="1">
        <v>0.156</v>
      </c>
      <c r="D43" s="2">
        <f t="shared" si="8"/>
        <v>0.64402865450333979</v>
      </c>
      <c r="E43" s="2"/>
      <c r="F43" s="2">
        <f>Data[[#This Row],[Incremento Ingreso mensual VEF]]</f>
        <v>0</v>
      </c>
      <c r="G43" s="2">
        <v>0.114</v>
      </c>
      <c r="H43" s="1">
        <f>(Data[[#This Row],[Inflacion BCV]]+1)*(H42+1)-1</f>
        <v>0.37896437490019208</v>
      </c>
      <c r="I43" s="15">
        <v>0.14499999999999999</v>
      </c>
      <c r="J43" s="2">
        <f t="shared" si="9"/>
        <v>0.53814427952690957</v>
      </c>
      <c r="K43" s="4">
        <v>5.8</v>
      </c>
      <c r="L43" s="13">
        <v>5.5346000000000002</v>
      </c>
      <c r="M43" s="12">
        <f>Data[[#This Row],[Tasa bcv]]/L42-1</f>
        <v>9.2326517723217982E-2</v>
      </c>
      <c r="N43" s="12">
        <f>(Data[[#This Row],[ Deevaluación BCV]]+1)*(N42+1)-1</f>
        <v>0.19949887057116067</v>
      </c>
      <c r="O43" s="3"/>
      <c r="P43" s="6">
        <f>Data[[#This Row],[Tasa Enparalelo]]/K42-1</f>
        <v>0.12403100775193798</v>
      </c>
      <c r="Q43" s="12">
        <f>(1+Q42)*(1+Data[[#This Row],[Depreciación EP]])-1</f>
        <v>0.2383772987120325</v>
      </c>
      <c r="S43" s="4"/>
      <c r="U43" t="e">
        <f>+Data[[#This Row],[Tasa Promedio BCV]]/T42-1</f>
        <v>#DIV/0!</v>
      </c>
      <c r="V43" s="2" t="e">
        <f>(Data[[#This Row],[ Deevaluación BCV]]+1)*(V42+1)-1</f>
        <v>#VALUE!</v>
      </c>
      <c r="Y43" t="e">
        <f>+Data[[#This Row],[Tasa paralelo]]/X42-1</f>
        <v>#DIV/0!</v>
      </c>
      <c r="Z43" s="2" t="e">
        <f>+(Data[[#This Row],[Devaluación paralelo]]+1)*(Z42+1)-1</f>
        <v>#DIV/0!</v>
      </c>
      <c r="AA43" s="2"/>
      <c r="AC43" s="2" t="e">
        <f t="shared" si="7"/>
        <v>#VALUE!</v>
      </c>
    </row>
    <row r="44" spans="1:29" x14ac:dyDescent="0.25">
      <c r="A44">
        <v>2022</v>
      </c>
      <c r="B44" s="21" t="s">
        <v>29</v>
      </c>
      <c r="C44" s="1">
        <v>0.125</v>
      </c>
      <c r="D44" s="2">
        <f t="shared" si="8"/>
        <v>0.84953223631625718</v>
      </c>
      <c r="E44" s="2"/>
      <c r="F44" s="2">
        <f>Data[[#This Row],[Incremento Ingreso mensual VEF]]</f>
        <v>0</v>
      </c>
      <c r="G44" s="2">
        <v>7.4999999999999997E-2</v>
      </c>
      <c r="H44" s="1">
        <f>(Data[[#This Row],[Inflacion BCV]]+1)*(H43+1)-1</f>
        <v>0.48238670301770648</v>
      </c>
      <c r="I44" s="15">
        <v>5.2999999999999999E-2</v>
      </c>
      <c r="J44" s="2">
        <f t="shared" si="9"/>
        <v>0.61966592634183559</v>
      </c>
      <c r="K44" s="4">
        <v>5.97</v>
      </c>
      <c r="L44" s="13">
        <v>5.7835999999999999</v>
      </c>
      <c r="M44" s="12">
        <f>Data[[#This Row],[Tasa bcv]]/L43-1</f>
        <v>4.498970115274803E-2</v>
      </c>
      <c r="N44" s="12">
        <f>(Data[[#This Row],[ Deevaluación BCV]]+1)*(N43+1)-1</f>
        <v>0.25346396629121593</v>
      </c>
      <c r="O44" s="3"/>
      <c r="P44" s="6">
        <f>Data[[#This Row],[Tasa Enparalelo]]/K43-1</f>
        <v>2.931034482758621E-2</v>
      </c>
      <c r="Q44" s="12">
        <f>(1+Q43)*(1+Data[[#This Row],[Depreciación EP]])-1</f>
        <v>0.274674564363937</v>
      </c>
      <c r="S44" s="4"/>
      <c r="U44" t="e">
        <f>+Data[[#This Row],[Tasa Promedio BCV]]/T43-1</f>
        <v>#DIV/0!</v>
      </c>
      <c r="V44" s="2" t="e">
        <f>(Data[[#This Row],[ Deevaluación BCV]]+1)*(V43+1)-1</f>
        <v>#VALUE!</v>
      </c>
      <c r="Y44" t="e">
        <f>+Data[[#This Row],[Tasa paralelo]]/X43-1</f>
        <v>#DIV/0!</v>
      </c>
      <c r="Z44" s="2" t="e">
        <f>+(Data[[#This Row],[Devaluación paralelo]]+1)*(Z43+1)-1</f>
        <v>#DIV/0!</v>
      </c>
      <c r="AA44" s="2"/>
      <c r="AC44" s="2" t="e">
        <f t="shared" si="7"/>
        <v>#VALUE!</v>
      </c>
    </row>
    <row r="45" spans="1:29" x14ac:dyDescent="0.25">
      <c r="A45">
        <v>2022</v>
      </c>
      <c r="B45" s="21" t="s">
        <v>30</v>
      </c>
      <c r="C45" s="1">
        <v>0.16300000000000001</v>
      </c>
      <c r="D45" s="2">
        <f t="shared" si="8"/>
        <v>1.1510059908358072</v>
      </c>
      <c r="E45" s="2"/>
      <c r="F45" s="2">
        <f>Data[[#This Row],[Incremento Ingreso mensual VEF]]</f>
        <v>0</v>
      </c>
      <c r="G45" s="2">
        <v>8.2000000000000003E-2</v>
      </c>
      <c r="H45" s="1">
        <f>(Data[[#This Row],[Inflacion BCV]]+1)*(H44+1)-1</f>
        <v>0.60394241266515847</v>
      </c>
      <c r="I45" s="15">
        <v>0.17</v>
      </c>
      <c r="J45" s="2">
        <f t="shared" si="9"/>
        <v>0.89500913381994751</v>
      </c>
      <c r="K45" s="4">
        <v>8.15</v>
      </c>
      <c r="L45" s="13">
        <v>7.85</v>
      </c>
      <c r="M45" s="8">
        <f>Data[[#This Row],[Tasa bcv]]/L44-1</f>
        <v>0.35728611937201737</v>
      </c>
      <c r="N45" s="12">
        <f>(Data[[#This Row],[ Deevaluación BCV]]+1)*(N44+1)-1</f>
        <v>0.70130924258006155</v>
      </c>
      <c r="O45" s="3"/>
      <c r="P45" s="6">
        <f>Data[[#This Row],[Tasa Enparalelo]]/K44-1</f>
        <v>0.36515912897822456</v>
      </c>
      <c r="Q45" s="12">
        <f>(1+Q44)*(1+Data[[#This Row],[Depreciación EP]])-1</f>
        <v>0.74013361801777</v>
      </c>
      <c r="S45" s="4"/>
      <c r="U45" t="e">
        <f>+Data[[#This Row],[Tasa Promedio BCV]]/T44-1</f>
        <v>#DIV/0!</v>
      </c>
      <c r="V45" s="2" t="e">
        <f>(Data[[#This Row],[ Deevaluación BCV]]+1)*(V44+1)-1</f>
        <v>#VALUE!</v>
      </c>
      <c r="Y45" t="e">
        <f>+Data[[#This Row],[Tasa paralelo]]/X44-1</f>
        <v>#DIV/0!</v>
      </c>
      <c r="Z45" s="2" t="e">
        <f>+(Data[[#This Row],[Devaluación paralelo]]+1)*(Z44+1)-1</f>
        <v>#DIV/0!</v>
      </c>
      <c r="AA45" s="2"/>
      <c r="AC45" s="2" t="e">
        <f t="shared" si="7"/>
        <v>#VALUE!</v>
      </c>
    </row>
    <row r="46" spans="1:29" x14ac:dyDescent="0.25">
      <c r="A46">
        <v>2022</v>
      </c>
      <c r="B46" s="21" t="s">
        <v>31</v>
      </c>
      <c r="C46" s="1">
        <v>0.14000000000000001</v>
      </c>
      <c r="D46" s="2">
        <f t="shared" si="8"/>
        <v>1.4521468295528206</v>
      </c>
      <c r="E46" s="2"/>
      <c r="F46" s="2">
        <f>Data[[#This Row],[Incremento Ingreso mensual VEF]]</f>
        <v>0</v>
      </c>
      <c r="G46" s="2">
        <v>0.28699999999999998</v>
      </c>
      <c r="H46" s="1">
        <f>(Data[[#This Row],[Inflacion BCV]]+1)*(H45+1)-1</f>
        <v>1.0642738851000586</v>
      </c>
      <c r="I46" s="15">
        <v>0.115</v>
      </c>
      <c r="J46" s="2">
        <f t="shared" si="9"/>
        <v>1.1129351842092414</v>
      </c>
      <c r="K46" s="4">
        <v>8.3000000000000007</v>
      </c>
      <c r="L46" s="14">
        <v>8.18</v>
      </c>
      <c r="M46" s="8">
        <f>Data[[#This Row],[Tasa bcv]]/L45-1</f>
        <v>4.2038216560509545E-2</v>
      </c>
      <c r="N46" s="12">
        <f>(Data[[#This Row],[ Deevaluación BCV]]+1)*(N45+1)-1</f>
        <v>0.77282924895603866</v>
      </c>
      <c r="O46" s="3"/>
      <c r="P46" s="6">
        <f>Data[[#This Row],[Tasa Enparalelo]]/K45-1</f>
        <v>1.8404907975460238E-2</v>
      </c>
      <c r="Q46" s="12">
        <f>(1+Q45)*(1+Data[[#This Row],[Depreciación EP]])-1</f>
        <v>0.77216061712239181</v>
      </c>
      <c r="S46" s="4"/>
      <c r="U46" t="e">
        <f>+Data[[#This Row],[Tasa Promedio BCV]]/T45-1</f>
        <v>#DIV/0!</v>
      </c>
      <c r="V46" s="2" t="e">
        <f>(Data[[#This Row],[ Deevaluación BCV]]+1)*(V45+1)-1</f>
        <v>#VALUE!</v>
      </c>
      <c r="Y46" t="e">
        <f>+Data[[#This Row],[Tasa paralelo]]/X45-1</f>
        <v>#DIV/0!</v>
      </c>
      <c r="Z46" s="2" t="e">
        <f>+(Data[[#This Row],[Devaluación paralelo]]+1)*(Z45+1)-1</f>
        <v>#DIV/0!</v>
      </c>
      <c r="AA46" s="2"/>
      <c r="AC46" s="2" t="e">
        <f t="shared" si="7"/>
        <v>#VALUE!</v>
      </c>
    </row>
    <row r="47" spans="1:29" x14ac:dyDescent="0.25">
      <c r="A47">
        <v>2022</v>
      </c>
      <c r="B47" s="21" t="s">
        <v>32</v>
      </c>
      <c r="C47" s="1">
        <v>0.11</v>
      </c>
      <c r="D47" s="2">
        <f t="shared" si="8"/>
        <v>1.7218829808036311</v>
      </c>
      <c r="E47" s="2"/>
      <c r="F47" s="2">
        <f>Data[[#This Row],[Incremento Ingreso mensual VEF]]</f>
        <v>0</v>
      </c>
      <c r="G47" s="2">
        <v>6.2E-2</v>
      </c>
      <c r="H47" s="1">
        <f>(Data[[#This Row],[Inflacion BCV]]+1)*(H46+1)-1</f>
        <v>1.1922588659762625</v>
      </c>
      <c r="I47" s="15">
        <v>0.14499999999999999</v>
      </c>
      <c r="J47" s="2">
        <f t="shared" si="9"/>
        <v>1.4193107859195813</v>
      </c>
      <c r="K47" s="4">
        <v>9.0399999999999991</v>
      </c>
      <c r="L47" s="14">
        <v>8.52</v>
      </c>
      <c r="M47" s="8">
        <f>Data[[#This Row],[Tasa bcv]]/L46-1</f>
        <v>4.1564792176039145E-2</v>
      </c>
      <c r="N47" s="12">
        <f>(Data[[#This Row],[ Deevaluación BCV]]+1)*(N46+1)-1</f>
        <v>0.84651652825250001</v>
      </c>
      <c r="O47" s="3"/>
      <c r="P47" s="6">
        <f>Data[[#This Row],[Tasa Enparalelo]]/K46-1</f>
        <v>8.9156626506023962E-2</v>
      </c>
      <c r="Q47" s="12">
        <f>(1+Q46)*(1+Data[[#This Row],[Depreciación EP]])-1</f>
        <v>0.93016047937185786</v>
      </c>
      <c r="S47" s="4"/>
      <c r="U47" t="e">
        <f>+Data[[#This Row],[Tasa Promedio BCV]]/T46-1</f>
        <v>#DIV/0!</v>
      </c>
      <c r="V47" s="2" t="e">
        <f>(Data[[#This Row],[ Deevaluación BCV]]+1)*(V46+1)-1</f>
        <v>#VALUE!</v>
      </c>
      <c r="Y47" t="e">
        <f>+Data[[#This Row],[Tasa paralelo]]/X46-1</f>
        <v>#DIV/0!</v>
      </c>
      <c r="Z47" s="2" t="e">
        <f>+(Data[[#This Row],[Devaluación paralelo]]+1)*(Z46+1)-1</f>
        <v>#DIV/0!</v>
      </c>
      <c r="AA47" s="2"/>
      <c r="AC47" s="2" t="e">
        <f t="shared" si="7"/>
        <v>#VALUE!</v>
      </c>
    </row>
    <row r="48" spans="1:29" x14ac:dyDescent="0.25">
      <c r="A48">
        <v>2022</v>
      </c>
      <c r="B48" s="21" t="s">
        <v>33</v>
      </c>
      <c r="C48" s="1">
        <v>0.15</v>
      </c>
      <c r="D48" s="2">
        <f t="shared" si="8"/>
        <v>2.1301654279241755</v>
      </c>
      <c r="E48" s="2"/>
      <c r="F48" s="2">
        <f>Data[[#This Row],[Incremento Ingreso mensual VEF]]</f>
        <v>0</v>
      </c>
      <c r="G48" s="2">
        <v>0.12559999999999999</v>
      </c>
      <c r="H48" s="1">
        <f>(Data[[#This Row],[Inflacion BCV]]+1)*(H47+1)-1</f>
        <v>1.4676065795428808</v>
      </c>
      <c r="I48" s="1">
        <v>0.22</v>
      </c>
      <c r="J48" s="2">
        <f t="shared" si="9"/>
        <v>1.951559158821889</v>
      </c>
      <c r="K48" s="4">
        <v>13.05</v>
      </c>
      <c r="L48" s="14">
        <v>10.95</v>
      </c>
      <c r="M48" s="8">
        <f>Data[[#This Row],[Tasa bcv]]/L47-1</f>
        <v>0.28521126760563376</v>
      </c>
      <c r="N48" s="12">
        <f>(Data[[#This Row],[ Deevaluación BCV]]+1)*(N47+1)-1</f>
        <v>1.3731638479301496</v>
      </c>
      <c r="O48" s="3"/>
      <c r="P48" s="6">
        <f>Data[[#This Row],[Tasa Enparalelo]]/K47-1</f>
        <v>0.44358407079646045</v>
      </c>
      <c r="Q48" s="12">
        <f>(1+Q47)*(1+Data[[#This Row],[Depreciación EP]])-1</f>
        <v>1.7863489221020741</v>
      </c>
      <c r="S48" s="4"/>
      <c r="U48" t="e">
        <f>+Data[[#This Row],[Tasa Promedio BCV]]/T47-1</f>
        <v>#DIV/0!</v>
      </c>
      <c r="V48" s="2" t="e">
        <f>(Data[[#This Row],[ Deevaluación BCV]]+1)*(V47+1)-1</f>
        <v>#VALUE!</v>
      </c>
      <c r="Y48" t="e">
        <f>+Data[[#This Row],[Tasa paralelo]]/X47-1</f>
        <v>#DIV/0!</v>
      </c>
      <c r="Z48" s="2" t="e">
        <f>+(Data[[#This Row],[Devaluación paralelo]]+1)*(Z47+1)-1</f>
        <v>#DIV/0!</v>
      </c>
      <c r="AA48" s="2"/>
      <c r="AC48" s="2" t="e">
        <f t="shared" si="7"/>
        <v>#VALUE!</v>
      </c>
    </row>
    <row r="49" spans="1:29" x14ac:dyDescent="0.25">
      <c r="A49">
        <v>2022</v>
      </c>
      <c r="B49" s="21" t="s">
        <v>34</v>
      </c>
      <c r="C49" s="1">
        <v>0.16</v>
      </c>
      <c r="D49" s="2">
        <f t="shared" si="8"/>
        <v>2.6309918963920436</v>
      </c>
      <c r="E49" s="2"/>
      <c r="F49" s="2">
        <f>Data[[#This Row],[Incremento Ingreso mensual VEF]]</f>
        <v>0</v>
      </c>
      <c r="G49" s="2">
        <v>0.35299999999999998</v>
      </c>
      <c r="H49" s="1">
        <f>(Data[[#This Row],[Inflacion BCV]]+1)*(H48+1)-1</f>
        <v>2.3386717021215175</v>
      </c>
      <c r="I49" s="1">
        <v>0.372</v>
      </c>
      <c r="J49" s="2">
        <f t="shared" si="9"/>
        <v>3.0495391659036315</v>
      </c>
      <c r="K49" s="4">
        <v>18.55</v>
      </c>
      <c r="L49" s="14">
        <v>17.28</v>
      </c>
      <c r="M49" s="8">
        <f>Data[[#This Row],[Tasa bcv]]/L48-1</f>
        <v>0.5780821917808221</v>
      </c>
      <c r="N49" s="12">
        <f>(Data[[#This Row],[ Deevaluación BCV]]+1)*(N48+1)-1</f>
        <v>2.7450476065966201</v>
      </c>
      <c r="P49" s="6">
        <f>Data[[#This Row],[Tasa Enparalelo]]/K48-1</f>
        <v>0.42145593869731801</v>
      </c>
      <c r="Q49" s="12">
        <f>(1+Q48)*(1+Data[[#This Row],[Depreciación EP]])-1</f>
        <v>2.9606722226048641</v>
      </c>
      <c r="S49" s="4"/>
      <c r="T49">
        <v>14.28</v>
      </c>
      <c r="U49" t="e">
        <f>+Data[[#This Row],[Tasa Promedio BCV]]/T48-1</f>
        <v>#DIV/0!</v>
      </c>
      <c r="V49" s="2" t="e">
        <f>(Data[[#This Row],[ Deevaluación BCV]]+1)*(V48+1)-1</f>
        <v>#VALUE!</v>
      </c>
      <c r="Y49" t="e">
        <f>+Data[[#This Row],[Tasa paralelo]]/X48-1</f>
        <v>#DIV/0!</v>
      </c>
      <c r="Z49" s="2" t="e">
        <f>+(Data[[#This Row],[Devaluación paralelo]]+1)*(Z48+1)-1</f>
        <v>#DIV/0!</v>
      </c>
      <c r="AA49" s="2"/>
      <c r="AC49" s="2" t="e">
        <f t="shared" si="7"/>
        <v>#VALUE!</v>
      </c>
    </row>
    <row r="50" spans="1:29" x14ac:dyDescent="0.25">
      <c r="A50">
        <v>2023</v>
      </c>
      <c r="B50" s="21" t="s">
        <v>23</v>
      </c>
      <c r="C50" s="1">
        <v>0.4</v>
      </c>
      <c r="D50" s="2">
        <f>Data[[#This Row],[ Incremento salario ]]</f>
        <v>0.4</v>
      </c>
      <c r="E50" s="2">
        <v>0.35</v>
      </c>
      <c r="F50" s="2">
        <f>Data[[#This Row],[Incremento Ingreso mensual VEF]]</f>
        <v>0.35</v>
      </c>
      <c r="G50" s="2">
        <v>0.4214</v>
      </c>
      <c r="H50" s="1">
        <f>Data[[#This Row],[Inflacion BCV]]</f>
        <v>0.4214</v>
      </c>
      <c r="I50" s="15">
        <v>0.39400000000000002</v>
      </c>
      <c r="J50" s="2">
        <f>Data[[#This Row],[ Inflación OVF]]</f>
        <v>0.39400000000000002</v>
      </c>
      <c r="K50" s="4">
        <v>23</v>
      </c>
      <c r="L50" s="42">
        <v>21.95</v>
      </c>
      <c r="M50" s="8">
        <f>Data[[#This Row],[Tasa bcv]]/L49-1</f>
        <v>0.27025462962962954</v>
      </c>
      <c r="N50" s="12">
        <f>Data[[#This Row],[ Deevaluación BCV]]</f>
        <v>0.27025462962962954</v>
      </c>
      <c r="P50" s="6">
        <f>Data[[#This Row],[Tasa Enparalelo]]/K49-1</f>
        <v>0.23989218328840956</v>
      </c>
      <c r="Q50" s="12">
        <f>Data[[#This Row],[Depreciación EP]]</f>
        <v>0.23989218328840956</v>
      </c>
      <c r="T50">
        <v>19.64</v>
      </c>
      <c r="U50" s="1">
        <f>+Data[[#This Row],[Tasa Promedio BCV]]/T49-1</f>
        <v>0.37535014005602241</v>
      </c>
      <c r="V50" s="58">
        <f>+Data[[#This Row],[Devaluación Promedio BCV]]</f>
        <v>0.37535014005602241</v>
      </c>
      <c r="Z50" s="2"/>
      <c r="AA50" s="2"/>
      <c r="AC50" s="2"/>
    </row>
    <row r="51" spans="1:29" x14ac:dyDescent="0.25">
      <c r="A51">
        <v>2023</v>
      </c>
      <c r="B51" s="21" t="s">
        <v>24</v>
      </c>
      <c r="C51" s="1">
        <v>0.4</v>
      </c>
      <c r="D51" s="2">
        <f>(C51+1)*(D50+1)-1</f>
        <v>0.95999999999999974</v>
      </c>
      <c r="E51" s="2">
        <v>0.25</v>
      </c>
      <c r="F51" s="2">
        <f>(F50+1)*(Data[[#This Row],[Incremento Ingreso mensual VEF]]+1)-1</f>
        <v>0.6875</v>
      </c>
      <c r="G51" s="2">
        <v>0.193</v>
      </c>
      <c r="H51" s="1">
        <f>(Data[[#This Row],[Inflacion BCV]]+1)*(H50+1)-1</f>
        <v>0.69573020000000008</v>
      </c>
      <c r="I51" s="1">
        <v>0.154</v>
      </c>
      <c r="J51" s="2">
        <f>(I51+1)*(J50+1)-1</f>
        <v>0.60867599999999999</v>
      </c>
      <c r="K51" s="16">
        <v>24.7</v>
      </c>
      <c r="L51" s="42">
        <v>24.36</v>
      </c>
      <c r="M51" s="8">
        <f>Data[[#This Row],[Tasa bcv]]/L50-1</f>
        <v>0.10979498861047832</v>
      </c>
      <c r="N51" s="12">
        <f>(Data[[#This Row],[ Deevaluación BCV]]+1)*(N50+1)-1</f>
        <v>0.4097222222222221</v>
      </c>
      <c r="O51" s="17"/>
      <c r="P51" s="6">
        <f>Data[[#This Row],[Tasa Enparalelo]]/K50-1</f>
        <v>7.3913043478260887E-2</v>
      </c>
      <c r="Q51" s="12">
        <f>(1+Q50)*(1+Data[[#This Row],[Depreciación EP]])-1</f>
        <v>0.33153638814016162</v>
      </c>
      <c r="T51">
        <v>23.95</v>
      </c>
      <c r="U51" s="1">
        <f>+Data[[#This Row],[Tasa Promedio BCV]]/T50-1</f>
        <v>0.21945010183299374</v>
      </c>
      <c r="V51" s="59">
        <f>(Data[[#This Row],[Devaluación Promedio BCV]]+1)*(V50+1)-1</f>
        <v>0.67717086834733875</v>
      </c>
      <c r="Z51" s="2"/>
      <c r="AA51" s="2"/>
      <c r="AC51" s="2"/>
    </row>
    <row r="52" spans="1:29" x14ac:dyDescent="0.25">
      <c r="A52">
        <v>2023</v>
      </c>
      <c r="B52" s="21" t="s">
        <v>25</v>
      </c>
      <c r="C52" s="19">
        <v>0.16</v>
      </c>
      <c r="D52" s="2">
        <f t="shared" ref="D52:D61" si="10">(C52+1)*(D51+1)-1</f>
        <v>1.2735999999999996</v>
      </c>
      <c r="E52" s="2">
        <v>0.15</v>
      </c>
      <c r="F52" s="2">
        <f>(F51+1)*(Data[[#This Row],[Incremento Ingreso mensual VEF]]+1)-1</f>
        <v>0.94062499999999982</v>
      </c>
      <c r="G52" s="2">
        <v>6.0900000000000003E-2</v>
      </c>
      <c r="H52" s="1">
        <f>(Data[[#This Row],[Inflacion BCV]]+1)*(H51+1)-1</f>
        <v>0.79900016917999994</v>
      </c>
      <c r="I52" s="19">
        <v>4.2000000000000003E-2</v>
      </c>
      <c r="J52" s="2">
        <f>(I52+1)*(J51+1)-1</f>
        <v>0.67624039199999997</v>
      </c>
      <c r="K52" s="16">
        <v>24.75</v>
      </c>
      <c r="L52" s="42">
        <v>24.48</v>
      </c>
      <c r="M52" s="8">
        <f>Data[[#This Row],[Tasa bcv]]/L51-1</f>
        <v>4.9261083743843415E-3</v>
      </c>
      <c r="N52" s="12">
        <f>(Data[[#This Row],[ Deevaluación BCV]]+1)*(N51+1)-1</f>
        <v>0.41666666666666674</v>
      </c>
      <c r="O52" s="20"/>
      <c r="P52" s="6">
        <f>Data[[#This Row],[Tasa Enparalelo]]/K51-1</f>
        <v>2.0242914979757831E-3</v>
      </c>
      <c r="Q52" s="12">
        <f>(1+Q51)*(1+Data[[#This Row],[Depreciación EP]])-1</f>
        <v>0.33423180592991919</v>
      </c>
      <c r="T52">
        <v>24.25</v>
      </c>
      <c r="U52" s="1">
        <f>+Data[[#This Row],[Tasa Promedio BCV]]/T51-1</f>
        <v>1.2526096033403045E-2</v>
      </c>
      <c r="V52" s="59">
        <f>(Data[[#This Row],[Devaluación Promedio BCV]]+1)*(V51+1)-1</f>
        <v>0.69817927170868344</v>
      </c>
      <c r="Z52" s="2"/>
      <c r="AA52" s="2"/>
      <c r="AC52" s="2"/>
    </row>
    <row r="53" spans="1:29" x14ac:dyDescent="0.25">
      <c r="A53">
        <v>2023</v>
      </c>
      <c r="B53" s="21" t="s">
        <v>26</v>
      </c>
      <c r="C53" s="1">
        <v>0.09</v>
      </c>
      <c r="D53" s="2">
        <f t="shared" si="10"/>
        <v>1.478224</v>
      </c>
      <c r="E53" s="2">
        <v>0.09</v>
      </c>
      <c r="F53" s="2">
        <f>(F52+1)*(Data[[#This Row],[Incremento Ingreso mensual VEF]]+1)-1</f>
        <v>1.1152812499999998</v>
      </c>
      <c r="G53" s="2">
        <v>3.7999999999999999E-2</v>
      </c>
      <c r="H53" s="1">
        <f>(Data[[#This Row],[Inflacion BCV]]+1)*(H52+1)-1</f>
        <v>0.8673621756088401</v>
      </c>
      <c r="I53" s="1">
        <v>2.5000000000000001E-2</v>
      </c>
      <c r="J53" s="2">
        <f>(I53+1)*(J52+1)-1</f>
        <v>0.71814640179999989</v>
      </c>
      <c r="K53" s="16">
        <v>25.61</v>
      </c>
      <c r="L53" s="42">
        <v>24.75</v>
      </c>
      <c r="M53" s="8">
        <f>Data[[#This Row],[Tasa bcv]]/L52-1</f>
        <v>1.1029411764705843E-2</v>
      </c>
      <c r="N53" s="12">
        <f>(Data[[#This Row],[ Deevaluación BCV]]+1)*(N52+1)-1</f>
        <v>0.43229166666666674</v>
      </c>
      <c r="O53" s="17"/>
      <c r="P53" s="6">
        <f>Data[[#This Row],[Tasa Enparalelo]]/K52-1</f>
        <v>3.4747474747474749E-2</v>
      </c>
      <c r="Q53" s="12">
        <f>(1+Q52)*(1+Data[[#This Row],[Depreciación EP]])-1</f>
        <v>0.38059299191374674</v>
      </c>
      <c r="T53">
        <v>24.56</v>
      </c>
      <c r="U53" s="1">
        <f>+Data[[#This Row],[Tasa Promedio BCV]]/T52-1</f>
        <v>1.2783505154639219E-2</v>
      </c>
      <c r="V53" s="59">
        <f>(Data[[#This Row],[Devaluación Promedio BCV]]+1)*(V52+1)-1</f>
        <v>0.71988795518207294</v>
      </c>
      <c r="Z53" s="2"/>
      <c r="AA53" s="2"/>
      <c r="AC53" s="2"/>
    </row>
    <row r="54" spans="1:29" x14ac:dyDescent="0.25">
      <c r="A54">
        <v>2023</v>
      </c>
      <c r="B54" s="21" t="s">
        <v>27</v>
      </c>
      <c r="C54" s="1">
        <v>0.13</v>
      </c>
      <c r="D54" s="2">
        <f t="shared" si="10"/>
        <v>1.8003931199999998</v>
      </c>
      <c r="E54" s="2">
        <v>0.09</v>
      </c>
      <c r="F54" s="2">
        <f>(F53+1)*(Data[[#This Row],[Incremento Ingreso mensual VEF]]+1)-1</f>
        <v>1.3056565624999998</v>
      </c>
      <c r="G54" s="2">
        <v>5.0999999999999997E-2</v>
      </c>
      <c r="H54" s="1">
        <f>(Data[[#This Row],[Inflacion BCV]]+1)*(H53+1)-1</f>
        <v>0.96259764656489089</v>
      </c>
      <c r="I54" s="1">
        <v>7.5999999999999998E-2</v>
      </c>
      <c r="J54" s="2">
        <f t="shared" si="9"/>
        <v>0.84872552833680004</v>
      </c>
      <c r="K54" s="16">
        <v>27.95</v>
      </c>
      <c r="L54" s="42">
        <v>26.16</v>
      </c>
      <c r="M54" s="8">
        <f>Data[[#This Row],[Tasa bcv]]/L53-1</f>
        <v>5.6969696969696892E-2</v>
      </c>
      <c r="N54" s="12">
        <f>(Data[[#This Row],[ Deevaluación BCV]]+1)*(N53+1)-1</f>
        <v>0.51388888888888884</v>
      </c>
      <c r="O54" s="17"/>
      <c r="P54" s="6">
        <f>Data[[#This Row],[Tasa Enparalelo]]/K53-1</f>
        <v>9.137055837563457E-2</v>
      </c>
      <c r="Q54" s="12">
        <f>(1+Q53)*(1+Data[[#This Row],[Depreciación EP]])-1</f>
        <v>0.5067385444743937</v>
      </c>
      <c r="T54">
        <v>25.55</v>
      </c>
      <c r="U54" s="1">
        <f>+Data[[#This Row],[Tasa Promedio BCV]]/T53-1</f>
        <v>4.0309446254071846E-2</v>
      </c>
      <c r="V54" s="59">
        <f>(Data[[#This Row],[Devaluación Promedio BCV]]+1)*(V53+1)-1</f>
        <v>0.78921568627451033</v>
      </c>
      <c r="Z54" s="2"/>
      <c r="AA54" s="2"/>
      <c r="AC54" s="2"/>
    </row>
    <row r="55" spans="1:29" x14ac:dyDescent="0.25">
      <c r="A55">
        <v>2023</v>
      </c>
      <c r="B55" s="21" t="s">
        <v>28</v>
      </c>
      <c r="C55" s="1">
        <v>0.05</v>
      </c>
      <c r="D55" s="2">
        <f t="shared" si="10"/>
        <v>1.9404127760000001</v>
      </c>
      <c r="E55" s="2">
        <v>0.05</v>
      </c>
      <c r="F55" s="2">
        <f>(F54+1)*(Data[[#This Row],[Incremento Ingreso mensual VEF]]+1)-1</f>
        <v>1.4209393906250001</v>
      </c>
      <c r="G55" s="2">
        <v>6.2E-2</v>
      </c>
      <c r="H55" s="1">
        <f>(Data[[#This Row],[Inflacion BCV]]+1)*(H54+1)-1</f>
        <v>1.0842787006519141</v>
      </c>
      <c r="I55" s="1">
        <v>8.5000000000000006E-2</v>
      </c>
      <c r="J55" s="2">
        <f t="shared" si="9"/>
        <v>1.0058671982454279</v>
      </c>
      <c r="K55" s="16">
        <v>29.43</v>
      </c>
      <c r="L55" s="42">
        <v>27.85</v>
      </c>
      <c r="M55" s="8">
        <f>Data[[#This Row],[Tasa bcv]]/L54-1</f>
        <v>6.4602446483180476E-2</v>
      </c>
      <c r="N55" s="12">
        <f>(Data[[#This Row],[ Deevaluación BCV]]+1)*(N54+1)-1</f>
        <v>0.61168981481481488</v>
      </c>
      <c r="O55" s="17"/>
      <c r="P55" s="6">
        <f>Data[[#This Row],[Tasa Enparalelo]]/K54-1</f>
        <v>5.2951699463327451E-2</v>
      </c>
      <c r="Q55" s="12">
        <f>(1+Q54)*(1+Data[[#This Row],[Depreciación EP]])-1</f>
        <v>0.58652291105121335</v>
      </c>
      <c r="T55">
        <v>27.13</v>
      </c>
      <c r="U55" s="1">
        <f>+Data[[#This Row],[Tasa Promedio BCV]]/T54-1</f>
        <v>6.1839530332680859E-2</v>
      </c>
      <c r="V55" s="59">
        <f>(Data[[#This Row],[Devaluación Promedio BCV]]+1)*(V54+1)-1</f>
        <v>0.89985994397759139</v>
      </c>
      <c r="Z55" s="2"/>
      <c r="AA55" s="2"/>
      <c r="AC55" s="2"/>
    </row>
    <row r="56" spans="1:29" x14ac:dyDescent="0.25">
      <c r="A56">
        <v>2023</v>
      </c>
      <c r="B56" t="s">
        <v>29</v>
      </c>
      <c r="C56" s="1">
        <v>0.06</v>
      </c>
      <c r="D56" s="2">
        <f t="shared" si="10"/>
        <v>2.1168375425600003</v>
      </c>
      <c r="E56" s="2">
        <v>6.2E-2</v>
      </c>
      <c r="F56" s="2">
        <f>(F55+1)*(Data[[#This Row],[Incremento Ingreso mensual VEF]]+1)-1</f>
        <v>1.5710376328437503</v>
      </c>
      <c r="G56" s="2">
        <v>6.2E-2</v>
      </c>
      <c r="H56" s="1">
        <f>(Data[[#This Row],[Inflacion BCV]]+1)*(H55+1)-1</f>
        <v>1.2135039800923328</v>
      </c>
      <c r="I56" s="1">
        <v>7.1999999999999995E-2</v>
      </c>
      <c r="J56" s="2">
        <f t="shared" si="9"/>
        <v>1.1502896365190987</v>
      </c>
      <c r="K56" s="16">
        <v>31.5</v>
      </c>
      <c r="L56" s="42">
        <v>29.3</v>
      </c>
      <c r="M56" s="39">
        <f>Data[[#This Row],[Tasa bcv]]/L55-1</f>
        <v>5.2064631956912022E-2</v>
      </c>
      <c r="N56" s="12">
        <f>(Data[[#This Row],[ Deevaluación BCV]]+1)*(N55+1)-1</f>
        <v>0.69560185185185186</v>
      </c>
      <c r="O56" s="17"/>
      <c r="P56" s="6">
        <f>Data[[#This Row],[Tasa Enparalelo]]/K55-1</f>
        <v>7.0336391437308965E-2</v>
      </c>
      <c r="Q56" s="12">
        <f>(1+Q55)*(1+Data[[#This Row],[Depreciación EP]])-1</f>
        <v>0.69811320754717032</v>
      </c>
      <c r="T56">
        <v>28.6</v>
      </c>
      <c r="U56" s="1">
        <f>+Data[[#This Row],[Tasa Promedio BCV]]/T55-1</f>
        <v>5.4183560633984662E-2</v>
      </c>
      <c r="V56" s="59">
        <f>(Data[[#This Row],[Devaluación Promedio BCV]]+1)*(V55+1)-1</f>
        <v>1.0028011204481797</v>
      </c>
      <c r="Z56" s="2"/>
      <c r="AA56" s="2"/>
      <c r="AC56" s="2"/>
    </row>
    <row r="57" spans="1:29" x14ac:dyDescent="0.25">
      <c r="A57">
        <v>2023</v>
      </c>
      <c r="B57" t="s">
        <v>38</v>
      </c>
      <c r="C57" s="1">
        <v>0.03</v>
      </c>
      <c r="D57" s="2">
        <f t="shared" si="10"/>
        <v>2.2103426688368004</v>
      </c>
      <c r="E57" s="2">
        <v>3.9E-2</v>
      </c>
      <c r="F57" s="2">
        <f>(F56+1)*(Data[[#This Row],[Incremento Ingreso mensual VEF]]+1)-1</f>
        <v>1.6713081005246564</v>
      </c>
      <c r="G57" s="2">
        <v>7.3999999999999996E-2</v>
      </c>
      <c r="H57" s="1">
        <f>(Data[[#This Row],[Inflacion BCV]]+1)*(H56+1)-1</f>
        <v>1.3773032746191656</v>
      </c>
      <c r="I57" s="1">
        <v>0.13600000000000001</v>
      </c>
      <c r="J57" s="2">
        <f t="shared" si="9"/>
        <v>1.4427290270856963</v>
      </c>
      <c r="K57" s="16"/>
      <c r="L57" s="42">
        <v>32.428400000000003</v>
      </c>
      <c r="M57" s="8">
        <f>Data[[#This Row],[Tasa bcv]]/L56-1</f>
        <v>0.1067713310580205</v>
      </c>
      <c r="N57" s="12">
        <f>(Data[[#This Row],[ Deevaluación BCV]]+1)*(N56+1)-1</f>
        <v>0.87664351851851863</v>
      </c>
      <c r="O57" s="17"/>
      <c r="P57" s="3"/>
      <c r="Q57" s="18"/>
      <c r="T57">
        <v>31.4</v>
      </c>
      <c r="U57" s="1">
        <f>+Data[[#This Row],[Tasa Promedio BCV]]/T56-1</f>
        <v>9.7902097902097696E-2</v>
      </c>
      <c r="V57" s="59">
        <f>(Data[[#This Row],[Devaluación Promedio BCV]]+1)*(V56+1)-1</f>
        <v>1.1988795518207285</v>
      </c>
      <c r="Z57" s="2"/>
      <c r="AA57" s="2"/>
      <c r="AC57" s="2"/>
    </row>
    <row r="58" spans="1:29" x14ac:dyDescent="0.25">
      <c r="A58">
        <v>2023</v>
      </c>
      <c r="B58" t="s">
        <v>31</v>
      </c>
      <c r="C58" s="1">
        <v>0.05</v>
      </c>
      <c r="D58" s="2">
        <f t="shared" si="10"/>
        <v>2.3708598022786407</v>
      </c>
      <c r="E58" s="2">
        <v>5.7000000000000002E-2</v>
      </c>
      <c r="F58" s="2">
        <f>(F57+1)*(Data[[#This Row],[Incremento Ingreso mensual VEF]]+1)-1</f>
        <v>1.8235726622545618</v>
      </c>
      <c r="G58" s="2">
        <v>8.6999999999999994E-2</v>
      </c>
      <c r="H58" s="1">
        <f>(Data[[#This Row],[Inflacion BCV]]+1)*(H57+1)-1</f>
        <v>1.5841286595110331</v>
      </c>
      <c r="I58" s="1">
        <v>0.06</v>
      </c>
      <c r="J58" s="2">
        <f t="shared" si="9"/>
        <v>1.589292768710838</v>
      </c>
      <c r="K58" s="16"/>
      <c r="L58" s="42">
        <v>34.25</v>
      </c>
      <c r="M58" s="8">
        <f>Data[[#This Row],[Tasa bcv]]/L57-1</f>
        <v>5.617298417436567E-2</v>
      </c>
      <c r="N58" s="12">
        <f>(Data[[#This Row],[ Deevaluación BCV]]+1)*(N57+1)-1</f>
        <v>0.98206018518518534</v>
      </c>
      <c r="P58" s="3"/>
      <c r="Q58" s="18"/>
      <c r="T58">
        <v>33.979999999999997</v>
      </c>
      <c r="U58" s="1">
        <f>+Data[[#This Row],[Tasa Promedio BCV]]/T57-1</f>
        <v>8.2165605095541272E-2</v>
      </c>
      <c r="V58" s="59">
        <f>(Data[[#This Row],[Devaluación Promedio BCV]]+1)*(V57+1)-1</f>
        <v>1.3795518207282913</v>
      </c>
      <c r="Z58" s="2"/>
      <c r="AA58" s="2"/>
      <c r="AC58" s="2"/>
    </row>
    <row r="59" spans="1:29" x14ac:dyDescent="0.25">
      <c r="A59">
        <v>2023</v>
      </c>
      <c r="B59" t="s">
        <v>32</v>
      </c>
      <c r="C59" s="1">
        <v>9.0300000000000005E-2</v>
      </c>
      <c r="D59" s="2">
        <f t="shared" si="10"/>
        <v>2.6752484424244023</v>
      </c>
      <c r="E59" s="2">
        <v>6.3E-2</v>
      </c>
      <c r="F59" s="2">
        <f>(F58+1)*(Data[[#This Row],[Incremento Ingreso mensual VEF]]+1)-1</f>
        <v>2.0014577399765989</v>
      </c>
      <c r="G59" s="2">
        <v>5.8999999999999997E-2</v>
      </c>
      <c r="H59" s="1">
        <f>(Data[[#This Row],[Inflacion BCV]]+1)*(H58+1)-1</f>
        <v>1.7365922504221838</v>
      </c>
      <c r="I59" s="1">
        <v>6.7000000000000004E-2</v>
      </c>
      <c r="J59" s="2">
        <f t="shared" si="9"/>
        <v>1.7627753842144642</v>
      </c>
      <c r="K59" s="16"/>
      <c r="L59" s="42">
        <v>35.119999999999997</v>
      </c>
      <c r="M59" s="8">
        <f>Data[[#This Row],[Tasa bcv]]/L58-1</f>
        <v>2.540145985401443E-2</v>
      </c>
      <c r="N59" s="12">
        <f>(Data[[#This Row],[ Deevaluación BCV]]+1)*(N58+1)-1</f>
        <v>1.0324074074074074</v>
      </c>
      <c r="P59" s="3"/>
      <c r="Q59" s="18"/>
      <c r="T59">
        <v>34.85</v>
      </c>
      <c r="U59" s="1">
        <f>+Data[[#This Row],[Tasa Promedio BCV]]/T58-1</f>
        <v>2.5603296056504021E-2</v>
      </c>
      <c r="V59" s="59">
        <f>(Data[[#This Row],[Devaluación Promedio BCV]]+1)*(V58+1)-1</f>
        <v>1.4404761904761911</v>
      </c>
      <c r="Z59" s="2"/>
      <c r="AA59" s="2"/>
      <c r="AC59" s="2"/>
    </row>
    <row r="60" spans="1:29" x14ac:dyDescent="0.25">
      <c r="A60">
        <v>2023</v>
      </c>
      <c r="B60" t="s">
        <v>33</v>
      </c>
      <c r="C60" s="1">
        <v>0.09</v>
      </c>
      <c r="D60" s="2">
        <f t="shared" si="10"/>
        <v>3.0060208022425989</v>
      </c>
      <c r="E60" s="2">
        <v>4.5999999999999999E-2</v>
      </c>
      <c r="F60" s="2">
        <f>(F59+1)*(Data[[#This Row],[Incremento Ingreso mensual VEF]]+1)-1</f>
        <v>2.1395247960155226</v>
      </c>
      <c r="G60" s="2">
        <v>3.5000000000000003E-2</v>
      </c>
      <c r="H60" s="1">
        <f>(Data[[#This Row],[Inflacion BCV]]+1)*(H59+1)-1</f>
        <v>1.8323729791869598</v>
      </c>
      <c r="I60" s="1">
        <v>1.7999999999999999E-2</v>
      </c>
      <c r="J60" s="2">
        <f t="shared" si="9"/>
        <v>1.8125053411303247</v>
      </c>
      <c r="K60" s="16"/>
      <c r="L60" s="42">
        <v>35.49</v>
      </c>
      <c r="M60" s="8">
        <f>Data[[#This Row],[Tasa bcv]]/L59-1</f>
        <v>1.0535307517084425E-2</v>
      </c>
      <c r="N60" s="12">
        <f>(Data[[#This Row],[ Deevaluación BCV]]+1)*(N59+1)-1</f>
        <v>1.0538194444444446</v>
      </c>
      <c r="P60" s="3"/>
      <c r="Q60" s="18"/>
      <c r="T60">
        <v>35.35</v>
      </c>
      <c r="U60" s="1">
        <f>+Data[[#This Row],[Tasa Promedio BCV]]/T59-1</f>
        <v>1.4347202295552419E-2</v>
      </c>
      <c r="V60" s="59">
        <f>(Data[[#This Row],[Devaluación Promedio BCV]]+1)*(V59+1)-1</f>
        <v>1.4754901960784323</v>
      </c>
      <c r="Z60" s="2"/>
      <c r="AA60" s="2"/>
      <c r="AC60" s="2"/>
    </row>
    <row r="61" spans="1:29" x14ac:dyDescent="0.25">
      <c r="A61">
        <v>2023</v>
      </c>
      <c r="B61" t="s">
        <v>34</v>
      </c>
      <c r="C61" s="1">
        <v>0.02</v>
      </c>
      <c r="D61" s="2">
        <f t="shared" si="10"/>
        <v>3.0861412182874508</v>
      </c>
      <c r="E61" s="2">
        <v>0.03</v>
      </c>
      <c r="F61" s="2">
        <f>(F60+1)*(Data[[#This Row],[Incremento Ingreso mensual VEF]]+1)-1</f>
        <v>2.2337105398959882</v>
      </c>
      <c r="G61" s="2">
        <v>2.4E-2</v>
      </c>
      <c r="H61" s="1">
        <f>(Data[[#This Row],[Inflacion BCV]]+1)*(H60+1)-1</f>
        <v>1.900349930687447</v>
      </c>
      <c r="I61" s="1">
        <v>3.9E-2</v>
      </c>
      <c r="J61" s="2">
        <f>(I61+1)*(J60+1)-1</f>
        <v>1.9221930494344073</v>
      </c>
      <c r="K61" s="16"/>
      <c r="L61" s="42">
        <v>35.93</v>
      </c>
      <c r="M61" s="8">
        <f>Data[[#This Row],[Tasa bcv]]/L60-1</f>
        <v>1.239785855170461E-2</v>
      </c>
      <c r="N61" s="12">
        <f>(Data[[#This Row],[ Deevaluación BCV]]+1)*(N60+1)-1</f>
        <v>1.0792824074074074</v>
      </c>
      <c r="P61" s="3"/>
      <c r="Q61" s="18"/>
      <c r="T61">
        <v>35.68</v>
      </c>
      <c r="U61" s="1">
        <f>+Data[[#This Row],[Tasa Promedio BCV]]/T60-1</f>
        <v>9.3352192362092801E-3</v>
      </c>
      <c r="V61" s="59">
        <f>(Data[[#This Row],[Devaluación Promedio BCV]]+1)*(V60+1)-1</f>
        <v>1.4985994397759113</v>
      </c>
      <c r="Z61" s="2"/>
      <c r="AA61" s="2"/>
      <c r="AC61" s="2"/>
    </row>
    <row r="62" spans="1:29" x14ac:dyDescent="0.25">
      <c r="A62">
        <v>2024</v>
      </c>
      <c r="B62" t="s">
        <v>23</v>
      </c>
      <c r="C62" s="1">
        <v>2.8000000000000001E-2</v>
      </c>
      <c r="D62" s="2">
        <f>+Data[[#This Row],[ Incremento salario ]]</f>
        <v>2.8000000000000001E-2</v>
      </c>
      <c r="E62" s="1">
        <v>2.8000000000000001E-2</v>
      </c>
      <c r="F62" s="2">
        <f>+Data[[#This Row],[Incremento Ingreso mensual VEF]]</f>
        <v>2.8000000000000001E-2</v>
      </c>
      <c r="G62" s="2">
        <v>1.7000000000000001E-2</v>
      </c>
      <c r="H62" s="1">
        <f>+Data[[#This Row],[Inflacion BCV]]</f>
        <v>1.7000000000000001E-2</v>
      </c>
      <c r="I62" s="1">
        <v>4.2000000000000003E-2</v>
      </c>
      <c r="J62" s="2">
        <f>+Data[[#This Row],[ Inflación OVF]]</f>
        <v>4.2000000000000003E-2</v>
      </c>
      <c r="K62" s="16"/>
      <c r="L62" s="46">
        <v>36.203200000000002</v>
      </c>
      <c r="M62" s="6">
        <f>+Data[[#This Row],[Tasa bcv]]/L61-1</f>
        <v>7.603673810186562E-3</v>
      </c>
      <c r="N62" s="12">
        <f>+Data[[#This Row],[ Deevaluación BCV]]</f>
        <v>7.603673810186562E-3</v>
      </c>
      <c r="P62" s="3"/>
      <c r="Q62" s="18"/>
      <c r="T62">
        <v>36.04</v>
      </c>
      <c r="U62" s="1">
        <f>+Data[[#This Row],[Tasa Promedio BCV]]/T61-1</f>
        <v>1.0089686098654793E-2</v>
      </c>
      <c r="V62" s="59">
        <f>+Data[[#This Row],[Devaluación Promedio BCV]]</f>
        <v>1.0089686098654793E-2</v>
      </c>
      <c r="W62" s="52">
        <v>38.384838709677425</v>
      </c>
      <c r="X62">
        <v>38.18</v>
      </c>
      <c r="Z62" s="2"/>
      <c r="AA62" s="2"/>
      <c r="AC62" s="2"/>
    </row>
    <row r="63" spans="1:29" x14ac:dyDescent="0.25">
      <c r="A63">
        <v>2024</v>
      </c>
      <c r="B63" t="s">
        <v>24</v>
      </c>
      <c r="C63" s="1">
        <v>9.7999999999999997E-3</v>
      </c>
      <c r="D63" s="2">
        <f>+(Data[[#This Row],[ Incremento salario ]]+1)*(D62+1)-1</f>
        <v>3.8074399999999953E-2</v>
      </c>
      <c r="E63" s="1">
        <v>9.7999999999999997E-3</v>
      </c>
      <c r="F63" s="2">
        <f>(F62+1)*(Data[[#This Row],[Incremento Ingreso mensual VEF]]+1)-1</f>
        <v>3.8074399999999953E-2</v>
      </c>
      <c r="G63" s="47">
        <v>1.2E-2</v>
      </c>
      <c r="H63" s="2">
        <f>+(H62+1)*(Data[[#This Row],[Inflacion BCV]]+1)-1</f>
        <v>2.9204000000000008E-2</v>
      </c>
      <c r="I63" s="1">
        <v>-5.0000000000000001E-3</v>
      </c>
      <c r="J63" s="2">
        <f>+(J62+1)*(Data[[#This Row],[ Inflación OVF]]+1)-1</f>
        <v>3.67900000000001E-2</v>
      </c>
      <c r="K63" s="16"/>
      <c r="L63" s="46">
        <v>36.130000000000003</v>
      </c>
      <c r="M63" s="6">
        <f>+Data[[#This Row],[Tasa bcv]]/L62-1</f>
        <v>-2.02192071419105E-3</v>
      </c>
      <c r="N63" s="48">
        <f>+(Data[[#This Row],[ Deevaluación BCV]]+1)*(N62+1)-1</f>
        <v>5.5663790704147953E-3</v>
      </c>
      <c r="P63" s="3"/>
      <c r="Q63" s="18"/>
      <c r="T63">
        <v>36.24</v>
      </c>
      <c r="U63" s="1">
        <f>+Data[[#This Row],[Tasa Promedio BCV]]/T62-1</f>
        <v>5.5493895671476778E-3</v>
      </c>
      <c r="V63" s="59">
        <f>(Data[[#This Row],[Devaluación Promedio BCV]]+1)*(V62+1)-1</f>
        <v>1.5695067264574147E-2</v>
      </c>
      <c r="W63" s="52">
        <v>37.953103448275847</v>
      </c>
      <c r="X63">
        <v>38.26</v>
      </c>
      <c r="Y63" s="15">
        <f>+Data[[#This Row],[Tasa paralelo]]/X62-1</f>
        <v>2.0953378732320171E-3</v>
      </c>
      <c r="Z63" s="58">
        <f>+Data[[#This Row],[Devaluación paralelo]]</f>
        <v>2.0953378732320171E-3</v>
      </c>
      <c r="AA63" s="58"/>
      <c r="AC63" s="2"/>
    </row>
    <row r="64" spans="1:29" x14ac:dyDescent="0.25">
      <c r="A64">
        <v>2024</v>
      </c>
      <c r="B64" t="s">
        <v>25</v>
      </c>
      <c r="C64" s="1">
        <v>3.4299999999999997E-2</v>
      </c>
      <c r="D64" s="2">
        <f>+(Data[[#This Row],[ Incremento salario ]]+1)*(D63+1)-1</f>
        <v>7.3680351919999998E-2</v>
      </c>
      <c r="E64" s="1">
        <v>3.4299999999999997E-2</v>
      </c>
      <c r="F64" s="2">
        <f>(F63+1)*(Data[[#This Row],[Incremento Ingreso mensual VEF]]+1)-1</f>
        <v>7.3680351919999998E-2</v>
      </c>
      <c r="G64" s="47">
        <v>1.2E-2</v>
      </c>
      <c r="H64" s="2">
        <f>+(H63+1)*(Data[[#This Row],[Inflacion BCV]]+1)-1</f>
        <v>4.1554448000000077E-2</v>
      </c>
      <c r="I64" s="1">
        <v>3.9E-2</v>
      </c>
      <c r="J64" s="2">
        <f>+(J63+1)*(Data[[#This Row],[ Inflación OVF]]+1)-1</f>
        <v>7.7224809999999922E-2</v>
      </c>
      <c r="K64" s="16"/>
      <c r="L64" s="14">
        <v>36.33</v>
      </c>
      <c r="M64" s="6">
        <f>+Data[[#This Row],[Tasa bcv]]/L63-1</f>
        <v>5.5355660116245264E-3</v>
      </c>
      <c r="N64" s="48">
        <f>+(Data[[#This Row],[ Deevaluación BCV]]+1)*(N63+1)-1</f>
        <v>1.1132758140829369E-2</v>
      </c>
      <c r="P64" s="3"/>
      <c r="Q64" s="18"/>
      <c r="T64">
        <v>36.24</v>
      </c>
      <c r="U64" s="1">
        <f>+Data[[#This Row],[Tasa Promedio BCV]]/T63-1</f>
        <v>0</v>
      </c>
      <c r="V64" s="59">
        <f>(Data[[#This Row],[Devaluación Promedio BCV]]+1)*(V63+1)-1</f>
        <v>1.5695067264574147E-2</v>
      </c>
      <c r="W64" s="52">
        <v>38.27645161290323</v>
      </c>
      <c r="X64">
        <v>38.75</v>
      </c>
      <c r="Y64" s="1">
        <f>+Data[[#This Row],[Tasa paralelo]]/X63-1</f>
        <v>1.2807109252483073E-2</v>
      </c>
      <c r="Z64" s="58">
        <f>+(Data[[#This Row],[Devaluación paralelo]]+1)*(Z63+1)-1</f>
        <v>1.4929282346778372E-2</v>
      </c>
      <c r="AA64" s="58"/>
      <c r="AC64" s="2"/>
    </row>
    <row r="65" spans="1:29" x14ac:dyDescent="0.25">
      <c r="A65">
        <v>2024</v>
      </c>
      <c r="B65" t="s">
        <v>142</v>
      </c>
      <c r="C65" s="1">
        <v>3.5099999999999999E-2</v>
      </c>
      <c r="D65" s="2">
        <f>+(Data[[#This Row],[ Incremento salario ]]+1)*(D64+1)-1</f>
        <v>0.11136653227239179</v>
      </c>
      <c r="E65" s="1">
        <v>3.5099999999999999E-2</v>
      </c>
      <c r="F65" s="2">
        <f>(F64+1)*(Data[[#This Row],[Incremento Ingreso mensual VEF]]+1)-1</f>
        <v>0.11136653227239179</v>
      </c>
      <c r="G65" s="2">
        <v>0.02</v>
      </c>
      <c r="H65" s="2">
        <f>+(H64+1)*(Data[[#This Row],[Inflacion BCV]]+1)-1</f>
        <v>6.2385536960000154E-2</v>
      </c>
      <c r="I65" s="1">
        <v>2.9000000000000001E-2</v>
      </c>
      <c r="J65" s="2">
        <f>+(J64+1)*(Data[[#This Row],[ Inflación OVF]]+1)-1</f>
        <v>0.10846432948999984</v>
      </c>
      <c r="K65" s="16"/>
      <c r="L65" s="23">
        <v>36.42</v>
      </c>
      <c r="M65" s="6">
        <f>+Data[[#This Row],[Tasa bcv]]/L64-1</f>
        <v>2.4772914946327163E-3</v>
      </c>
      <c r="N65" s="48">
        <f>+(Data[[#This Row],[ Deevaluación BCV]]+1)*(N64+1)-1</f>
        <v>1.3637628722516171E-2</v>
      </c>
      <c r="P65" s="3"/>
      <c r="Q65" s="18"/>
      <c r="T65">
        <v>36.299999999999997</v>
      </c>
      <c r="U65" s="1">
        <f>+Data[[#This Row],[Tasa Promedio BCV]]/T64-1</f>
        <v>1.6556291390728006E-3</v>
      </c>
      <c r="V65" s="59">
        <f>(Data[[#This Row],[Devaluación Promedio BCV]]+1)*(V64+1)-1</f>
        <v>1.7376681614349909E-2</v>
      </c>
      <c r="W65" s="52">
        <v>39.103333333333339</v>
      </c>
      <c r="X65">
        <v>39.11</v>
      </c>
      <c r="Y65" s="1">
        <f>+Data[[#This Row],[Tasa paralelo]]/X64-1</f>
        <v>9.2903225806451051E-3</v>
      </c>
      <c r="Z65" s="58">
        <f>+(Data[[#This Row],[Devaluación paralelo]]+1)*(Z64+1)-1</f>
        <v>2.435830277632256E-2</v>
      </c>
      <c r="AA65" s="58"/>
      <c r="AC65" s="2"/>
    </row>
    <row r="66" spans="1:29" x14ac:dyDescent="0.25">
      <c r="A66">
        <v>2024</v>
      </c>
      <c r="B66" t="s">
        <v>27</v>
      </c>
      <c r="C66" s="1">
        <v>3.9199999999999999E-2</v>
      </c>
      <c r="D66" s="2">
        <f>+(Data[[#This Row],[ Incremento salario ]]+1)*(D65+1)-1</f>
        <v>0.15493210033746951</v>
      </c>
      <c r="E66" s="1">
        <v>3.9199999999999999E-2</v>
      </c>
      <c r="F66" s="2">
        <f>(F65+1)*(Data[[#This Row],[Incremento Ingreso mensual VEF]]+1)-1</f>
        <v>0.15493210033746951</v>
      </c>
      <c r="G66" s="2">
        <v>1.4999999999999999E-2</v>
      </c>
      <c r="H66" s="2">
        <f>+(H65+1)*(Data[[#This Row],[Inflacion BCV]]+1)-1</f>
        <v>7.8321320014399953E-2</v>
      </c>
      <c r="I66" s="1">
        <v>3.9E-2</v>
      </c>
      <c r="J66" s="2">
        <f>+(J65+1)*(Data[[#This Row],[ Inflación OVF]]+1)-1</f>
        <v>0.15169443834010976</v>
      </c>
      <c r="K66" s="16"/>
      <c r="L66" s="14">
        <v>36.53</v>
      </c>
      <c r="M66" s="6">
        <f>+Data[[#This Row],[Tasa bcv]]/L65-1</f>
        <v>3.0203185063151228E-3</v>
      </c>
      <c r="N66" s="48">
        <f>+(Data[[#This Row],[ Deevaluación BCV]]+1)*(N65+1)-1</f>
        <v>1.6699137211244164E-2</v>
      </c>
      <c r="P66" s="3"/>
      <c r="Q66" s="18"/>
      <c r="T66">
        <v>36.549999999999997</v>
      </c>
      <c r="U66" s="1">
        <f>+Data[[#This Row],[Tasa Promedio BCV]]/T65-1</f>
        <v>6.8870523415978102E-3</v>
      </c>
      <c r="V66" s="59">
        <f>(Data[[#This Row],[Devaluación Promedio BCV]]+1)*(V65+1)-1</f>
        <v>2.4383408071749102E-2</v>
      </c>
      <c r="W66" s="52">
        <v>39.845999999999997</v>
      </c>
      <c r="X66">
        <v>40.18</v>
      </c>
      <c r="Y66" s="1">
        <f>+Data[[#This Row],[Tasa paralelo]]/X65-1</f>
        <v>2.7358731782152867E-2</v>
      </c>
      <c r="Z66" s="58">
        <f>+(Data[[#This Row],[Devaluación paralelo]]+1)*(Z65+1)-1</f>
        <v>5.2383446830801317E-2</v>
      </c>
      <c r="AA66" s="58"/>
      <c r="AC66" s="2"/>
    </row>
    <row r="67" spans="1:29" x14ac:dyDescent="0.25">
      <c r="A67">
        <v>2024</v>
      </c>
      <c r="B67" t="s">
        <v>143</v>
      </c>
      <c r="C67" s="1">
        <v>8.3000000000000001E-3</v>
      </c>
      <c r="D67" s="2">
        <f>+(Data[[#This Row],[ Incremento salario ]]+1)*(D66+1)-1</f>
        <v>0.16451803677027055</v>
      </c>
      <c r="E67" s="1">
        <v>8.3000000000000001E-3</v>
      </c>
      <c r="F67" s="2">
        <f>(F66+1)*(Data[[#This Row],[Incremento Ingreso mensual VEF]]+1)-1</f>
        <v>0.16451803677027055</v>
      </c>
      <c r="G67" s="2">
        <v>0.01</v>
      </c>
      <c r="H67" s="2">
        <f>+(H66+1)*(Data[[#This Row],[Inflacion BCV]]+1)-1</f>
        <v>8.9104533214543924E-2</v>
      </c>
      <c r="I67" s="1">
        <v>2.4E-2</v>
      </c>
      <c r="J67" s="2">
        <f>+(J66+1)*(Data[[#This Row],[ Inflación OVF]]+1)-1</f>
        <v>0.17933510486027249</v>
      </c>
      <c r="K67" s="16"/>
      <c r="L67" s="14">
        <v>36.4</v>
      </c>
      <c r="M67" s="6">
        <f>+Data[[#This Row],[Tasa bcv]]/L66-1</f>
        <v>-3.558718861210064E-3</v>
      </c>
      <c r="N67" s="48">
        <f>+(Data[[#This Row],[ Deevaluación BCV]]+1)*(N66+1)-1</f>
        <v>1.3080990815474536E-2</v>
      </c>
      <c r="P67" s="3"/>
      <c r="Q67" s="18"/>
      <c r="T67">
        <v>36.44</v>
      </c>
      <c r="U67" s="1">
        <f>+Data[[#This Row],[Tasa Promedio BCV]]/T66-1</f>
        <v>-3.0095759233925712E-3</v>
      </c>
      <c r="V67" s="59">
        <f>(Data[[#This Row],[Devaluación Promedio BCV]]+1)*(V66+1)-1</f>
        <v>2.1300448430493502E-2</v>
      </c>
      <c r="W67" s="52">
        <v>40.146000000000001</v>
      </c>
      <c r="X67">
        <v>40.19</v>
      </c>
      <c r="Y67" s="1">
        <f>+Data[[#This Row],[Tasa paralelo]]/X66-1</f>
        <v>2.4888003982082019E-4</v>
      </c>
      <c r="Z67" s="58">
        <f>+(Data[[#This Row],[Devaluación paralelo]]+1)*(Z66+1)-1</f>
        <v>5.2645364064955347E-2</v>
      </c>
      <c r="AA67" s="58"/>
      <c r="AC67" s="2"/>
    </row>
    <row r="68" spans="1:29" x14ac:dyDescent="0.25">
      <c r="A68">
        <v>2024</v>
      </c>
      <c r="B68" t="s">
        <v>29</v>
      </c>
      <c r="C68" s="1">
        <v>1.17E-2</v>
      </c>
      <c r="D68" s="2">
        <f>+(Data[[#This Row],[ Incremento salario ]]+1)*(D67+1)-1</f>
        <v>0.17814289780048287</v>
      </c>
      <c r="E68" s="1">
        <v>1.17E-2</v>
      </c>
      <c r="F68" s="2">
        <f>(F67+1)*(Data[[#This Row],[Incremento Ingreso mensual VEF]]+1)-1</f>
        <v>0.17814289780048287</v>
      </c>
      <c r="G68" s="2">
        <v>7.0000000000000001E-3</v>
      </c>
      <c r="H68" s="2">
        <f>+(H67+1)*(Data[[#This Row],[Inflacion BCV]]+1)-1</f>
        <v>9.6728264947045561E-2</v>
      </c>
      <c r="I68" s="1">
        <v>0.04</v>
      </c>
      <c r="J68" s="2">
        <f>+(J67+1)*(Data[[#This Row],[ Inflación OVF]]+1)-1</f>
        <v>0.22650850905468345</v>
      </c>
      <c r="K68" s="16"/>
      <c r="L68" s="23">
        <v>36.61</v>
      </c>
      <c r="M68" s="6">
        <f>+Data[[#This Row],[Tasa bcv]]/L67-1</f>
        <v>5.7692307692307487E-3</v>
      </c>
      <c r="N68" s="48">
        <f>+(Data[[#This Row],[ Deevaluación BCV]]+1)*(N67+1)-1</f>
        <v>1.8925688839410038E-2</v>
      </c>
      <c r="P68" s="3"/>
      <c r="Q68" s="18"/>
      <c r="T68">
        <v>36.53</v>
      </c>
      <c r="U68" s="1">
        <f>+Data[[#This Row],[Tasa Promedio BCV]]/T67-1</f>
        <v>2.4698133918772402E-3</v>
      </c>
      <c r="V68" s="59">
        <f>(Data[[#This Row],[Devaluación Promedio BCV]]+1)*(V67+1)-1</f>
        <v>2.3822869955157255E-2</v>
      </c>
      <c r="W68" s="52">
        <v>41.279999999999994</v>
      </c>
      <c r="X68">
        <v>42.24</v>
      </c>
      <c r="Y68" s="1">
        <f>+Data[[#This Row],[Tasa paralelo]]/X67-1</f>
        <v>5.1007713361532758E-2</v>
      </c>
      <c r="Z68" s="58">
        <f>+(Data[[#This Row],[Devaluación paralelo]]+1)*(Z67+1)-1</f>
        <v>0.10633839706652681</v>
      </c>
      <c r="AA68" s="58"/>
      <c r="AC68" s="2"/>
    </row>
    <row r="69" spans="1:29" x14ac:dyDescent="0.25">
      <c r="A69">
        <v>2024</v>
      </c>
      <c r="B69" t="s">
        <v>30</v>
      </c>
      <c r="C69" s="1"/>
      <c r="D69" s="2"/>
      <c r="E69" s="2">
        <v>2.0799999999999999E-2</v>
      </c>
      <c r="F69" s="2">
        <f>(F68+1)*(Data[[#This Row],[Incremento Ingreso mensual VEF]]+1)-1</f>
        <v>0.20264827007473274</v>
      </c>
      <c r="G69" s="2">
        <v>1.4E-2</v>
      </c>
      <c r="H69" s="2">
        <f>+(H68+1)*(Data[[#This Row],[Inflacion BCV]]+1)-1</f>
        <v>0.11208246065630423</v>
      </c>
      <c r="I69" s="1">
        <v>2.8000000000000001E-2</v>
      </c>
      <c r="J69" s="2">
        <f>+(J68+1)*(Data[[#This Row],[ Inflación OVF]]+1)-1</f>
        <v>0.26085074730821467</v>
      </c>
      <c r="K69" s="16"/>
      <c r="L69" s="14">
        <v>36.619999999999997</v>
      </c>
      <c r="M69" s="8">
        <f>+Data[[#This Row],[Tasa bcv]]/L68-1</f>
        <v>2.731494127286016E-4</v>
      </c>
      <c r="N69" s="48">
        <f>+(Data[[#This Row],[ Deevaluación BCV]]+1)*(N68+1)-1</f>
        <v>1.9204007792930522E-2</v>
      </c>
      <c r="P69" s="3"/>
      <c r="Q69" s="18"/>
      <c r="T69">
        <v>36.65</v>
      </c>
      <c r="U69" s="1">
        <f>+Data[[#This Row],[Tasa Promedio BCV]]/T68-1</f>
        <v>3.2849712565015121E-3</v>
      </c>
      <c r="V69" s="59">
        <f>(Data[[#This Row],[Devaluación Promedio BCV]]+1)*(V68+1)-1</f>
        <v>2.7186098654708779E-2</v>
      </c>
      <c r="W69" s="52">
        <v>42.310967741935478</v>
      </c>
      <c r="X69">
        <v>42.5</v>
      </c>
      <c r="Y69" s="1">
        <f>+Data[[#This Row],[Tasa paralelo]]/X68-1</f>
        <v>6.1553030303029832E-3</v>
      </c>
      <c r="Z69" s="58">
        <f>+(Data[[#This Row],[Devaluación paralelo]]+1)*(Z68+1)-1</f>
        <v>0.11314824515453092</v>
      </c>
      <c r="AA69" s="58"/>
      <c r="AC69" s="2"/>
    </row>
    <row r="70" spans="1:29" x14ac:dyDescent="0.25">
      <c r="A70">
        <v>2024</v>
      </c>
      <c r="B70" t="s">
        <v>31</v>
      </c>
      <c r="C70" s="1"/>
      <c r="D70" s="2"/>
      <c r="E70" s="2">
        <v>1.32E-2</v>
      </c>
      <c r="F70" s="2">
        <f>(F69+1)*(Data[[#This Row],[Incremento Ingreso mensual VEF]]+1)-1</f>
        <v>0.21852322723971929</v>
      </c>
      <c r="G70" s="2">
        <v>8.0000000000000002E-3</v>
      </c>
      <c r="H70" s="2">
        <f>+(H69+1)*(Data[[#This Row],[Inflacion BCV]]+1)-1</f>
        <v>0.12097912034155467</v>
      </c>
      <c r="I70" s="1">
        <v>3.4000000000000002E-2</v>
      </c>
      <c r="J70" s="2">
        <f>+(J69+1)*(Data[[#This Row],[ Inflación OVF]]+1)-1</f>
        <v>0.30371967271669398</v>
      </c>
      <c r="K70" s="16"/>
      <c r="L70" s="23">
        <v>36.9</v>
      </c>
      <c r="M70" s="8">
        <f>+Data[[#This Row],[Tasa bcv]]/L69-1</f>
        <v>7.6460950300383246E-3</v>
      </c>
      <c r="N70" s="48">
        <f>+(Data[[#This Row],[ Deevaluación BCV]]+1)*(N69+1)-1</f>
        <v>2.6996938491511191E-2</v>
      </c>
      <c r="P70" s="3"/>
      <c r="Q70" s="18"/>
      <c r="T70">
        <v>36.75</v>
      </c>
      <c r="U70" s="1">
        <f>+Data[[#This Row],[Tasa Promedio BCV]]/T69-1</f>
        <v>2.7285129604366354E-3</v>
      </c>
      <c r="V70" s="59">
        <f>(Data[[#This Row],[Devaluación Promedio BCV]]+1)*(V69+1)-1</f>
        <v>2.9988789237668456E-2</v>
      </c>
      <c r="W70" s="52">
        <v>43.530999999999992</v>
      </c>
      <c r="X70">
        <v>43.78</v>
      </c>
      <c r="Y70" s="1">
        <f>+Data[[#This Row],[Tasa paralelo]]/X69-1</f>
        <v>3.0117647058823582E-2</v>
      </c>
      <c r="Z70" s="58">
        <f>+(Data[[#This Row],[Devaluación paralelo]]+1)*(Z69+1)-1</f>
        <v>0.14667365112624386</v>
      </c>
      <c r="AA70" s="58"/>
      <c r="AC70" s="2"/>
    </row>
    <row r="71" spans="1:29" ht="14.25" customHeight="1" x14ac:dyDescent="0.25">
      <c r="A71">
        <v>2024</v>
      </c>
      <c r="B71" t="s">
        <v>32</v>
      </c>
      <c r="C71" s="1"/>
      <c r="D71" s="2"/>
      <c r="E71" s="2">
        <v>2.58E-2</v>
      </c>
      <c r="F71" s="2">
        <f>(F70+1)*(Data[[#This Row],[Incremento Ingreso mensual VEF]]+1)-1</f>
        <v>0.24996112650250413</v>
      </c>
      <c r="G71" s="2">
        <v>0.04</v>
      </c>
      <c r="H71" s="2">
        <f>+(H70+1)*(Data[[#This Row],[Inflacion BCV]]+1)-1</f>
        <v>0.16581828515521679</v>
      </c>
      <c r="I71" s="1">
        <v>9.6000000000000002E-2</v>
      </c>
      <c r="J71" s="2">
        <f>+Data[[#This Row],[ Inflación OVF]]</f>
        <v>9.6000000000000002E-2</v>
      </c>
      <c r="K71" s="16"/>
      <c r="L71" s="14">
        <v>42.56</v>
      </c>
      <c r="M71" s="8">
        <f>+Data[[#This Row],[Tasa bcv]]/L70-1</f>
        <v>0.15338753387533877</v>
      </c>
      <c r="N71" s="48">
        <f>+(Data[[#This Row],[ Deevaluación BCV]]+1)*(N70+1)-1</f>
        <v>0.18452546618424703</v>
      </c>
      <c r="P71" s="3"/>
      <c r="Q71" s="18"/>
      <c r="T71">
        <v>38.83</v>
      </c>
      <c r="U71" s="1">
        <f>+Data[[#This Row],[Tasa Promedio BCV]]/T70-1</f>
        <v>5.6598639455782251E-2</v>
      </c>
      <c r="V71" s="59">
        <f>(Data[[#This Row],[Devaluación Promedio BCV]]+1)*(V70+1)-1</f>
        <v>8.8284753363228941E-2</v>
      </c>
      <c r="W71" s="52">
        <v>47.440322580645137</v>
      </c>
      <c r="X71">
        <v>51.61</v>
      </c>
      <c r="Y71" s="1">
        <f>+Data[[#This Row],[Tasa paralelo]]/X70-1</f>
        <v>0.17884878940155313</v>
      </c>
      <c r="Z71" s="58">
        <f>+(Data[[#This Row],[Devaluación paralelo]]+1)*(Z70+1)-1</f>
        <v>0.35175484546883151</v>
      </c>
      <c r="AA71" s="58"/>
      <c r="AC71" s="2"/>
    </row>
    <row r="72" spans="1:29" ht="14.25" customHeight="1" x14ac:dyDescent="0.25">
      <c r="A72">
        <v>2024</v>
      </c>
      <c r="B72" t="s">
        <v>33</v>
      </c>
      <c r="C72" s="1"/>
      <c r="D72" s="2"/>
      <c r="E72" s="2">
        <v>6.0600000000000001E-2</v>
      </c>
      <c r="F72" s="2">
        <f>(F71+1)*(Data[[#This Row],[Incremento Ingreso mensual VEF]]+1)-1</f>
        <v>0.32570877076855576</v>
      </c>
      <c r="G72" s="2">
        <v>0.152</v>
      </c>
      <c r="H72" s="2">
        <f>+(H71+1)*(Data[[#This Row],[Inflacion BCV]]+1)-1</f>
        <v>0.34302266449880969</v>
      </c>
      <c r="I72" s="1">
        <v>0.125</v>
      </c>
      <c r="J72" s="2">
        <f>+(J71+1)*(Data[[#This Row],[ Inflación OVF]]+1)-1</f>
        <v>0.2330000000000001</v>
      </c>
      <c r="K72" s="16"/>
      <c r="L72" s="23">
        <v>47.31</v>
      </c>
      <c r="M72" s="8">
        <f>+Data[[#This Row],[Tasa bcv]]/L71-1</f>
        <v>0.11160714285714279</v>
      </c>
      <c r="N72" s="48">
        <f>+(Data[[#This Row],[ Deevaluación BCV]]+1)*(N71+1)-1</f>
        <v>0.31672696910659592</v>
      </c>
      <c r="P72" s="3"/>
      <c r="Q72" s="18"/>
      <c r="T72">
        <v>45.1</v>
      </c>
      <c r="U72" s="1">
        <f>+Data[[#This Row],[Tasa Promedio BCV]]/T71-1</f>
        <v>0.16147308781869696</v>
      </c>
      <c r="V72" s="59">
        <f>(Data[[#This Row],[Devaluación Promedio BCV]]+1)*(V71+1)-1</f>
        <v>0.26401345291479861</v>
      </c>
      <c r="W72">
        <v>54.134</v>
      </c>
      <c r="X72">
        <v>56.59</v>
      </c>
      <c r="Y72" s="1">
        <f>+Data[[#This Row],[Tasa paralelo]]/X71-1</f>
        <v>9.6492927727184652E-2</v>
      </c>
      <c r="Z72" s="58">
        <f>+(Data[[#This Row],[Devaluación paralelo]]+1)*(Z71+1)-1</f>
        <v>0.48218962807752708</v>
      </c>
      <c r="AA72" s="58"/>
      <c r="AC72" s="2"/>
    </row>
    <row r="73" spans="1:29" ht="14.25" customHeight="1" x14ac:dyDescent="0.25">
      <c r="A73">
        <v>2024</v>
      </c>
      <c r="B73" t="s">
        <v>34</v>
      </c>
      <c r="C73" s="1"/>
      <c r="D73" s="2"/>
      <c r="E73" s="2">
        <v>2.0199999999999999E-2</v>
      </c>
      <c r="F73" s="2">
        <f>(F72+1)*(Data[[#This Row],[Incremento Ingreso mensual VEF]]+1)-1</f>
        <v>0.35248808793808051</v>
      </c>
      <c r="G73" s="2">
        <v>0.10199999999999999</v>
      </c>
      <c r="H73" s="2">
        <f>+(H72+1)*(Data[[#This Row],[Inflacion BCV]]+1)-1</f>
        <v>0.48001097627768829</v>
      </c>
      <c r="I73" s="1">
        <v>0.14799999999999999</v>
      </c>
      <c r="J73" s="2">
        <f>+(J72+1)*(Data[[#This Row],[ Inflación OVF]]+1)-1</f>
        <v>0.41548399999999996</v>
      </c>
      <c r="K73" s="16"/>
      <c r="L73" s="14">
        <v>51.93</v>
      </c>
      <c r="M73" s="8">
        <f>+Data[[#This Row],[Tasa bcv]]/L72-1</f>
        <v>9.765377298668354E-2</v>
      </c>
      <c r="N73" s="48">
        <f>+(Data[[#This Row],[ Deevaluación BCV]]+1)*(N72+1)-1</f>
        <v>0.44531032563317541</v>
      </c>
      <c r="P73" s="3"/>
      <c r="Q73" s="18"/>
      <c r="T73">
        <v>50.04</v>
      </c>
      <c r="U73" s="1">
        <f>+Data[[#This Row],[Tasa Promedio BCV]]/T72-1</f>
        <v>0.10953436807095329</v>
      </c>
      <c r="V73" s="59">
        <f>(Data[[#This Row],[Devaluación Promedio BCV]]+1)*(V72+1)-1</f>
        <v>0.4024663677130047</v>
      </c>
      <c r="W73">
        <v>60.95</v>
      </c>
      <c r="X73">
        <v>66.25</v>
      </c>
      <c r="Y73" s="1">
        <f>+Data[[#This Row],[Tasa paralelo]]/X72-1</f>
        <v>0.17070153737409433</v>
      </c>
      <c r="Z73" s="58">
        <f>+(Data[[#This Row],[Devaluación paralelo]]+1)*(Z72+1)-1</f>
        <v>0.73520167627029798</v>
      </c>
      <c r="AA73" s="58"/>
      <c r="AC73" s="2"/>
    </row>
    <row r="74" spans="1:29" x14ac:dyDescent="0.25">
      <c r="A74">
        <v>2025</v>
      </c>
      <c r="B74" s="51" t="s">
        <v>23</v>
      </c>
      <c r="C74" s="1"/>
      <c r="D74" s="2">
        <f t="shared" ref="D74:D79" si="11">(C74+1)*(D73+1)-1</f>
        <v>0</v>
      </c>
      <c r="E74" s="2">
        <v>6.3799999999999996E-2</v>
      </c>
      <c r="F74" s="2">
        <f>+Data[[#This Row],[Incremento Ingreso mensual VEF]]</f>
        <v>6.3799999999999996E-2</v>
      </c>
      <c r="G74" s="2">
        <v>9.8000000000000004E-2</v>
      </c>
      <c r="H74" s="2">
        <f>+Data[[#This Row],[Inflacion BCV]]</f>
        <v>9.8000000000000004E-2</v>
      </c>
      <c r="I74" s="49">
        <v>7.9000000000000001E-2</v>
      </c>
      <c r="J74" s="50">
        <f>+Data[[#This Row],[ Inflación OVF]]</f>
        <v>7.9000000000000001E-2</v>
      </c>
      <c r="K74" s="16"/>
      <c r="L74" s="14">
        <v>57.96</v>
      </c>
      <c r="M74" s="8">
        <f>+Data[[#This Row],[Tasa bcv]]/L73-1</f>
        <v>0.11611785095320637</v>
      </c>
      <c r="N74" s="48">
        <f>+Data[[#This Row],[ Deevaluación BCV]]</f>
        <v>0.11611785095320637</v>
      </c>
      <c r="P74" s="3" t="e">
        <f>(O75/Data[[#This Row],[dólar today]]-1)*100</f>
        <v>#DIV/0!</v>
      </c>
      <c r="Q74" s="18" t="e">
        <f>Data[[#This Row],[Tasa Enparalelo]]/K73-1</f>
        <v>#DIV/0!</v>
      </c>
      <c r="T74">
        <v>54.56</v>
      </c>
      <c r="U74" s="1">
        <f>+Data[[#This Row],[Tasa Promedio BCV]]/T73-1</f>
        <v>9.0327737809752229E-2</v>
      </c>
      <c r="V74" s="59">
        <f>+Data[[#This Row],[Devaluación Promedio BCV]]</f>
        <v>9.0327737809752229E-2</v>
      </c>
      <c r="W74">
        <v>66.53</v>
      </c>
      <c r="X74">
        <v>68.34</v>
      </c>
      <c r="Y74" s="1">
        <f>+Data[[#This Row],[Tasa paralelo]]/X73-1</f>
        <v>3.1547169811320774E-2</v>
      </c>
      <c r="Z74" s="58">
        <f>+Data[[#This Row],[Devaluación paralelo]]</f>
        <v>3.1547169811320774E-2</v>
      </c>
      <c r="AA74">
        <v>68.430000000000007</v>
      </c>
      <c r="AB74" s="15">
        <v>3.2000000000000001E-2</v>
      </c>
      <c r="AC74" s="15">
        <f>+(AB74+1)*(AC73+1)-1</f>
        <v>3.2000000000000028E-2</v>
      </c>
    </row>
    <row r="75" spans="1:29" x14ac:dyDescent="0.25">
      <c r="A75">
        <v>2025</v>
      </c>
      <c r="B75" s="51" t="s">
        <v>24</v>
      </c>
      <c r="C75" s="19" t="s">
        <v>9</v>
      </c>
      <c r="D75" s="2" t="e">
        <f t="shared" si="11"/>
        <v>#VALUE!</v>
      </c>
      <c r="E75" s="2">
        <v>4.3400000000000001E-2</v>
      </c>
      <c r="F75" s="2">
        <f>(F74+1)*(Data[[#This Row],[Incremento Ingreso mensual VEF]]+1)-1</f>
        <v>0.10996892000000025</v>
      </c>
      <c r="G75" s="2">
        <v>0.109</v>
      </c>
      <c r="H75" s="2">
        <f>+(Data[[#This Row],[Inflacion BCV]]+1)*(H74+1)-1</f>
        <v>0.21768200000000015</v>
      </c>
      <c r="I75" s="62">
        <v>0.128</v>
      </c>
      <c r="J75" s="50">
        <f>+(Data[[#This Row],[ Inflación OVF]]+1)*(J74+1)-1</f>
        <v>0.21711199999999997</v>
      </c>
      <c r="K75" s="16"/>
      <c r="L75" s="14">
        <v>64.239999999999995</v>
      </c>
      <c r="M75" s="8">
        <f>+Data[[#This Row],[Tasa bcv]]/L74-1</f>
        <v>0.10835058661145602</v>
      </c>
      <c r="N75" s="60">
        <f>+(M75+1)*(N74+1)-1</f>
        <v>0.23704987483150397</v>
      </c>
      <c r="P75" s="3" t="e">
        <f>(O76/Data[[#This Row],[dólar today]]-1)*100</f>
        <v>#DIV/0!</v>
      </c>
      <c r="Q75" s="18" t="e">
        <f>Data[[#This Row],[Tasa Enparalelo]]/K74-1</f>
        <v>#DIV/0!</v>
      </c>
      <c r="T75">
        <v>61.37</v>
      </c>
      <c r="U75" s="1">
        <f>+Data[[#This Row],[Tasa Promedio BCV]]/T74-1</f>
        <v>0.12481671554252194</v>
      </c>
      <c r="V75" s="59">
        <f>(Data[[#This Row],[Devaluación Promedio BCV]]+1)*(V74+1)-1</f>
        <v>0.22641886490807361</v>
      </c>
      <c r="W75">
        <v>75.83</v>
      </c>
      <c r="X75">
        <v>79.349999999999994</v>
      </c>
      <c r="Y75" s="1">
        <f>+Data[[#This Row],[Tasa paralelo]]/X74-1</f>
        <v>0.1611062335381912</v>
      </c>
      <c r="Z75" s="58">
        <f>+(Data[[#This Row],[Devaluación paralelo]]+1)*(Z74+1)-1</f>
        <v>0.19773584905660369</v>
      </c>
      <c r="AA75">
        <v>79.349999999999994</v>
      </c>
      <c r="AB75" s="15">
        <f>+Data[[#This Row],[Tasa Promedio USDT]]/AA74-1</f>
        <v>0.15957913195966666</v>
      </c>
      <c r="AC75" s="77">
        <f>+(AB75+1)*(AC74+1)-1</f>
        <v>0.19668566418237599</v>
      </c>
    </row>
    <row r="76" spans="1:29" x14ac:dyDescent="0.25">
      <c r="A76">
        <v>2025</v>
      </c>
      <c r="B76" s="51" t="s">
        <v>25</v>
      </c>
      <c r="C76" s="1"/>
      <c r="D76" s="2" t="e">
        <f t="shared" si="11"/>
        <v>#VALUE!</v>
      </c>
      <c r="E76" s="2">
        <v>5.7299999999999997E-2</v>
      </c>
      <c r="F76" s="2">
        <f>(F75+1)*(Data[[#This Row],[Incremento Ingreso mensual VEF]]+1)-1</f>
        <v>0.17357013911600006</v>
      </c>
      <c r="G76" s="2">
        <v>8.3000000000000004E-2</v>
      </c>
      <c r="H76" s="2">
        <f>+(Data[[#This Row],[Inflacion BCV]]+1)*(H75+1)-1</f>
        <v>0.31874960600000013</v>
      </c>
      <c r="I76" s="15">
        <v>0.13100000000000001</v>
      </c>
      <c r="J76" s="50">
        <f>+(Data[[#This Row],[ Inflación OVF]]+1)*(J75+1)-1</f>
        <v>0.37655367200000001</v>
      </c>
      <c r="K76" s="16"/>
      <c r="L76" s="72">
        <v>69.566400000000002</v>
      </c>
      <c r="M76" s="8">
        <f>+Data[[#This Row],[Tasa bcv]]/L75-1</f>
        <v>8.2914072229140823E-2</v>
      </c>
      <c r="N76" s="60">
        <f>+(M76+1)*(N75+1)-1</f>
        <v>0.33961871750433281</v>
      </c>
      <c r="P76" s="3" t="e">
        <f>(O77/Data[[#This Row],[dólar today]]-1)*100</f>
        <v>#DIV/0!</v>
      </c>
      <c r="Q76" s="18" t="e">
        <f>Data[[#This Row],[Tasa Enparalelo]]/K75-1</f>
        <v>#DIV/0!</v>
      </c>
      <c r="T76">
        <v>66.64</v>
      </c>
      <c r="U76" s="1">
        <f>+Data[[#This Row],[Tasa Promedio BCV]]/T75-1</f>
        <v>8.5872576177285387E-2</v>
      </c>
      <c r="V76" s="59">
        <f>(Data[[#This Row],[Devaluación Promedio BCV]]+1)*(V75+1)-1</f>
        <v>0.33173461231015211</v>
      </c>
      <c r="W76" s="52">
        <v>86.280322580645148</v>
      </c>
      <c r="X76">
        <v>99</v>
      </c>
      <c r="Y76" s="1">
        <f>+Data[[#This Row],[Tasa paralelo]]/X75-1</f>
        <v>0.24763705103969769</v>
      </c>
      <c r="Z76" s="58">
        <f>+(Data[[#This Row],[Devaluación paralelo]]+1)*(Z75+1)-1</f>
        <v>0.49433962264150955</v>
      </c>
      <c r="AA76">
        <v>99</v>
      </c>
      <c r="AB76" s="15">
        <f>+Data[[#This Row],[Tasa Promedio USDT]]/AA75-1</f>
        <v>0.24763705103969769</v>
      </c>
      <c r="AC76" s="15">
        <f t="shared" ref="AC76:AC87" si="12">+(AB76+1)*(AC75+1)-1</f>
        <v>0.49302937308198147</v>
      </c>
    </row>
    <row r="77" spans="1:29" x14ac:dyDescent="0.25">
      <c r="A77">
        <v>2025</v>
      </c>
      <c r="B77" t="s">
        <v>26</v>
      </c>
      <c r="C77" s="1"/>
      <c r="D77" s="2" t="e">
        <f t="shared" si="11"/>
        <v>#VALUE!</v>
      </c>
      <c r="E77" s="2">
        <v>0.1031</v>
      </c>
      <c r="F77" s="2">
        <f>(F76+1)*(Data[[#This Row],[Incremento Ingreso mensual VEF]]+1)-1</f>
        <v>0.29456522045885958</v>
      </c>
      <c r="G77" s="2">
        <v>0.16400000000000001</v>
      </c>
      <c r="H77" s="2">
        <f>Data[[#This Row],[Inflacion BCV]]</f>
        <v>0.16400000000000001</v>
      </c>
      <c r="I77" s="15">
        <v>0.184</v>
      </c>
      <c r="J77" s="50">
        <f>+(Data[[#This Row],[ Inflación OVF]]+1)*(J76+1)-1</f>
        <v>0.62983954764799988</v>
      </c>
      <c r="K77" s="16"/>
      <c r="L77" s="72">
        <v>86.846500000000006</v>
      </c>
      <c r="M77" s="8">
        <f>+Data[[#This Row],[Tasa bcv]]/L76-1</f>
        <v>0.24839721474734944</v>
      </c>
      <c r="N77" s="60">
        <f>Data[[#This Row],[ Deevaluación BCV]]</f>
        <v>0.24839721474734944</v>
      </c>
      <c r="P77" s="3" t="e">
        <f>(O78/Data[[#This Row],[dólar today]]-1)*100</f>
        <v>#DIV/0!</v>
      </c>
      <c r="Q77" s="18" t="e">
        <f>Data[[#This Row],[Tasa Enparalelo]]/K76-1</f>
        <v>#DIV/0!</v>
      </c>
      <c r="T77" s="52">
        <v>78.216220000000007</v>
      </c>
      <c r="U77" s="1">
        <f>+Data[[#This Row],[Tasa Promedio BCV]]/T76-1</f>
        <v>0.17371278511404564</v>
      </c>
      <c r="V77" s="59">
        <f>(Data[[#This Row],[Devaluación Promedio BCV]]+1)*(V76+1)-1</f>
        <v>0.56307394084732243</v>
      </c>
      <c r="W77" s="52">
        <v>202.33866666666663</v>
      </c>
      <c r="X77">
        <v>108.9</v>
      </c>
      <c r="Y77" s="1">
        <f>+Data[[#This Row],[Tasa paralelo]]/X76-1</f>
        <v>0.10000000000000009</v>
      </c>
      <c r="Z77" s="58">
        <f>+(Data[[#This Row],[Devaluación paralelo]]+1)*(Z76+1)-1</f>
        <v>0.64377358490566072</v>
      </c>
      <c r="AA77">
        <v>108.9</v>
      </c>
      <c r="AB77" s="15">
        <f>+Data[[#This Row],[Tasa Promedio USDT]]/AA76-1</f>
        <v>0.10000000000000009</v>
      </c>
      <c r="AC77" s="15">
        <f t="shared" si="12"/>
        <v>0.64233231039017968</v>
      </c>
    </row>
    <row r="78" spans="1:29" x14ac:dyDescent="0.25">
      <c r="A78">
        <v>2025</v>
      </c>
      <c r="B78" s="21" t="s">
        <v>27</v>
      </c>
      <c r="C78" s="1"/>
      <c r="D78" s="2" t="e">
        <f t="shared" si="11"/>
        <v>#VALUE!</v>
      </c>
      <c r="E78" s="2">
        <v>9.0800000000000006E-2</v>
      </c>
      <c r="F78" s="2">
        <f>(F77+1)*(Data[[#This Row],[Incremento Ingreso mensual VEF]]+1)-1</f>
        <v>0.41211174247652393</v>
      </c>
      <c r="G78" s="2">
        <v>0.21199999999999999</v>
      </c>
      <c r="H78" s="2">
        <f>+(Data[[#This Row],[Inflacion BCV]]+1)*(H77+1)-1</f>
        <v>0.4107679999999998</v>
      </c>
      <c r="I78" s="1">
        <v>0.26</v>
      </c>
      <c r="J78" s="50">
        <f>+(Data[[#This Row],[ Inflación OVF]]+1)*(J77+1)-1</f>
        <v>1.0535978300364799</v>
      </c>
      <c r="K78" s="16"/>
      <c r="L78" s="14">
        <v>96.857699999999994</v>
      </c>
      <c r="M78" s="8">
        <f>+Data[[#This Row],[Tasa bcv]]/L77-1</f>
        <v>0.11527465125249714</v>
      </c>
      <c r="N78" s="60">
        <f>+(M78+1)*(N77+1)-1</f>
        <v>0.39230576830193886</v>
      </c>
      <c r="P78" s="3" t="e">
        <f>(O79/Data[[#This Row],[dólar today]]-1)*100</f>
        <v>#DIV/0!</v>
      </c>
      <c r="Q78" s="18" t="e">
        <f>Data[[#This Row],[Tasa Enparalelo]]/K77-1</f>
        <v>#DIV/0!</v>
      </c>
      <c r="T78" s="52">
        <v>93.10227096774193</v>
      </c>
      <c r="U78" s="1">
        <f>+Data[[#This Row],[Tasa Promedio BCV]]/T77-1</f>
        <v>0.19031923260599815</v>
      </c>
      <c r="V78" s="59">
        <f>(Data[[#This Row],[Devaluación Promedio BCV]]+1)*(V77+1)-1</f>
        <v>0.86055697377581808</v>
      </c>
      <c r="W78" s="52">
        <v>123.13935483870972</v>
      </c>
      <c r="X78">
        <v>135.75</v>
      </c>
      <c r="Y78" s="1">
        <f>+Data[[#This Row],[Tasa paralelo]]/X77-1</f>
        <v>0.24655647382920098</v>
      </c>
      <c r="Z78" s="2">
        <f>+(Data[[#This Row],[Devaluación paralelo]]+1)*(Z77+1)-1</f>
        <v>1.0490566037735851</v>
      </c>
      <c r="AA78">
        <v>132.25</v>
      </c>
      <c r="AB78" s="15">
        <f>+Data[[#This Row],[Tasa Promedio USDT]]/AA77-1</f>
        <v>0.21441689623507809</v>
      </c>
      <c r="AC78" s="15">
        <f>+(AB78+1)*(AC77+1)-1</f>
        <v>0.99447610697062694</v>
      </c>
    </row>
    <row r="79" spans="1:29" x14ac:dyDescent="0.25">
      <c r="A79">
        <v>2025</v>
      </c>
      <c r="B79" t="s">
        <v>28</v>
      </c>
      <c r="C79" s="1"/>
      <c r="D79" s="2" t="e">
        <f t="shared" si="11"/>
        <v>#VALUE!</v>
      </c>
      <c r="E79" s="2"/>
      <c r="F79" s="2"/>
      <c r="G79" s="2">
        <v>0.10299999999999999</v>
      </c>
      <c r="H79" s="2">
        <f>+(Data[[#This Row],[Inflacion BCV]]+1)*(H78+1)-1</f>
        <v>0.55607710399999966</v>
      </c>
      <c r="I79" s="1"/>
      <c r="J79" s="2"/>
      <c r="K79" s="16"/>
      <c r="L79" s="14">
        <v>107.6245</v>
      </c>
      <c r="M79" s="8">
        <f>+Data[[#This Row],[Tasa bcv]]/L78-1</f>
        <v>0.1111610124956508</v>
      </c>
      <c r="N79" s="60">
        <f>+(M79+1)*(N78+1)-1</f>
        <v>0.54707588720991729</v>
      </c>
      <c r="P79" s="3" t="e">
        <f>(O80/Data[[#This Row],[dólar today]]-1)*100</f>
        <v>#DIV/0!</v>
      </c>
      <c r="Q79" s="18" t="e">
        <f>Data[[#This Row],[Tasa Enparalelo]]/K78-1</f>
        <v>#DIV/0!</v>
      </c>
      <c r="T79" s="52">
        <v>101.91803999999999</v>
      </c>
      <c r="U79" s="1">
        <f>+Data[[#This Row],[Tasa Promedio BCV]]/T78-1</f>
        <v>9.4689086964511837E-2</v>
      </c>
      <c r="V79" s="59">
        <f>(Data[[#This Row],[Devaluación Promedio BCV]]+1)*(V78+1)-1</f>
        <v>1.0367314148681053</v>
      </c>
      <c r="W79" s="52"/>
      <c r="X79" s="52"/>
      <c r="Y79" s="1">
        <f>+Data[[#This Row],[Tasa paralelo]]/X78-1</f>
        <v>-1</v>
      </c>
      <c r="Z79" s="2">
        <f>+(Data[[#This Row],[Devaluación paralelo]]+1)*(Z78+1)-1</f>
        <v>-1</v>
      </c>
      <c r="AA79">
        <v>143.62</v>
      </c>
      <c r="AB79" s="15">
        <f>+Data[[#This Row],[Tasa Promedio USDT]]/AA78-1</f>
        <v>8.5973534971644616E-2</v>
      </c>
      <c r="AC79" s="15">
        <f t="shared" si="12"/>
        <v>1.1659482683033757</v>
      </c>
    </row>
    <row r="80" spans="1:29" x14ac:dyDescent="0.25">
      <c r="A80">
        <v>2025</v>
      </c>
      <c r="B80" t="s">
        <v>29</v>
      </c>
      <c r="C80" s="1"/>
      <c r="D80" s="2" t="e">
        <f t="shared" ref="D80:D85" si="13">(C80+1)*(D79+1)-1</f>
        <v>#VALUE!</v>
      </c>
      <c r="E80" s="2"/>
      <c r="F80" s="2"/>
      <c r="G80" s="2">
        <v>0.14199999999999999</v>
      </c>
      <c r="H80" s="2">
        <f>+(Data[[#This Row],[Inflacion BCV]]+1)*(H79+1)-1</f>
        <v>0.77704005276799948</v>
      </c>
      <c r="I80" s="1"/>
      <c r="J80" s="2"/>
      <c r="K80" s="16"/>
      <c r="L80">
        <v>124.5102</v>
      </c>
      <c r="M80" s="8">
        <f>+Data[[#This Row],[Tasa bcv]]/L79-1</f>
        <v>0.15689457326166445</v>
      </c>
      <c r="N80" s="60">
        <f>+(M80+1)*(N79+1)-1</f>
        <v>0.78980369833712816</v>
      </c>
      <c r="P80" s="3" t="e">
        <f>(O81/Data[[#This Row],[dólar today]]-1)*100</f>
        <v>#DIV/0!</v>
      </c>
      <c r="Q80" s="18" t="e">
        <f>Data[[#This Row],[Tasa Enparalelo]]/K79-1</f>
        <v>#DIV/0!</v>
      </c>
      <c r="T80" s="52">
        <v>116.42968064516128</v>
      </c>
      <c r="U80" s="1">
        <f>+Data[[#This Row],[Tasa Promedio BCV]]/T79-1</f>
        <v>0.14238539757202262</v>
      </c>
      <c r="V80" s="59">
        <f>(Data[[#This Row],[Devaluación Promedio BCV]]+1)*(V79+1)-1</f>
        <v>1.3267322271215285</v>
      </c>
      <c r="W80" s="52"/>
      <c r="X80" s="52"/>
      <c r="Y80" s="1"/>
      <c r="Z80" s="2"/>
      <c r="AA80">
        <v>167.24</v>
      </c>
      <c r="AB80" s="15">
        <f>+Data[[#This Row],[Tasa Promedio USDT]]/AA79-1</f>
        <v>0.16446177412616625</v>
      </c>
      <c r="AC80" s="15">
        <f t="shared" si="12"/>
        <v>1.5221639631740462</v>
      </c>
    </row>
    <row r="81" spans="1:29" x14ac:dyDescent="0.25">
      <c r="A81">
        <v>2025</v>
      </c>
      <c r="B81" t="s">
        <v>30</v>
      </c>
      <c r="C81" s="1"/>
      <c r="D81" s="2" t="e">
        <f t="shared" si="13"/>
        <v>#VALUE!</v>
      </c>
      <c r="E81" s="2"/>
      <c r="F81" s="2"/>
      <c r="G81" s="2">
        <v>0.161</v>
      </c>
      <c r="H81" s="2">
        <f>+(Data[[#This Row],[Inflacion BCV]]+1)*(H80+1)-1</f>
        <v>1.0631435012636477</v>
      </c>
      <c r="I81" s="1"/>
      <c r="J81" s="2"/>
      <c r="K81" s="16"/>
      <c r="L81">
        <v>147.08250000000001</v>
      </c>
      <c r="M81" s="8">
        <f>+Data[[#This Row],[Tasa bcv]]/L80-1</f>
        <v>0.18128876188456866</v>
      </c>
      <c r="N81" s="73">
        <f>+(M81+1)*(N80+1)-1</f>
        <v>1.1142749948250881</v>
      </c>
      <c r="P81" s="3" t="e">
        <f>(O82/Data[[#This Row],[dólar today]]-1)*100</f>
        <v>#DIV/0!</v>
      </c>
      <c r="Q81" s="18" t="e">
        <f>Data[[#This Row],[Tasa Enparalelo]]/K80-1</f>
        <v>#DIV/0!</v>
      </c>
      <c r="T81" s="52">
        <v>135.60738064516127</v>
      </c>
      <c r="U81" s="1">
        <f>+Data[[#This Row],[Tasa Promedio BCV]]/T80-1</f>
        <v>0.16471487247695205</v>
      </c>
      <c r="V81" s="59">
        <f>(Data[[#This Row],[Devaluación Promedio BCV]]+1)*(V80+1)-1</f>
        <v>1.7099796291998657</v>
      </c>
      <c r="W81" s="52"/>
      <c r="X81" s="52"/>
      <c r="Y81" s="1"/>
      <c r="Z81" s="2"/>
      <c r="AA81">
        <v>214.27</v>
      </c>
      <c r="AB81" s="15">
        <f>+Data[[#This Row],[Tasa Promedio USDT]]/AA80-1</f>
        <v>0.28121262855776119</v>
      </c>
      <c r="AC81" s="15">
        <f t="shared" si="12"/>
        <v>2.2314283209118804</v>
      </c>
    </row>
    <row r="82" spans="1:29" x14ac:dyDescent="0.25">
      <c r="A82">
        <v>2025</v>
      </c>
      <c r="B82" t="s">
        <v>31</v>
      </c>
      <c r="C82" s="1"/>
      <c r="D82" s="2" t="e">
        <f t="shared" si="13"/>
        <v>#VALUE!</v>
      </c>
      <c r="E82" s="2"/>
      <c r="F82" s="2"/>
      <c r="G82" s="2">
        <v>0.2155</v>
      </c>
      <c r="H82" s="2">
        <f>+(Data[[#This Row],[Inflacion BCV]]+1)*(H81+1)-1</f>
        <v>1.5077509257859636</v>
      </c>
      <c r="I82" s="1"/>
      <c r="J82" s="2"/>
      <c r="K82" s="16"/>
      <c r="L82">
        <v>177.61429999999999</v>
      </c>
      <c r="M82" s="8">
        <f>+Data[[#This Row],[Tasa bcv]]/L81-1</f>
        <v>0.20758281916611399</v>
      </c>
      <c r="N82" s="73">
        <f t="shared" ref="N82:N84" si="14">+(M82+1)*(N81+1)-1</f>
        <v>1.5531621587433011</v>
      </c>
      <c r="P82" s="3" t="e">
        <f>(O83/Data[[#This Row],[dólar today]]-1)*100</f>
        <v>#DIV/0!</v>
      </c>
      <c r="Q82" s="18" t="e">
        <f>Data[[#This Row],[Tasa Enparalelo]]/K81-1</f>
        <v>#DIV/0!</v>
      </c>
      <c r="T82" s="52">
        <v>161.70834000000002</v>
      </c>
      <c r="U82" s="1">
        <f>+Data[[#This Row],[Tasa Promedio BCV]]/T81-1</f>
        <v>0.19247447469792323</v>
      </c>
      <c r="V82" s="59">
        <f>(Data[[#This Row],[Devaluación Promedio BCV]]+1)*(V81+1)-1</f>
        <v>2.2315815347721828</v>
      </c>
      <c r="W82" s="52"/>
      <c r="X82" s="52"/>
      <c r="Y82" s="1"/>
      <c r="Z82" s="2"/>
      <c r="AA82">
        <v>295.82</v>
      </c>
      <c r="AB82" s="15">
        <f>+Data[[#This Row],[Tasa Promedio USDT]]/AA81-1</f>
        <v>0.3805945769356418</v>
      </c>
      <c r="AC82" s="15">
        <f t="shared" si="12"/>
        <v>3.4612924156071889</v>
      </c>
    </row>
    <row r="83" spans="1:29" x14ac:dyDescent="0.25">
      <c r="A83">
        <v>2025</v>
      </c>
      <c r="B83" t="s">
        <v>32</v>
      </c>
      <c r="C83" s="1"/>
      <c r="D83" s="2" t="e">
        <f t="shared" si="13"/>
        <v>#VALUE!</v>
      </c>
      <c r="E83" s="2"/>
      <c r="F83" s="2"/>
      <c r="G83" s="2">
        <v>0.25929999999999997</v>
      </c>
      <c r="H83" s="2">
        <f>+(Data[[#This Row],[Inflacion BCV]]+1)*(H82+1)-1</f>
        <v>2.158010740842264</v>
      </c>
      <c r="I83" s="1"/>
      <c r="J83" s="2"/>
      <c r="K83" s="16"/>
      <c r="L83">
        <v>223.64590000000001</v>
      </c>
      <c r="M83" s="8">
        <f>+Data[[#This Row],[Tasa bcv]]/L82-1</f>
        <v>0.25916606939869169</v>
      </c>
      <c r="N83" s="73">
        <f t="shared" si="14"/>
        <v>2.2148551599622808</v>
      </c>
      <c r="P83" s="3" t="e">
        <f>(O84/Data[[#This Row],[dólar today]]-1)*100</f>
        <v>#DIV/0!</v>
      </c>
      <c r="Q83" s="18" t="e">
        <f>Data[[#This Row],[Tasa Enparalelo]]/K82-1</f>
        <v>#DIV/0!</v>
      </c>
      <c r="T83" s="52">
        <v>200.87251290322581</v>
      </c>
      <c r="U83" s="1">
        <f>+Data[[#This Row],[Tasa Promedio BCV]]/T82-1</f>
        <v>0.24219018575804929</v>
      </c>
      <c r="V83" s="59">
        <f>(Data[[#This Row],[Devaluación Promedio BCV]]+1)*(V82+1)-1</f>
        <v>3.0142388669709401</v>
      </c>
      <c r="W83" s="52"/>
      <c r="Y83" s="1"/>
      <c r="Z83" s="2"/>
      <c r="AA83">
        <v>308.17</v>
      </c>
      <c r="AB83" s="15">
        <f>+Data[[#This Row],[Tasa Promedio USDT]]/AA82-1</f>
        <v>4.1748360489486824E-2</v>
      </c>
      <c r="AC83" s="15">
        <f t="shared" si="12"/>
        <v>3.6475440596229713</v>
      </c>
    </row>
    <row r="84" spans="1:29" x14ac:dyDescent="0.25">
      <c r="A84">
        <v>2025</v>
      </c>
      <c r="B84" t="s">
        <v>33</v>
      </c>
      <c r="C84" s="1"/>
      <c r="D84" s="2" t="e">
        <f t="shared" si="13"/>
        <v>#VALUE!</v>
      </c>
      <c r="E84" s="2"/>
      <c r="F84" s="2"/>
      <c r="G84" s="2">
        <v>0.216</v>
      </c>
      <c r="H84" s="2">
        <f>+(Data[[#This Row],[Inflacion BCV]]+1)*(H83+1)-1</f>
        <v>2.8401410608641928</v>
      </c>
      <c r="I84" s="1"/>
      <c r="J84" s="2"/>
      <c r="K84" s="16"/>
      <c r="L84">
        <v>245.66970000000001</v>
      </c>
      <c r="M84" s="8">
        <f>+Data[[#This Row],[Tasa bcv]]/L83-1</f>
        <v>9.8476207254414305E-2</v>
      </c>
      <c r="N84" s="73">
        <f t="shared" si="14"/>
        <v>2.5314419029876496</v>
      </c>
      <c r="P84" s="3" t="e">
        <f>(O85/Data[[#This Row],[dólar today]]-1)*100</f>
        <v>#DIV/0!</v>
      </c>
      <c r="Q84" s="18" t="e">
        <f>Data[[#This Row],[Tasa Enparalelo]]/K83-1</f>
        <v>#DIV/0!</v>
      </c>
      <c r="T84" s="52">
        <v>235.13797333333343</v>
      </c>
      <c r="U84" s="1">
        <f>+Data[[#This Row],[Tasa Promedio BCV]]/T83-1</f>
        <v>0.17058312227425398</v>
      </c>
      <c r="V84" s="59">
        <f>(Data[[#This Row],[Devaluación Promedio BCV]]+1)*(V83+1)-1</f>
        <v>3.6990002664535071</v>
      </c>
      <c r="W84" s="52"/>
      <c r="Y84" s="1"/>
      <c r="Z84" s="2"/>
      <c r="AA84">
        <v>375.45</v>
      </c>
      <c r="AB84" s="15">
        <f>+Data[[#This Row],[Tasa Promedio USDT]]/AA83-1</f>
        <v>0.21832105655969092</v>
      </c>
      <c r="AC84" s="15">
        <f t="shared" si="12"/>
        <v>4.6622007891275734</v>
      </c>
    </row>
    <row r="85" spans="1:29" x14ac:dyDescent="0.25">
      <c r="A85">
        <v>2025</v>
      </c>
      <c r="B85" t="s">
        <v>34</v>
      </c>
      <c r="C85" s="1"/>
      <c r="D85" s="2" t="e">
        <f t="shared" si="13"/>
        <v>#VALUE!</v>
      </c>
      <c r="E85" s="2"/>
      <c r="F85" s="2"/>
      <c r="G85" s="2">
        <v>0.13600000000000001</v>
      </c>
      <c r="H85" s="2">
        <f>+(Data[[#This Row],[Inflacion BCV]]+1)*(H84+1)-1</f>
        <v>3.3624002451417239</v>
      </c>
      <c r="I85" s="1"/>
      <c r="J85" s="2"/>
      <c r="K85" s="16"/>
      <c r="L85">
        <v>298.1431</v>
      </c>
      <c r="M85" s="8">
        <f>+Data[[#This Row],[Tasa bcv]]/L84-1</f>
        <v>0.213593292131671</v>
      </c>
      <c r="N85" s="73">
        <f>+(M85+1)*(N84+1)-1</f>
        <v>3.2857342050185148</v>
      </c>
      <c r="P85" s="3" t="e">
        <f>(O86/Data[[#This Row],[dólar today]]-1)*100</f>
        <v>#DIV/0!</v>
      </c>
      <c r="Q85" s="18" t="e">
        <f>Data[[#This Row],[Tasa Enparalelo]]/K84-1</f>
        <v>#DIV/0!</v>
      </c>
      <c r="T85" s="52">
        <v>273.15292580645161</v>
      </c>
      <c r="U85" s="1">
        <f>+Data[[#This Row],[Tasa Promedio BCV]]/T84-1</f>
        <v>0.16167083493242451</v>
      </c>
      <c r="V85" s="59">
        <f>(Data[[#This Row],[Devaluación Promedio BCV]]+1)*(V84+1)-1</f>
        <v>4.4586915628787311</v>
      </c>
      <c r="W85" s="52"/>
      <c r="Y85" s="1"/>
      <c r="Z85" s="2"/>
      <c r="AA85">
        <v>577.91</v>
      </c>
      <c r="AB85" s="15">
        <f>+Data[[#This Row],[Tasa Promedio USDT]]/AA84-1</f>
        <v>0.5392462378479157</v>
      </c>
      <c r="AC85" s="15">
        <f>+(AB85+1)*(AC84+1)-1</f>
        <v>7.715521262604117</v>
      </c>
    </row>
    <row r="86" spans="1:29" x14ac:dyDescent="0.25">
      <c r="A86">
        <v>2026</v>
      </c>
      <c r="B86" t="s">
        <v>23</v>
      </c>
      <c r="C86" s="1"/>
      <c r="D86" s="2" t="e">
        <f>(C86+1)*(D85+1)-1</f>
        <v>#VALUE!</v>
      </c>
      <c r="E86" s="2"/>
      <c r="F86" s="2"/>
      <c r="G86" s="74">
        <v>0.32600000000000001</v>
      </c>
      <c r="H86" s="2">
        <f>Data[[#This Row],[Inflacion BCV]]</f>
        <v>0.32600000000000001</v>
      </c>
      <c r="I86" s="1"/>
      <c r="J86" s="2"/>
      <c r="K86" s="16"/>
      <c r="L86">
        <v>367.30689999999998</v>
      </c>
      <c r="M86" s="8">
        <f>+Data[[#This Row],[Tasa bcv]]/L85-1</f>
        <v>0.23198189057536456</v>
      </c>
      <c r="N86" s="73">
        <f>Data[[#This Row],[ Deevaluación BCV]]</f>
        <v>0.23198189057536456</v>
      </c>
      <c r="P86" s="3" t="e">
        <f>(O87/Data[[#This Row],[dólar today]]-1)*100</f>
        <v>#DIV/0!</v>
      </c>
      <c r="Q86" s="18" t="e">
        <f>Data[[#This Row],[Tasa Enparalelo]]/K85-1</f>
        <v>#DIV/0!</v>
      </c>
      <c r="T86" s="52">
        <v>335.37341935483869</v>
      </c>
      <c r="U86" s="1">
        <f>+Data[[#This Row],[Tasa Promedio BCV]]/T85-1</f>
        <v>0.22778629723510546</v>
      </c>
      <c r="V86" s="59">
        <f>Data[[#This Row],[Devaluación Promedio BCV]]</f>
        <v>0.22778629723510546</v>
      </c>
      <c r="W86" s="52"/>
      <c r="Y86" s="1"/>
      <c r="Z86" s="2"/>
      <c r="AA86">
        <v>514.9</v>
      </c>
      <c r="AB86" s="15">
        <f>+Data[[#This Row],[Tasa Promedio USDT]]/AA85-1</f>
        <v>-0.1090308179474313</v>
      </c>
      <c r="AC86" s="15">
        <f>AB86</f>
        <v>-0.1090308179474313</v>
      </c>
    </row>
    <row r="87" spans="1:29" x14ac:dyDescent="0.25">
      <c r="A87">
        <v>2026</v>
      </c>
      <c r="B87" t="s">
        <v>24</v>
      </c>
      <c r="C87" s="1"/>
      <c r="D87" s="2" t="e">
        <f>(C87+1)*(D86+1)-1</f>
        <v>#VALUE!</v>
      </c>
      <c r="E87" s="2"/>
      <c r="F87" s="2"/>
      <c r="G87" s="74">
        <v>0.14599999999999999</v>
      </c>
      <c r="H87" s="74">
        <f>+(Data[[#This Row],[Inflacion BCV]]+1)*(H86+1)-1</f>
        <v>0.51959599999999995</v>
      </c>
      <c r="I87" s="1"/>
      <c r="J87" s="2"/>
      <c r="K87" s="16"/>
      <c r="L87">
        <v>417.35789999999997</v>
      </c>
      <c r="M87" s="8">
        <f>+Data[[#This Row],[Tasa bcv]]/L86-1</f>
        <v>0.13626479655024171</v>
      </c>
      <c r="N87" s="73">
        <f>+(M87+1)*(N86+1)-1</f>
        <v>0.39985765224819869</v>
      </c>
      <c r="P87" s="3" t="e">
        <f>(O88/Data[[#This Row],[dólar today]]-1)*100</f>
        <v>#DIV/0!</v>
      </c>
      <c r="Q87" s="18" t="e">
        <f>Data[[#This Row],[Tasa Enparalelo]]/K86-1</f>
        <v>#DIV/0!</v>
      </c>
      <c r="T87" s="52">
        <v>392.65245714285709</v>
      </c>
      <c r="U87" s="1">
        <f>+Data[[#This Row],[Tasa Promedio BCV]]/T86-1</f>
        <v>0.17079182332996656</v>
      </c>
      <c r="V87" s="1">
        <f>+(Data[[#This Row],[Devaluación Promedio BCV]]+1)*(V86+1)-1</f>
        <v>0.43748215759943743</v>
      </c>
      <c r="W87" s="52"/>
      <c r="Y87" s="1"/>
      <c r="Z87" s="2"/>
      <c r="AA87">
        <v>535.67999999999995</v>
      </c>
      <c r="AB87" s="15">
        <f>+Data[[#This Row],[Tasa Promedio USDT]]/AA86-1</f>
        <v>4.0357350941930381E-2</v>
      </c>
      <c r="AC87" s="15">
        <f t="shared" si="12"/>
        <v>-7.3073661988891092E-2</v>
      </c>
    </row>
    <row r="88" spans="1:29" x14ac:dyDescent="0.25">
      <c r="A88">
        <v>2026</v>
      </c>
      <c r="B88" t="s">
        <v>25</v>
      </c>
      <c r="C88" s="1"/>
      <c r="D88" s="2" t="e">
        <f>(C88+1)*(D87+1)-1</f>
        <v>#VALUE!</v>
      </c>
      <c r="E88" s="2"/>
      <c r="F88" s="2"/>
      <c r="G88" s="74">
        <v>0.13100000000000001</v>
      </c>
      <c r="H88" s="74">
        <f>+(Data[[#This Row],[Inflacion BCV]]+1)*(H87+1)-1</f>
        <v>0.7186630759999999</v>
      </c>
      <c r="I88" s="1"/>
      <c r="J88" s="2"/>
      <c r="K88" s="16"/>
      <c r="L88">
        <v>473.87020000000001</v>
      </c>
      <c r="M88" s="8">
        <f>+Data[[#This Row],[Tasa bcv]]/L87-1</f>
        <v>0.13540488870583278</v>
      </c>
      <c r="N88" s="73">
        <f>+(Data[[#This Row],[ Deevaluación BCV]]+1)*(N87+1)-1</f>
        <v>0.58940522185487443</v>
      </c>
      <c r="P88" s="3" t="e">
        <f>(O89/Data[[#This Row],[dólar today]]-1)*100</f>
        <v>#DIV/0!</v>
      </c>
      <c r="Q88" s="18" t="e">
        <f>Data[[#This Row],[Tasa Enparalelo]]/K87-1</f>
        <v>#DIV/0!</v>
      </c>
      <c r="T88" s="52">
        <v>446.61548387096758</v>
      </c>
      <c r="U88" s="1">
        <f>+Data[[#This Row],[Tasa Promedio BCV]]/T87-1</f>
        <v>0.13743203626121048</v>
      </c>
      <c r="V88" s="1">
        <f>+(Data[[#This Row],[Devaluación Promedio BCV]]+1)*(V87+1)-1</f>
        <v>0.63503825760748644</v>
      </c>
      <c r="W88" s="52"/>
      <c r="Y88" s="1"/>
      <c r="Z88" s="2"/>
      <c r="AA88">
        <v>558.45000000000005</v>
      </c>
      <c r="AB88" s="15">
        <f>+Data[[#This Row],[Tasa Promedio USDT]]/AA87-1</f>
        <v>4.2506720430107725E-2</v>
      </c>
      <c r="AC88" s="15">
        <f>+(AB88+1)*(AC87+1)-1</f>
        <v>-3.3673063279749393E-2</v>
      </c>
    </row>
    <row r="89" spans="1:29" x14ac:dyDescent="0.25">
      <c r="A89">
        <v>2026</v>
      </c>
      <c r="B89" t="s">
        <v>26</v>
      </c>
      <c r="C89" s="1"/>
      <c r="D89" s="2" t="e">
        <f>(C89+1)*(D88+1)-1</f>
        <v>#VALUE!</v>
      </c>
      <c r="E89" s="2"/>
      <c r="F89" s="2"/>
      <c r="G89" s="2">
        <v>0.106</v>
      </c>
      <c r="H89" s="74">
        <f>+(Data[[#This Row],[Inflacion BCV]]+1)*(H88+1)-1</f>
        <v>0.90084136205600007</v>
      </c>
      <c r="I89" s="1"/>
      <c r="J89" s="2"/>
      <c r="K89" s="16"/>
      <c r="L89">
        <v>487.11919999999998</v>
      </c>
      <c r="M89" s="8">
        <f>+Data[[#This Row],[Tasa bcv]]/L88-1</f>
        <v>2.7959133112822832E-2</v>
      </c>
      <c r="N89" s="73">
        <f>+(Data[[#This Row],[ Deevaluación BCV]]+1)*(N88+1)-1</f>
        <v>0.63384361402293066</v>
      </c>
      <c r="P89" s="3" t="e">
        <f>(O90/Data[[#This Row],[dólar today]]-1)*100</f>
        <v>#DIV/0!</v>
      </c>
      <c r="Q89" s="18" t="e">
        <f>Data[[#This Row],[Tasa Enparalelo]]/K88-1</f>
        <v>#DIV/0!</v>
      </c>
      <c r="T89" s="52">
        <v>479.20858333333331</v>
      </c>
      <c r="U89" s="1">
        <f>+Data[[#This Row],[Tasa Promedio BCV]]/T88-1</f>
        <v>7.2977988089150569E-2</v>
      </c>
      <c r="V89" s="1">
        <f>+(Data[[#This Row],[Devaluación Promedio BCV]]+1)*(V88+1)-1</f>
        <v>0.75436006009647105</v>
      </c>
      <c r="Z89" s="2"/>
      <c r="AA89">
        <v>594.12</v>
      </c>
      <c r="AB89" s="15">
        <f>+Data[[#This Row],[Tasa Promedio USDT]]/AA88-1</f>
        <v>6.3873220521085017E-2</v>
      </c>
      <c r="AC89" s="15">
        <f>+(AB89+1)*(AC88+1)-1</f>
        <v>2.8049350244847782E-2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1430-93B4-4BC1-B535-00842B93A77B}">
  <dimension ref="A1:C138"/>
  <sheetViews>
    <sheetView topLeftCell="A117" workbookViewId="0">
      <selection activeCell="C135" sqref="C135"/>
    </sheetView>
  </sheetViews>
  <sheetFormatPr baseColWidth="10" defaultRowHeight="15" x14ac:dyDescent="0.25"/>
  <sheetData>
    <row r="1" spans="1:3" x14ac:dyDescent="0.25">
      <c r="A1" s="40">
        <v>45200</v>
      </c>
      <c r="B1" s="41"/>
      <c r="C1" s="41">
        <v>34.300899999999999</v>
      </c>
    </row>
    <row r="2" spans="1:3" x14ac:dyDescent="0.25">
      <c r="A2" s="40">
        <v>45201</v>
      </c>
      <c r="B2" s="41"/>
      <c r="C2" s="41">
        <v>34.425400000000003</v>
      </c>
    </row>
    <row r="3" spans="1:3" x14ac:dyDescent="0.25">
      <c r="A3" s="40">
        <v>45202</v>
      </c>
      <c r="B3" s="41"/>
      <c r="C3" s="41">
        <v>34.4681</v>
      </c>
    </row>
    <row r="4" spans="1:3" x14ac:dyDescent="0.25">
      <c r="A4" s="40">
        <v>45203</v>
      </c>
      <c r="B4" s="41"/>
      <c r="C4" s="41">
        <v>34.668500000000002</v>
      </c>
    </row>
    <row r="5" spans="1:3" x14ac:dyDescent="0.25">
      <c r="A5" s="40">
        <v>45204</v>
      </c>
      <c r="B5" s="41"/>
      <c r="C5" s="41">
        <v>34.713299999999997</v>
      </c>
    </row>
    <row r="6" spans="1:3" x14ac:dyDescent="0.25">
      <c r="A6" s="40">
        <v>45205</v>
      </c>
      <c r="B6" s="41"/>
      <c r="C6" s="41">
        <v>34.749899999999997</v>
      </c>
    </row>
    <row r="7" spans="1:3" x14ac:dyDescent="0.25">
      <c r="A7" s="40">
        <v>45206</v>
      </c>
      <c r="B7" s="41"/>
      <c r="C7" s="41">
        <v>34.749899999999997</v>
      </c>
    </row>
    <row r="8" spans="1:3" x14ac:dyDescent="0.25">
      <c r="A8" s="40">
        <v>45207</v>
      </c>
      <c r="B8" s="41"/>
      <c r="C8" s="41">
        <v>34.749899999999997</v>
      </c>
    </row>
    <row r="9" spans="1:3" x14ac:dyDescent="0.25">
      <c r="A9" s="40">
        <v>45208</v>
      </c>
      <c r="B9" s="41"/>
      <c r="C9" s="41">
        <v>34.856499999999997</v>
      </c>
    </row>
    <row r="10" spans="1:3" x14ac:dyDescent="0.25">
      <c r="A10" s="40">
        <v>45209</v>
      </c>
      <c r="B10" s="41"/>
      <c r="C10" s="41">
        <v>34.819899999999997</v>
      </c>
    </row>
    <row r="11" spans="1:3" x14ac:dyDescent="0.25">
      <c r="A11" s="40">
        <v>45210</v>
      </c>
      <c r="B11" s="41"/>
      <c r="C11" s="41">
        <v>34.8416</v>
      </c>
    </row>
    <row r="12" spans="1:3" x14ac:dyDescent="0.25">
      <c r="A12" s="40">
        <v>45211</v>
      </c>
      <c r="B12" s="41"/>
      <c r="C12" s="41">
        <v>34.8416</v>
      </c>
    </row>
    <row r="13" spans="1:3" x14ac:dyDescent="0.25">
      <c r="A13" s="40">
        <v>45212</v>
      </c>
      <c r="B13" s="41"/>
      <c r="C13" s="41">
        <v>34.900100000000002</v>
      </c>
    </row>
    <row r="14" spans="1:3" x14ac:dyDescent="0.25">
      <c r="A14" s="40">
        <v>45213</v>
      </c>
      <c r="B14" s="41"/>
      <c r="C14" s="41">
        <v>34.900100000000002</v>
      </c>
    </row>
    <row r="15" spans="1:3" x14ac:dyDescent="0.25">
      <c r="A15" s="40">
        <v>45214</v>
      </c>
      <c r="B15" s="41"/>
      <c r="C15" s="41">
        <v>34.900100000000002</v>
      </c>
    </row>
    <row r="16" spans="1:3" x14ac:dyDescent="0.25">
      <c r="A16" s="40">
        <v>45215</v>
      </c>
      <c r="B16" s="41"/>
      <c r="C16" s="41">
        <v>34.877600000000001</v>
      </c>
    </row>
    <row r="17" spans="1:3" x14ac:dyDescent="0.25">
      <c r="A17" s="40">
        <v>45216</v>
      </c>
      <c r="B17" s="41"/>
      <c r="C17" s="41">
        <v>34.8508</v>
      </c>
    </row>
    <row r="18" spans="1:3" x14ac:dyDescent="0.25">
      <c r="A18" s="40">
        <v>45217</v>
      </c>
      <c r="B18" s="41"/>
      <c r="C18" s="41">
        <v>34.812600000000003</v>
      </c>
    </row>
    <row r="19" spans="1:3" x14ac:dyDescent="0.25">
      <c r="A19" s="40">
        <v>45218</v>
      </c>
      <c r="B19" s="41"/>
      <c r="C19" s="41">
        <v>34.860199999999999</v>
      </c>
    </row>
    <row r="20" spans="1:3" x14ac:dyDescent="0.25">
      <c r="A20" s="40">
        <v>45219</v>
      </c>
      <c r="B20" s="41"/>
      <c r="C20" s="41">
        <v>34.858400000000003</v>
      </c>
    </row>
    <row r="21" spans="1:3" x14ac:dyDescent="0.25">
      <c r="A21" s="40">
        <v>45220</v>
      </c>
      <c r="B21" s="41"/>
      <c r="C21" s="41">
        <v>34.858400000000003</v>
      </c>
    </row>
    <row r="22" spans="1:3" x14ac:dyDescent="0.25">
      <c r="A22" s="40">
        <v>45221</v>
      </c>
      <c r="B22" s="41"/>
      <c r="C22" s="41">
        <v>34.858400000000003</v>
      </c>
    </row>
    <row r="23" spans="1:3" x14ac:dyDescent="0.25">
      <c r="A23" s="40">
        <v>45222</v>
      </c>
      <c r="B23" s="41"/>
      <c r="C23" s="41">
        <v>34.977899999999998</v>
      </c>
    </row>
    <row r="24" spans="1:3" x14ac:dyDescent="0.25">
      <c r="A24" s="40">
        <v>45223</v>
      </c>
      <c r="B24" s="41"/>
      <c r="C24" s="41">
        <v>34.975999999999999</v>
      </c>
    </row>
    <row r="25" spans="1:3" x14ac:dyDescent="0.25">
      <c r="A25" s="40">
        <v>45224</v>
      </c>
      <c r="B25" s="41"/>
      <c r="C25" s="41">
        <v>35.027799999999999</v>
      </c>
    </row>
    <row r="26" spans="1:3" x14ac:dyDescent="0.25">
      <c r="A26" s="40">
        <v>45225</v>
      </c>
      <c r="B26" s="41"/>
      <c r="C26" s="41">
        <v>35.022199999999998</v>
      </c>
    </row>
    <row r="27" spans="1:3" x14ac:dyDescent="0.25">
      <c r="A27" s="40">
        <v>45226</v>
      </c>
      <c r="B27" s="41"/>
      <c r="C27" s="41">
        <v>35.091900000000003</v>
      </c>
    </row>
    <row r="28" spans="1:3" x14ac:dyDescent="0.25">
      <c r="A28" s="40">
        <v>45227</v>
      </c>
      <c r="B28" s="41"/>
      <c r="C28" s="41">
        <v>35.091900000000003</v>
      </c>
    </row>
    <row r="29" spans="1:3" x14ac:dyDescent="0.25">
      <c r="A29" s="40">
        <v>45228</v>
      </c>
      <c r="B29" s="41"/>
      <c r="C29" s="41">
        <v>35.091900000000003</v>
      </c>
    </row>
    <row r="30" spans="1:3" x14ac:dyDescent="0.25">
      <c r="A30" s="40">
        <v>45229</v>
      </c>
      <c r="B30" s="41"/>
      <c r="C30" s="41">
        <v>35.091900000000003</v>
      </c>
    </row>
    <row r="31" spans="1:3" x14ac:dyDescent="0.25">
      <c r="A31" s="40">
        <v>45230</v>
      </c>
      <c r="B31" s="41"/>
      <c r="C31" s="41">
        <v>35.127600000000001</v>
      </c>
    </row>
    <row r="38" spans="1:3" x14ac:dyDescent="0.25">
      <c r="A38" s="43">
        <v>45261</v>
      </c>
      <c r="B38" s="44"/>
      <c r="C38" s="44">
        <v>35.513100000000001</v>
      </c>
    </row>
    <row r="39" spans="1:3" x14ac:dyDescent="0.25">
      <c r="A39" s="43">
        <v>45262</v>
      </c>
      <c r="C39" s="44">
        <v>35.513100000000001</v>
      </c>
    </row>
    <row r="40" spans="1:3" x14ac:dyDescent="0.25">
      <c r="A40" s="43">
        <v>45263</v>
      </c>
      <c r="C40" s="44">
        <v>35.513100000000001</v>
      </c>
    </row>
    <row r="41" spans="1:3" x14ac:dyDescent="0.25">
      <c r="A41" s="43">
        <v>45264</v>
      </c>
      <c r="B41" s="44"/>
      <c r="C41" s="44">
        <v>35.580599999999997</v>
      </c>
    </row>
    <row r="42" spans="1:3" x14ac:dyDescent="0.25">
      <c r="A42" s="43">
        <v>45265</v>
      </c>
      <c r="B42" s="44"/>
      <c r="C42" s="44">
        <v>35.522799999999997</v>
      </c>
    </row>
    <row r="43" spans="1:3" x14ac:dyDescent="0.25">
      <c r="A43" s="43">
        <v>45266</v>
      </c>
      <c r="B43" s="44"/>
      <c r="C43" s="44">
        <v>35.5578</v>
      </c>
    </row>
    <row r="44" spans="1:3" x14ac:dyDescent="0.25">
      <c r="A44" s="43">
        <v>45267</v>
      </c>
      <c r="B44" s="44"/>
      <c r="C44" s="44">
        <v>35.5974</v>
      </c>
    </row>
    <row r="45" spans="1:3" x14ac:dyDescent="0.25">
      <c r="A45" s="43">
        <v>45268</v>
      </c>
      <c r="B45" s="44"/>
      <c r="C45" s="44">
        <v>35.601799999999997</v>
      </c>
    </row>
    <row r="46" spans="1:3" x14ac:dyDescent="0.25">
      <c r="A46" s="43">
        <v>45269</v>
      </c>
      <c r="C46" s="44">
        <v>35.601799999999997</v>
      </c>
    </row>
    <row r="47" spans="1:3" x14ac:dyDescent="0.25">
      <c r="A47" s="43">
        <v>45270</v>
      </c>
      <c r="C47" s="44">
        <v>35.601799999999997</v>
      </c>
    </row>
    <row r="48" spans="1:3" x14ac:dyDescent="0.25">
      <c r="A48" s="43">
        <v>45271</v>
      </c>
      <c r="C48" s="44">
        <v>35.601799999999997</v>
      </c>
    </row>
    <row r="49" spans="1:3" x14ac:dyDescent="0.25">
      <c r="A49" s="43">
        <v>45272</v>
      </c>
      <c r="B49" s="44"/>
      <c r="C49" s="44">
        <v>35.6248</v>
      </c>
    </row>
    <row r="50" spans="1:3" x14ac:dyDescent="0.25">
      <c r="A50" s="43">
        <v>45273</v>
      </c>
      <c r="B50" s="44"/>
      <c r="C50" s="44">
        <v>35.572400000000002</v>
      </c>
    </row>
    <row r="51" spans="1:3" x14ac:dyDescent="0.25">
      <c r="A51" s="43">
        <v>45274</v>
      </c>
      <c r="B51" s="44"/>
      <c r="C51" s="44">
        <v>35.626199999999997</v>
      </c>
    </row>
    <row r="52" spans="1:3" x14ac:dyDescent="0.25">
      <c r="A52" s="43">
        <v>45275</v>
      </c>
      <c r="B52" s="44"/>
      <c r="C52" s="44">
        <v>35.640300000000003</v>
      </c>
    </row>
    <row r="53" spans="1:3" x14ac:dyDescent="0.25">
      <c r="A53" s="43">
        <v>45276</v>
      </c>
      <c r="C53" s="44">
        <v>35.640300000000003</v>
      </c>
    </row>
    <row r="54" spans="1:3" x14ac:dyDescent="0.25">
      <c r="A54" s="43">
        <v>45277</v>
      </c>
      <c r="C54" s="44">
        <v>35.640300000000003</v>
      </c>
    </row>
    <row r="55" spans="1:3" x14ac:dyDescent="0.25">
      <c r="A55" s="43">
        <v>45278</v>
      </c>
      <c r="B55" s="44"/>
      <c r="C55" s="44">
        <v>35.724699999999999</v>
      </c>
    </row>
    <row r="56" spans="1:3" x14ac:dyDescent="0.25">
      <c r="A56" s="43">
        <v>45279</v>
      </c>
      <c r="B56" s="44"/>
      <c r="C56" s="44">
        <v>35.654000000000003</v>
      </c>
    </row>
    <row r="57" spans="1:3" x14ac:dyDescent="0.25">
      <c r="A57" s="43">
        <v>45280</v>
      </c>
      <c r="B57" s="44"/>
      <c r="C57" s="44">
        <v>35.715600000000002</v>
      </c>
    </row>
    <row r="58" spans="1:3" x14ac:dyDescent="0.25">
      <c r="A58" s="43">
        <v>45281</v>
      </c>
      <c r="B58" s="44"/>
      <c r="C58" s="44">
        <v>35.731999999999999</v>
      </c>
    </row>
    <row r="59" spans="1:3" x14ac:dyDescent="0.25">
      <c r="A59" s="43">
        <v>45282</v>
      </c>
      <c r="B59" s="44"/>
      <c r="C59" s="44">
        <v>35.787399999999998</v>
      </c>
    </row>
    <row r="60" spans="1:3" x14ac:dyDescent="0.25">
      <c r="A60" s="43">
        <v>45283</v>
      </c>
      <c r="C60" s="44">
        <v>35.787399999999998</v>
      </c>
    </row>
    <row r="61" spans="1:3" x14ac:dyDescent="0.25">
      <c r="A61" s="43">
        <v>45284</v>
      </c>
      <c r="C61" s="44">
        <v>35.787399999999998</v>
      </c>
    </row>
    <row r="62" spans="1:3" x14ac:dyDescent="0.25">
      <c r="A62" s="43">
        <v>45285</v>
      </c>
      <c r="C62" s="44">
        <v>35.787399999999998</v>
      </c>
    </row>
    <row r="63" spans="1:3" x14ac:dyDescent="0.25">
      <c r="A63" s="43">
        <v>45286</v>
      </c>
      <c r="B63" s="44"/>
      <c r="C63" s="44">
        <v>35.813400000000001</v>
      </c>
    </row>
    <row r="64" spans="1:3" x14ac:dyDescent="0.25">
      <c r="A64" s="43">
        <v>45287</v>
      </c>
      <c r="B64" s="44"/>
      <c r="C64" s="44">
        <v>35.782699999999998</v>
      </c>
    </row>
    <row r="65" spans="1:3" x14ac:dyDescent="0.25">
      <c r="A65" s="43">
        <v>45288</v>
      </c>
      <c r="B65" s="44"/>
      <c r="C65" s="44">
        <v>35.834800000000001</v>
      </c>
    </row>
    <row r="66" spans="1:3" x14ac:dyDescent="0.25">
      <c r="A66" s="43">
        <v>45289</v>
      </c>
      <c r="B66" s="44"/>
      <c r="C66" s="44">
        <v>35.930500000000002</v>
      </c>
    </row>
    <row r="67" spans="1:3" x14ac:dyDescent="0.25">
      <c r="A67" s="43">
        <v>45290</v>
      </c>
      <c r="C67" s="44">
        <v>35.930500000000002</v>
      </c>
    </row>
    <row r="68" spans="1:3" x14ac:dyDescent="0.25">
      <c r="A68" s="43">
        <v>45291</v>
      </c>
      <c r="C68" s="44">
        <v>35.930500000000002</v>
      </c>
    </row>
    <row r="74" spans="1:3" x14ac:dyDescent="0.25">
      <c r="A74" s="37">
        <v>45292</v>
      </c>
      <c r="C74" s="45">
        <v>35.866999999999997</v>
      </c>
    </row>
    <row r="75" spans="1:3" x14ac:dyDescent="0.25">
      <c r="A75" s="37">
        <v>45293</v>
      </c>
      <c r="C75" s="45">
        <v>35.866999999999997</v>
      </c>
    </row>
    <row r="76" spans="1:3" x14ac:dyDescent="0.25">
      <c r="A76" s="37">
        <v>45294</v>
      </c>
      <c r="C76" s="45">
        <v>35.866999999999997</v>
      </c>
    </row>
    <row r="77" spans="1:3" x14ac:dyDescent="0.25">
      <c r="A77" s="37">
        <v>45295</v>
      </c>
      <c r="C77" s="45">
        <v>35.949599999999997</v>
      </c>
    </row>
    <row r="78" spans="1:3" x14ac:dyDescent="0.25">
      <c r="A78" s="37">
        <v>45296</v>
      </c>
      <c r="C78" s="45">
        <v>36.034500000000001</v>
      </c>
    </row>
    <row r="79" spans="1:3" x14ac:dyDescent="0.25">
      <c r="A79" s="37">
        <v>45297</v>
      </c>
      <c r="C79" s="45">
        <v>36.034500000000001</v>
      </c>
    </row>
    <row r="80" spans="1:3" x14ac:dyDescent="0.25">
      <c r="A80" s="37">
        <v>45298</v>
      </c>
      <c r="C80" s="45">
        <v>36.034500000000001</v>
      </c>
    </row>
    <row r="81" spans="1:3" x14ac:dyDescent="0.25">
      <c r="A81" s="37">
        <v>45299</v>
      </c>
      <c r="C81" s="45">
        <v>36.006500000000003</v>
      </c>
    </row>
    <row r="82" spans="1:3" x14ac:dyDescent="0.25">
      <c r="A82" s="37">
        <v>45300</v>
      </c>
      <c r="C82" s="45">
        <v>35.938499999999998</v>
      </c>
    </row>
    <row r="83" spans="1:3" x14ac:dyDescent="0.25">
      <c r="A83" s="37">
        <v>45301</v>
      </c>
      <c r="C83" s="45">
        <v>35.917099999999998</v>
      </c>
    </row>
    <row r="84" spans="1:3" x14ac:dyDescent="0.25">
      <c r="A84" s="37">
        <v>45302</v>
      </c>
      <c r="C84" s="45">
        <v>35.9437</v>
      </c>
    </row>
    <row r="85" spans="1:3" x14ac:dyDescent="0.25">
      <c r="A85" s="37">
        <v>45303</v>
      </c>
      <c r="C85" s="45">
        <v>35.962899999999998</v>
      </c>
    </row>
    <row r="86" spans="1:3" x14ac:dyDescent="0.25">
      <c r="A86" s="37">
        <v>45304</v>
      </c>
      <c r="C86" s="45">
        <v>35.962899999999998</v>
      </c>
    </row>
    <row r="87" spans="1:3" x14ac:dyDescent="0.25">
      <c r="A87" s="37">
        <v>45305</v>
      </c>
      <c r="C87" s="45">
        <v>35.962899999999998</v>
      </c>
    </row>
    <row r="88" spans="1:3" x14ac:dyDescent="0.25">
      <c r="A88" s="37">
        <v>45306</v>
      </c>
      <c r="C88" s="45">
        <v>36.039700000000003</v>
      </c>
    </row>
    <row r="89" spans="1:3" x14ac:dyDescent="0.25">
      <c r="A89" s="37">
        <v>45307</v>
      </c>
      <c r="C89" s="45">
        <v>35.974400000000003</v>
      </c>
    </row>
    <row r="90" spans="1:3" x14ac:dyDescent="0.25">
      <c r="A90" s="37">
        <v>45308</v>
      </c>
      <c r="C90" s="45">
        <v>36.046599999999998</v>
      </c>
    </row>
    <row r="91" spans="1:3" x14ac:dyDescent="0.25">
      <c r="A91" s="37">
        <v>45309</v>
      </c>
      <c r="C91" s="45">
        <v>36.076099999999997</v>
      </c>
    </row>
    <row r="92" spans="1:3" x14ac:dyDescent="0.25">
      <c r="A92" s="37">
        <v>45310</v>
      </c>
      <c r="C92" s="45">
        <v>36.137900000000002</v>
      </c>
    </row>
    <row r="93" spans="1:3" x14ac:dyDescent="0.25">
      <c r="A93" s="37">
        <v>45311</v>
      </c>
      <c r="C93" s="45">
        <v>36.137900000000002</v>
      </c>
    </row>
    <row r="94" spans="1:3" x14ac:dyDescent="0.25">
      <c r="A94" s="37">
        <v>45312</v>
      </c>
      <c r="C94" s="45">
        <v>36.137900000000002</v>
      </c>
    </row>
    <row r="95" spans="1:3" x14ac:dyDescent="0.25">
      <c r="A95" s="37">
        <v>45313</v>
      </c>
      <c r="C95" s="45">
        <v>36.145899999999997</v>
      </c>
    </row>
    <row r="96" spans="1:3" x14ac:dyDescent="0.25">
      <c r="A96" s="37">
        <v>45314</v>
      </c>
      <c r="C96" s="45">
        <v>36.110399999999998</v>
      </c>
    </row>
    <row r="97" spans="1:3" x14ac:dyDescent="0.25">
      <c r="A97" s="37">
        <v>45315</v>
      </c>
      <c r="C97" s="45">
        <v>36.127899999999997</v>
      </c>
    </row>
    <row r="98" spans="1:3" x14ac:dyDescent="0.25">
      <c r="A98" s="37">
        <v>45316</v>
      </c>
      <c r="C98" s="45">
        <v>36.118699999999997</v>
      </c>
    </row>
    <row r="99" spans="1:3" x14ac:dyDescent="0.25">
      <c r="A99" s="37">
        <v>45317</v>
      </c>
      <c r="C99" s="45">
        <v>36.118600000000001</v>
      </c>
    </row>
    <row r="100" spans="1:3" x14ac:dyDescent="0.25">
      <c r="A100" s="37">
        <v>45318</v>
      </c>
      <c r="C100" s="45">
        <v>36.118600000000001</v>
      </c>
    </row>
    <row r="101" spans="1:3" x14ac:dyDescent="0.25">
      <c r="A101" s="37">
        <v>45319</v>
      </c>
      <c r="C101" s="45">
        <v>36.118600000000001</v>
      </c>
    </row>
    <row r="102" spans="1:3" x14ac:dyDescent="0.25">
      <c r="A102" s="37">
        <v>45320</v>
      </c>
      <c r="C102" s="45">
        <v>36.201999999999998</v>
      </c>
    </row>
    <row r="103" spans="1:3" x14ac:dyDescent="0.25">
      <c r="A103" s="37">
        <v>45321</v>
      </c>
      <c r="C103" s="45">
        <v>36.141800000000003</v>
      </c>
    </row>
    <row r="104" spans="1:3" x14ac:dyDescent="0.25">
      <c r="A104" s="37">
        <v>45322</v>
      </c>
      <c r="C104" s="45">
        <v>36.203200000000002</v>
      </c>
    </row>
    <row r="110" spans="1:3" x14ac:dyDescent="0.25">
      <c r="A110" s="37">
        <v>45323</v>
      </c>
      <c r="C110">
        <v>36.260100000000001</v>
      </c>
    </row>
    <row r="111" spans="1:3" x14ac:dyDescent="0.25">
      <c r="A111" s="37">
        <v>45324</v>
      </c>
      <c r="C111">
        <v>36.235199999999999</v>
      </c>
    </row>
    <row r="112" spans="1:3" x14ac:dyDescent="0.25">
      <c r="A112" s="37">
        <v>45325</v>
      </c>
      <c r="C112">
        <v>36.235199999999999</v>
      </c>
    </row>
    <row r="113" spans="1:3" x14ac:dyDescent="0.25">
      <c r="A113" s="37">
        <v>45326</v>
      </c>
      <c r="C113">
        <v>36.235199999999999</v>
      </c>
    </row>
    <row r="114" spans="1:3" x14ac:dyDescent="0.25">
      <c r="A114" s="37">
        <v>45327</v>
      </c>
      <c r="C114">
        <v>36.285899999999998</v>
      </c>
    </row>
    <row r="115" spans="1:3" x14ac:dyDescent="0.25">
      <c r="A115" s="37">
        <v>45328</v>
      </c>
      <c r="C115">
        <v>36.253399999999999</v>
      </c>
    </row>
    <row r="116" spans="1:3" x14ac:dyDescent="0.25">
      <c r="A116" s="37">
        <v>45329</v>
      </c>
      <c r="C116">
        <v>36.255600000000001</v>
      </c>
    </row>
    <row r="117" spans="1:3" x14ac:dyDescent="0.25">
      <c r="A117" s="37">
        <v>45330</v>
      </c>
      <c r="C117">
        <v>36.237499999999997</v>
      </c>
    </row>
    <row r="118" spans="1:3" x14ac:dyDescent="0.25">
      <c r="A118" s="37">
        <v>45331</v>
      </c>
      <c r="C118">
        <v>36.291899999999998</v>
      </c>
    </row>
    <row r="119" spans="1:3" x14ac:dyDescent="0.25">
      <c r="A119" s="37">
        <v>45332</v>
      </c>
      <c r="C119">
        <v>36.291899999999998</v>
      </c>
    </row>
    <row r="120" spans="1:3" x14ac:dyDescent="0.25">
      <c r="A120" s="37">
        <v>45333</v>
      </c>
      <c r="C120">
        <v>36.291899999999998</v>
      </c>
    </row>
    <row r="121" spans="1:3" x14ac:dyDescent="0.25">
      <c r="A121" s="37">
        <v>45334</v>
      </c>
      <c r="C121">
        <v>36.291899999999998</v>
      </c>
    </row>
    <row r="122" spans="1:3" x14ac:dyDescent="0.25">
      <c r="A122" s="37">
        <v>45335</v>
      </c>
      <c r="C122">
        <v>36.291899999999998</v>
      </c>
    </row>
    <row r="123" spans="1:3" x14ac:dyDescent="0.25">
      <c r="A123" s="37">
        <v>45336</v>
      </c>
      <c r="C123">
        <v>36.3185</v>
      </c>
    </row>
    <row r="124" spans="1:3" x14ac:dyDescent="0.25">
      <c r="A124" s="37">
        <v>45337</v>
      </c>
      <c r="C124">
        <v>36.260899999999999</v>
      </c>
    </row>
    <row r="125" spans="1:3" x14ac:dyDescent="0.25">
      <c r="A125" s="37">
        <v>45338</v>
      </c>
      <c r="C125">
        <v>36.273699999999998</v>
      </c>
    </row>
    <row r="126" spans="1:3" x14ac:dyDescent="0.25">
      <c r="A126" s="37">
        <v>45339</v>
      </c>
      <c r="C126">
        <v>36.273699999999998</v>
      </c>
    </row>
    <row r="127" spans="1:3" x14ac:dyDescent="0.25">
      <c r="A127" s="37">
        <v>45340</v>
      </c>
      <c r="C127">
        <v>36.273699999999998</v>
      </c>
    </row>
    <row r="128" spans="1:3" x14ac:dyDescent="0.25">
      <c r="A128" s="37">
        <v>45341</v>
      </c>
      <c r="C128">
        <v>36.335799999999999</v>
      </c>
    </row>
    <row r="129" spans="1:3" x14ac:dyDescent="0.25">
      <c r="A129" s="37">
        <v>45342</v>
      </c>
      <c r="C129">
        <v>36.237499999999997</v>
      </c>
    </row>
    <row r="130" spans="1:3" x14ac:dyDescent="0.25">
      <c r="A130" s="37">
        <v>45343</v>
      </c>
      <c r="C130">
        <v>36.295099999999998</v>
      </c>
    </row>
    <row r="131" spans="1:3" x14ac:dyDescent="0.25">
      <c r="A131" s="37">
        <v>45344</v>
      </c>
      <c r="C131">
        <v>36.231499999999997</v>
      </c>
    </row>
    <row r="132" spans="1:3" x14ac:dyDescent="0.25">
      <c r="A132" s="37">
        <v>45345</v>
      </c>
      <c r="C132">
        <v>36.232900000000001</v>
      </c>
    </row>
    <row r="133" spans="1:3" x14ac:dyDescent="0.25">
      <c r="A133" s="37">
        <v>45346</v>
      </c>
      <c r="C133">
        <v>36.232900000000001</v>
      </c>
    </row>
    <row r="134" spans="1:3" x14ac:dyDescent="0.25">
      <c r="A134" s="37">
        <v>45347</v>
      </c>
      <c r="C134">
        <v>36.232900000000001</v>
      </c>
    </row>
    <row r="135" spans="1:3" x14ac:dyDescent="0.25">
      <c r="A135" s="37">
        <v>45348</v>
      </c>
      <c r="C135">
        <v>36.069800000000001</v>
      </c>
    </row>
    <row r="136" spans="1:3" x14ac:dyDescent="0.25">
      <c r="A136" s="37">
        <v>45349</v>
      </c>
    </row>
    <row r="137" spans="1:3" x14ac:dyDescent="0.25">
      <c r="A137" s="37">
        <v>45350</v>
      </c>
    </row>
    <row r="138" spans="1:3" x14ac:dyDescent="0.25">
      <c r="A138" s="37">
        <v>45351</v>
      </c>
    </row>
  </sheetData>
  <sortState xmlns:xlrd2="http://schemas.microsoft.com/office/spreadsheetml/2017/richdata2" ref="A38:C56">
    <sortCondition ref="A38:A5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A193-7AF4-4B34-AA9E-196D291D270F}">
  <sheetPr filterMode="1"/>
  <dimension ref="A1:K79"/>
  <sheetViews>
    <sheetView showGridLines="0" topLeftCell="F40" zoomScale="85" zoomScaleNormal="85" workbookViewId="0">
      <selection activeCell="Y63" sqref="Y63"/>
    </sheetView>
  </sheetViews>
  <sheetFormatPr baseColWidth="10" defaultRowHeight="15" x14ac:dyDescent="0.25"/>
  <cols>
    <col min="1" max="1" width="7" customWidth="1"/>
    <col min="2" max="2" width="12.140625" customWidth="1"/>
    <col min="3" max="3" width="14.85546875" customWidth="1"/>
    <col min="4" max="4" width="14.85546875" bestFit="1" customWidth="1"/>
    <col min="5" max="5" width="18.140625" bestFit="1" customWidth="1"/>
    <col min="6" max="6" width="16.7109375" bestFit="1" customWidth="1"/>
    <col min="7" max="7" width="18.42578125" bestFit="1" customWidth="1"/>
  </cols>
  <sheetData>
    <row r="1" spans="1:10" x14ac:dyDescent="0.25">
      <c r="A1" s="28" t="s">
        <v>17</v>
      </c>
      <c r="B1" s="28" t="s">
        <v>40</v>
      </c>
      <c r="C1" s="29" t="s">
        <v>35</v>
      </c>
      <c r="D1" s="28" t="s">
        <v>36</v>
      </c>
      <c r="F1" s="38" t="s">
        <v>124</v>
      </c>
      <c r="G1" s="38" t="s">
        <v>125</v>
      </c>
      <c r="I1" s="38" t="s">
        <v>128</v>
      </c>
      <c r="J1" s="38" t="s">
        <v>129</v>
      </c>
    </row>
    <row r="2" spans="1:10" hidden="1" x14ac:dyDescent="0.25">
      <c r="A2">
        <f>Data[[#This Row],[Año]]</f>
        <v>2019</v>
      </c>
      <c r="B2" s="21" t="s">
        <v>72</v>
      </c>
      <c r="C2" s="1">
        <f>Data[[#This Row],[Inflacion BCV]]</f>
        <v>1.966</v>
      </c>
      <c r="D2" s="1">
        <f>Data[[#This Row],[ Inflación OVF]]</f>
        <v>1.9159999999999999</v>
      </c>
      <c r="E2" t="s">
        <v>112</v>
      </c>
      <c r="F2" t="str">
        <f>TRIM(E2&amp;"-")&amp;RIGHT(B2,2)</f>
        <v>January-19</v>
      </c>
      <c r="G2" t="s">
        <v>72</v>
      </c>
    </row>
    <row r="3" spans="1:10" hidden="1" x14ac:dyDescent="0.25">
      <c r="A3">
        <f>Data[[#This Row],[Año]]</f>
        <v>2019</v>
      </c>
      <c r="B3" s="21" t="s">
        <v>73</v>
      </c>
      <c r="C3" s="1">
        <f>Data[[#This Row],[Inflacion BCV]]</f>
        <v>1.1440000000000001</v>
      </c>
      <c r="D3" s="1">
        <f>Data[[#This Row],[ Inflación OVF]]</f>
        <v>0.53700000000000003</v>
      </c>
      <c r="E3" t="s">
        <v>113</v>
      </c>
      <c r="F3" t="str">
        <f t="shared" ref="F3:F37" si="0">TRIM(E3&amp;"-")&amp;RIGHT(B3,2)</f>
        <v>February-19</v>
      </c>
      <c r="G3" t="s">
        <v>73</v>
      </c>
    </row>
    <row r="4" spans="1:10" hidden="1" x14ac:dyDescent="0.25">
      <c r="A4">
        <f>Data[[#This Row],[Año]]</f>
        <v>2019</v>
      </c>
      <c r="B4" s="21" t="s">
        <v>74</v>
      </c>
      <c r="C4" s="1">
        <f>Data[[#This Row],[Inflacion BCV]]</f>
        <v>0.34799999999999998</v>
      </c>
      <c r="D4" s="1">
        <f>Data[[#This Row],[ Inflación OVF]]</f>
        <v>0.18100000000000002</v>
      </c>
      <c r="E4" t="s">
        <v>114</v>
      </c>
      <c r="F4" t="str">
        <f t="shared" si="0"/>
        <v>March-19</v>
      </c>
      <c r="G4" t="s">
        <v>74</v>
      </c>
    </row>
    <row r="5" spans="1:10" hidden="1" x14ac:dyDescent="0.25">
      <c r="A5">
        <f>Data[[#This Row],[Año]]</f>
        <v>2019</v>
      </c>
      <c r="B5" s="21" t="s">
        <v>75</v>
      </c>
      <c r="C5" s="1">
        <f>Data[[#This Row],[Inflacion BCV]]</f>
        <v>0.33799999999999997</v>
      </c>
      <c r="D5" s="1">
        <f>Data[[#This Row],[ Inflación OVF]]</f>
        <v>0.44700000000000001</v>
      </c>
      <c r="E5" t="s">
        <v>115</v>
      </c>
      <c r="F5" t="str">
        <f t="shared" si="0"/>
        <v>April-19</v>
      </c>
      <c r="G5" t="s">
        <v>75</v>
      </c>
    </row>
    <row r="6" spans="1:10" hidden="1" x14ac:dyDescent="0.25">
      <c r="A6">
        <f>Data[[#This Row],[Año]]</f>
        <v>2019</v>
      </c>
      <c r="B6" s="21" t="s">
        <v>76</v>
      </c>
      <c r="C6" s="1">
        <f>Data[[#This Row],[Inflacion BCV]]</f>
        <v>0.39500000000000002</v>
      </c>
      <c r="D6" s="1">
        <f>Data[[#This Row],[ Inflación OVF]]</f>
        <v>0.313</v>
      </c>
      <c r="E6" t="s">
        <v>116</v>
      </c>
      <c r="F6" t="str">
        <f t="shared" si="0"/>
        <v>May-19</v>
      </c>
      <c r="G6" t="s">
        <v>76</v>
      </c>
    </row>
    <row r="7" spans="1:10" hidden="1" x14ac:dyDescent="0.25">
      <c r="A7">
        <f>Data[[#This Row],[Año]]</f>
        <v>2019</v>
      </c>
      <c r="B7" s="21" t="s">
        <v>77</v>
      </c>
      <c r="C7" s="1">
        <f>Data[[#This Row],[Inflacion BCV]]</f>
        <v>0.221</v>
      </c>
      <c r="D7" s="1">
        <f>Data[[#This Row],[ Inflación OVF]]</f>
        <v>0.248</v>
      </c>
      <c r="E7" t="s">
        <v>117</v>
      </c>
      <c r="F7" t="str">
        <f t="shared" si="0"/>
        <v>June-19</v>
      </c>
      <c r="G7" t="s">
        <v>77</v>
      </c>
    </row>
    <row r="8" spans="1:10" hidden="1" x14ac:dyDescent="0.25">
      <c r="A8">
        <f>Data[[#This Row],[Año]]</f>
        <v>2019</v>
      </c>
      <c r="B8" s="21" t="s">
        <v>78</v>
      </c>
      <c r="C8" s="1">
        <f>Data[[#This Row],[Inflacion BCV]]</f>
        <v>0.19399999999999998</v>
      </c>
      <c r="D8" s="1">
        <f>Data[[#This Row],[ Inflación OVF]]</f>
        <v>0.33799999999999997</v>
      </c>
      <c r="E8" t="s">
        <v>118</v>
      </c>
      <c r="F8" t="str">
        <f t="shared" si="0"/>
        <v>July-19</v>
      </c>
      <c r="G8" t="s">
        <v>78</v>
      </c>
    </row>
    <row r="9" spans="1:10" hidden="1" x14ac:dyDescent="0.25">
      <c r="A9">
        <f>Data[[#This Row],[Año]]</f>
        <v>2019</v>
      </c>
      <c r="B9" s="21" t="s">
        <v>79</v>
      </c>
      <c r="C9" s="1">
        <f>Data[[#This Row],[Inflacion BCV]]</f>
        <v>0.34600000000000003</v>
      </c>
      <c r="D9" s="1">
        <f>Data[[#This Row],[ Inflación OVF]]</f>
        <v>0.65200000000000002</v>
      </c>
      <c r="E9" t="s">
        <v>119</v>
      </c>
      <c r="F9" t="str">
        <f t="shared" si="0"/>
        <v>August-19</v>
      </c>
      <c r="G9" t="s">
        <v>79</v>
      </c>
    </row>
    <row r="10" spans="1:10" hidden="1" x14ac:dyDescent="0.25">
      <c r="A10">
        <f>Data[[#This Row],[Año]]</f>
        <v>2019</v>
      </c>
      <c r="B10" s="21" t="s">
        <v>80</v>
      </c>
      <c r="C10" s="1">
        <f>Data[[#This Row],[Inflacion BCV]]</f>
        <v>0.52200000000000002</v>
      </c>
      <c r="D10" s="1">
        <f>Data[[#This Row],[ Inflación OVF]]</f>
        <v>0.23499999999999999</v>
      </c>
      <c r="E10" t="s">
        <v>120</v>
      </c>
      <c r="F10" t="str">
        <f t="shared" si="0"/>
        <v>September-19</v>
      </c>
      <c r="G10" t="s">
        <v>80</v>
      </c>
    </row>
    <row r="11" spans="1:10" hidden="1" x14ac:dyDescent="0.25">
      <c r="A11">
        <f>Data[[#This Row],[Año]]</f>
        <v>2019</v>
      </c>
      <c r="B11" s="21" t="s">
        <v>81</v>
      </c>
      <c r="C11" s="1">
        <f>Data[[#This Row],[Inflacion BCV]]</f>
        <v>0.22600000000000001</v>
      </c>
      <c r="D11" s="1">
        <f>Data[[#This Row],[ Inflación OVF]]</f>
        <v>0.20699999999999999</v>
      </c>
      <c r="E11" t="s">
        <v>121</v>
      </c>
      <c r="F11" t="str">
        <f t="shared" si="0"/>
        <v>October-19</v>
      </c>
      <c r="G11" t="s">
        <v>81</v>
      </c>
    </row>
    <row r="12" spans="1:10" hidden="1" x14ac:dyDescent="0.25">
      <c r="A12">
        <f>Data[[#This Row],[Año]]</f>
        <v>2019</v>
      </c>
      <c r="B12" s="21" t="s">
        <v>82</v>
      </c>
      <c r="C12" s="1">
        <f>Data[[#This Row],[Inflacion BCV]]</f>
        <v>0.25700000000000001</v>
      </c>
      <c r="D12" s="1">
        <f>Data[[#This Row],[ Inflación OVF]]</f>
        <v>0.35</v>
      </c>
      <c r="E12" t="s">
        <v>122</v>
      </c>
      <c r="F12" t="str">
        <f t="shared" si="0"/>
        <v>November-19</v>
      </c>
      <c r="G12" t="s">
        <v>82</v>
      </c>
    </row>
    <row r="13" spans="1:10" hidden="1" x14ac:dyDescent="0.25">
      <c r="A13">
        <f>Data[[#This Row],[Año]]</f>
        <v>2019</v>
      </c>
      <c r="B13" s="21" t="s">
        <v>83</v>
      </c>
      <c r="C13" s="1">
        <f>Data[[#This Row],[Inflacion BCV]]</f>
        <v>0.315</v>
      </c>
      <c r="D13" s="1">
        <f>Data[[#This Row],[ Inflación OVF]]</f>
        <v>0.33100000000000002</v>
      </c>
      <c r="E13" t="s">
        <v>123</v>
      </c>
      <c r="F13" t="str">
        <f t="shared" si="0"/>
        <v>December-19</v>
      </c>
      <c r="G13" t="s">
        <v>83</v>
      </c>
    </row>
    <row r="14" spans="1:10" hidden="1" x14ac:dyDescent="0.25">
      <c r="A14">
        <f>Data[[#This Row],[Año]]</f>
        <v>2020</v>
      </c>
      <c r="B14" s="21" t="s">
        <v>84</v>
      </c>
      <c r="C14" s="1">
        <f>Data[[#This Row],[Inflacion BCV]]</f>
        <v>0.62</v>
      </c>
      <c r="D14" s="1">
        <f>Data[[#This Row],[ Inflación OVF]]</f>
        <v>0.65400000000000003</v>
      </c>
      <c r="E14" t="s">
        <v>112</v>
      </c>
      <c r="F14" t="str">
        <f t="shared" si="0"/>
        <v>January-20</v>
      </c>
      <c r="G14" t="s">
        <v>84</v>
      </c>
    </row>
    <row r="15" spans="1:10" hidden="1" x14ac:dyDescent="0.25">
      <c r="A15">
        <f>Data[[#This Row],[Año]]</f>
        <v>2020</v>
      </c>
      <c r="B15" s="21" t="s">
        <v>85</v>
      </c>
      <c r="C15" s="1">
        <f>Data[[#This Row],[Inflacion BCV]]</f>
        <v>0.22</v>
      </c>
      <c r="D15" s="1">
        <f>Data[[#This Row],[ Inflación OVF]]</f>
        <v>0.22399999999999998</v>
      </c>
      <c r="E15" t="s">
        <v>113</v>
      </c>
      <c r="F15" t="str">
        <f t="shared" si="0"/>
        <v>February-20</v>
      </c>
      <c r="G15" t="s">
        <v>85</v>
      </c>
    </row>
    <row r="16" spans="1:10" hidden="1" x14ac:dyDescent="0.25">
      <c r="A16">
        <f>Data[[#This Row],[Año]]</f>
        <v>2020</v>
      </c>
      <c r="B16" s="21" t="s">
        <v>86</v>
      </c>
      <c r="C16" s="1">
        <f>Data[[#This Row],[Inflacion BCV]]</f>
        <v>0.13</v>
      </c>
      <c r="D16" s="1">
        <f>Data[[#This Row],[ Inflación OVF]]</f>
        <v>0.21199999999999999</v>
      </c>
      <c r="E16" t="s">
        <v>114</v>
      </c>
      <c r="F16" t="str">
        <f t="shared" si="0"/>
        <v>March-20</v>
      </c>
      <c r="G16" t="s">
        <v>86</v>
      </c>
    </row>
    <row r="17" spans="1:7" hidden="1" x14ac:dyDescent="0.25">
      <c r="A17">
        <f>Data[[#This Row],[Año]]</f>
        <v>2020</v>
      </c>
      <c r="B17" s="21" t="s">
        <v>87</v>
      </c>
      <c r="C17" s="1">
        <f>Data[[#This Row],[Inflacion BCV]]</f>
        <v>0.28000000000000003</v>
      </c>
      <c r="D17" s="1">
        <f>Data[[#This Row],[ Inflación OVF]]</f>
        <v>0.8</v>
      </c>
      <c r="E17" t="s">
        <v>115</v>
      </c>
      <c r="F17" t="str">
        <f t="shared" si="0"/>
        <v>April-20</v>
      </c>
      <c r="G17" t="s">
        <v>87</v>
      </c>
    </row>
    <row r="18" spans="1:7" hidden="1" x14ac:dyDescent="0.25">
      <c r="A18">
        <f>Data[[#This Row],[Año]]</f>
        <v>2020</v>
      </c>
      <c r="B18" s="21" t="s">
        <v>88</v>
      </c>
      <c r="C18" s="1">
        <f>Data[[#This Row],[Inflacion BCV]]</f>
        <v>0.39</v>
      </c>
      <c r="D18" s="1">
        <f>Data[[#This Row],[ Inflación OVF]]</f>
        <v>0.153</v>
      </c>
      <c r="E18" t="s">
        <v>116</v>
      </c>
      <c r="F18" t="str">
        <f t="shared" si="0"/>
        <v>May-20</v>
      </c>
      <c r="G18" t="s">
        <v>88</v>
      </c>
    </row>
    <row r="19" spans="1:7" hidden="1" x14ac:dyDescent="0.25">
      <c r="A19">
        <f>Data[[#This Row],[Año]]</f>
        <v>2020</v>
      </c>
      <c r="B19" s="21" t="s">
        <v>89</v>
      </c>
      <c r="C19" s="1">
        <f>Data[[#This Row],[Inflacion BCV]]</f>
        <v>0.25</v>
      </c>
      <c r="D19" s="1">
        <f>Data[[#This Row],[ Inflación OVF]]</f>
        <v>0.19500000000000001</v>
      </c>
      <c r="E19" t="s">
        <v>117</v>
      </c>
      <c r="F19" t="str">
        <f t="shared" si="0"/>
        <v>June-20</v>
      </c>
      <c r="G19" t="s">
        <v>89</v>
      </c>
    </row>
    <row r="20" spans="1:7" hidden="1" x14ac:dyDescent="0.25">
      <c r="A20">
        <f>Data[[#This Row],[Año]]</f>
        <v>2020</v>
      </c>
      <c r="B20" s="21" t="s">
        <v>90</v>
      </c>
      <c r="C20" s="1">
        <f>Data[[#This Row],[Inflacion BCV]]</f>
        <v>0.2</v>
      </c>
      <c r="D20" s="1">
        <f>Data[[#This Row],[ Inflación OVF]]</f>
        <v>0.55049999999999999</v>
      </c>
      <c r="E20" t="s">
        <v>118</v>
      </c>
      <c r="F20" t="str">
        <f t="shared" si="0"/>
        <v>July-20</v>
      </c>
      <c r="G20" t="s">
        <v>90</v>
      </c>
    </row>
    <row r="21" spans="1:7" hidden="1" x14ac:dyDescent="0.25">
      <c r="A21">
        <f>Data[[#This Row],[Año]]</f>
        <v>2020</v>
      </c>
      <c r="B21" s="21" t="s">
        <v>91</v>
      </c>
      <c r="C21" s="1">
        <f>Data[[#This Row],[Inflacion BCV]]</f>
        <v>0.25</v>
      </c>
      <c r="D21" s="1">
        <f>Data[[#This Row],[ Inflación OVF]]</f>
        <v>0.25040000000000001</v>
      </c>
      <c r="E21" t="s">
        <v>119</v>
      </c>
      <c r="F21" t="str">
        <f t="shared" si="0"/>
        <v>August-20</v>
      </c>
      <c r="G21" t="s">
        <v>91</v>
      </c>
    </row>
    <row r="22" spans="1:7" hidden="1" x14ac:dyDescent="0.25">
      <c r="A22">
        <f>Data[[#This Row],[Año]]</f>
        <v>2020</v>
      </c>
      <c r="B22" s="21" t="s">
        <v>92</v>
      </c>
      <c r="C22" s="1">
        <f>Data[[#This Row],[Inflacion BCV]]</f>
        <v>0.28000000000000003</v>
      </c>
      <c r="D22" s="1">
        <f>Data[[#This Row],[ Inflación OVF]]</f>
        <v>0.3004</v>
      </c>
      <c r="E22" t="s">
        <v>120</v>
      </c>
      <c r="F22" t="str">
        <f t="shared" si="0"/>
        <v>September-20</v>
      </c>
      <c r="G22" t="s">
        <v>92</v>
      </c>
    </row>
    <row r="23" spans="1:7" hidden="1" x14ac:dyDescent="0.25">
      <c r="A23">
        <f>Data[[#This Row],[Año]]</f>
        <v>2020</v>
      </c>
      <c r="B23" s="21" t="s">
        <v>93</v>
      </c>
      <c r="C23" s="1">
        <f>Data[[#This Row],[Inflacion BCV]]</f>
        <v>0.31</v>
      </c>
      <c r="D23" s="1">
        <f>Data[[#This Row],[ Inflación OVF]]</f>
        <v>0.23800000000000002</v>
      </c>
      <c r="E23" t="s">
        <v>121</v>
      </c>
      <c r="F23" t="str">
        <f t="shared" si="0"/>
        <v>October-20</v>
      </c>
      <c r="G23" t="s">
        <v>93</v>
      </c>
    </row>
    <row r="24" spans="1:7" hidden="1" x14ac:dyDescent="0.25">
      <c r="A24">
        <f>Data[[#This Row],[Año]]</f>
        <v>2020</v>
      </c>
      <c r="B24" s="21" t="s">
        <v>94</v>
      </c>
      <c r="C24" s="1">
        <f>Data[[#This Row],[Inflacion BCV]]</f>
        <v>0.4</v>
      </c>
      <c r="D24" s="1">
        <f>Data[[#This Row],[ Inflación OVF]]</f>
        <v>0.65700000000000003</v>
      </c>
      <c r="E24" t="s">
        <v>122</v>
      </c>
      <c r="F24" t="str">
        <f t="shared" si="0"/>
        <v>November-20</v>
      </c>
      <c r="G24" t="s">
        <v>94</v>
      </c>
    </row>
    <row r="25" spans="1:7" hidden="1" x14ac:dyDescent="0.25">
      <c r="A25">
        <f>Data[[#This Row],[Año]]</f>
        <v>2020</v>
      </c>
      <c r="B25" s="21" t="s">
        <v>95</v>
      </c>
      <c r="C25" s="1">
        <f>Data[[#This Row],[Inflacion BCV]]</f>
        <v>0.78</v>
      </c>
      <c r="D25" s="1">
        <f>Data[[#This Row],[ Inflación OVF]]</f>
        <v>0.21199999999999999</v>
      </c>
      <c r="E25" t="s">
        <v>123</v>
      </c>
      <c r="F25" t="str">
        <f t="shared" si="0"/>
        <v>December-20</v>
      </c>
      <c r="G25" t="s">
        <v>95</v>
      </c>
    </row>
    <row r="26" spans="1:7" hidden="1" x14ac:dyDescent="0.25">
      <c r="A26">
        <f>Data[[#This Row],[Año]]</f>
        <v>2021</v>
      </c>
      <c r="B26" s="21" t="s">
        <v>96</v>
      </c>
      <c r="C26" s="1">
        <f>Data[[#This Row],[Inflacion BCV]]</f>
        <v>0.46600000000000003</v>
      </c>
      <c r="D26" s="1">
        <f>Data[[#This Row],[ Inflación OVF]]</f>
        <v>0.55100000000000005</v>
      </c>
      <c r="E26" t="s">
        <v>112</v>
      </c>
      <c r="F26" t="str">
        <f t="shared" si="0"/>
        <v>January-21</v>
      </c>
      <c r="G26" t="s">
        <v>96</v>
      </c>
    </row>
    <row r="27" spans="1:7" hidden="1" x14ac:dyDescent="0.25">
      <c r="A27">
        <f>Data[[#This Row],[Año]]</f>
        <v>2021</v>
      </c>
      <c r="B27" s="21" t="s">
        <v>97</v>
      </c>
      <c r="C27" s="1">
        <f>Data[[#This Row],[Inflacion BCV]]</f>
        <v>0.33800000000000002</v>
      </c>
      <c r="D27" s="1">
        <f>Data[[#This Row],[ Inflación OVF]]</f>
        <v>0.50900000000000001</v>
      </c>
      <c r="E27" t="s">
        <v>113</v>
      </c>
      <c r="F27" t="str">
        <f t="shared" si="0"/>
        <v>February-21</v>
      </c>
      <c r="G27" t="s">
        <v>97</v>
      </c>
    </row>
    <row r="28" spans="1:7" hidden="1" x14ac:dyDescent="0.25">
      <c r="A28">
        <f>Data[[#This Row],[Año]]</f>
        <v>2021</v>
      </c>
      <c r="B28" s="21" t="s">
        <v>98</v>
      </c>
      <c r="C28" s="1">
        <f>Data[[#This Row],[Inflacion BCV]]</f>
        <v>0.161</v>
      </c>
      <c r="D28" s="1">
        <f>Data[[#This Row],[ Inflación OVF]]</f>
        <v>9.0999999999999998E-2</v>
      </c>
      <c r="E28" t="s">
        <v>114</v>
      </c>
      <c r="F28" t="str">
        <f t="shared" si="0"/>
        <v>March-21</v>
      </c>
      <c r="G28" t="s">
        <v>98</v>
      </c>
    </row>
    <row r="29" spans="1:7" hidden="1" x14ac:dyDescent="0.25">
      <c r="A29">
        <f>Data[[#This Row],[Año]]</f>
        <v>2021</v>
      </c>
      <c r="B29" s="21" t="s">
        <v>99</v>
      </c>
      <c r="C29" s="1">
        <f>Data[[#This Row],[Inflacion BCV]]</f>
        <v>0.246</v>
      </c>
      <c r="D29" s="1">
        <f>Data[[#This Row],[ Inflación OVF]]</f>
        <v>0.33399999999999996</v>
      </c>
      <c r="E29" t="s">
        <v>115</v>
      </c>
      <c r="F29" t="str">
        <f t="shared" si="0"/>
        <v>April-21</v>
      </c>
      <c r="G29" t="s">
        <v>99</v>
      </c>
    </row>
    <row r="30" spans="1:7" hidden="1" x14ac:dyDescent="0.25">
      <c r="A30">
        <f>Data[[#This Row],[Año]]</f>
        <v>2021</v>
      </c>
      <c r="B30" s="21" t="s">
        <v>100</v>
      </c>
      <c r="C30" s="1">
        <f>Data[[#This Row],[Inflacion BCV]]</f>
        <v>0.28499999999999998</v>
      </c>
      <c r="D30" s="1">
        <f>Data[[#This Row],[ Inflación OVF]]</f>
        <v>0.19600000000000001</v>
      </c>
      <c r="E30" t="s">
        <v>116</v>
      </c>
      <c r="F30" t="str">
        <f t="shared" si="0"/>
        <v>May-21</v>
      </c>
      <c r="G30" t="s">
        <v>100</v>
      </c>
    </row>
    <row r="31" spans="1:7" hidden="1" x14ac:dyDescent="0.25">
      <c r="A31">
        <f>Data[[#This Row],[Año]]</f>
        <v>2021</v>
      </c>
      <c r="B31" s="21" t="s">
        <v>101</v>
      </c>
      <c r="C31" s="1">
        <f>Data[[#This Row],[Inflacion BCV]]</f>
        <v>0.157</v>
      </c>
      <c r="D31" s="1">
        <f>Data[[#This Row],[ Inflación OVF]]</f>
        <v>6.4000000000000001E-2</v>
      </c>
      <c r="E31" t="s">
        <v>117</v>
      </c>
      <c r="F31" t="str">
        <f t="shared" si="0"/>
        <v>June-21</v>
      </c>
      <c r="G31" t="s">
        <v>101</v>
      </c>
    </row>
    <row r="32" spans="1:7" hidden="1" x14ac:dyDescent="0.25">
      <c r="A32">
        <f>Data[[#This Row],[Año]]</f>
        <v>2021</v>
      </c>
      <c r="B32" s="21" t="s">
        <v>102</v>
      </c>
      <c r="C32" s="1">
        <f>Data[[#This Row],[Inflacion BCV]]</f>
        <v>0.16700000000000001</v>
      </c>
      <c r="D32" s="1">
        <f>Data[[#This Row],[ Inflación OVF]]</f>
        <v>0.19</v>
      </c>
      <c r="E32" t="s">
        <v>118</v>
      </c>
      <c r="F32" t="str">
        <f t="shared" si="0"/>
        <v>July-21</v>
      </c>
      <c r="G32" t="s">
        <v>102</v>
      </c>
    </row>
    <row r="33" spans="1:10" hidden="1" x14ac:dyDescent="0.25">
      <c r="A33">
        <f>Data[[#This Row],[Año]]</f>
        <v>2021</v>
      </c>
      <c r="B33" s="21" t="s">
        <v>103</v>
      </c>
      <c r="C33" s="1">
        <f>Data[[#This Row],[Inflacion BCV]]</f>
        <v>0.19800000000000001</v>
      </c>
      <c r="D33" s="1">
        <f>Data[[#This Row],[ Inflación OVF]]</f>
        <v>0.106</v>
      </c>
      <c r="E33" t="s">
        <v>119</v>
      </c>
      <c r="F33" t="str">
        <f t="shared" si="0"/>
        <v>August-21</v>
      </c>
      <c r="G33" t="s">
        <v>103</v>
      </c>
    </row>
    <row r="34" spans="1:10" hidden="1" x14ac:dyDescent="0.25">
      <c r="A34">
        <f>Data[[#This Row],[Año]]</f>
        <v>2021</v>
      </c>
      <c r="B34" s="21" t="s">
        <v>104</v>
      </c>
      <c r="C34" s="1">
        <f>Data[[#This Row],[Inflacion BCV]]</f>
        <v>7.0999999999999994E-2</v>
      </c>
      <c r="D34" s="1">
        <f>Data[[#This Row],[ Inflación OVF]]</f>
        <v>9.7000000000000003E-2</v>
      </c>
      <c r="E34" t="s">
        <v>120</v>
      </c>
      <c r="F34" t="str">
        <f t="shared" si="0"/>
        <v>September-21</v>
      </c>
      <c r="G34" t="s">
        <v>104</v>
      </c>
    </row>
    <row r="35" spans="1:10" hidden="1" x14ac:dyDescent="0.25">
      <c r="A35">
        <f>Data[[#This Row],[Año]]</f>
        <v>2021</v>
      </c>
      <c r="B35" s="21" t="s">
        <v>105</v>
      </c>
      <c r="C35" s="1">
        <f>Data[[#This Row],[Inflacion BCV]]</f>
        <v>6.8000000000000005E-2</v>
      </c>
      <c r="D35" s="1">
        <f>Data[[#This Row],[ Inflación OVF]]</f>
        <v>8.1000000000000003E-2</v>
      </c>
      <c r="E35" t="s">
        <v>121</v>
      </c>
      <c r="F35" t="str">
        <f t="shared" si="0"/>
        <v>October-21</v>
      </c>
      <c r="G35" t="s">
        <v>105</v>
      </c>
    </row>
    <row r="36" spans="1:10" hidden="1" x14ac:dyDescent="0.25">
      <c r="A36">
        <f>Data[[#This Row],[Año]]</f>
        <v>2021</v>
      </c>
      <c r="B36" s="21" t="s">
        <v>106</v>
      </c>
      <c r="C36" s="1">
        <f>Data[[#This Row],[Inflacion BCV]]</f>
        <v>8.4000000000000005E-2</v>
      </c>
      <c r="D36" s="1">
        <f>Data[[#This Row],[ Inflación OVF]]</f>
        <v>0.06</v>
      </c>
      <c r="E36" t="s">
        <v>122</v>
      </c>
      <c r="F36" t="str">
        <f t="shared" si="0"/>
        <v>November-21</v>
      </c>
      <c r="G36" t="s">
        <v>106</v>
      </c>
    </row>
    <row r="37" spans="1:10" hidden="1" x14ac:dyDescent="0.25">
      <c r="A37">
        <f>Data[[#This Row],[Año]]</f>
        <v>2021</v>
      </c>
      <c r="B37" s="21" t="s">
        <v>107</v>
      </c>
      <c r="C37" s="1">
        <f>Data[[#This Row],[Inflacion BCV]]</f>
        <v>7.5999999999999998E-2</v>
      </c>
      <c r="D37" s="1">
        <f>Data[[#This Row],[ Inflación OVF]]</f>
        <v>0.06</v>
      </c>
      <c r="E37" t="s">
        <v>123</v>
      </c>
      <c r="F37" t="str">
        <f t="shared" si="0"/>
        <v>December-21</v>
      </c>
      <c r="G37" t="s">
        <v>107</v>
      </c>
    </row>
    <row r="38" spans="1:10" x14ac:dyDescent="0.25">
      <c r="A38">
        <f>Data[[#This Row],[Año]]</f>
        <v>2022</v>
      </c>
      <c r="B38" s="21">
        <v>44562</v>
      </c>
      <c r="C38" s="1">
        <f>Data[[#This Row],[Inflacion BCV]]</f>
        <v>6.7000000000000004E-2</v>
      </c>
      <c r="D38" s="1">
        <f>Data[[#This Row],[ Inflación OVF]]</f>
        <v>4.8000000000000001E-2</v>
      </c>
      <c r="E38" t="s">
        <v>130</v>
      </c>
      <c r="F38" t="str">
        <f>TRIM(LEFT(E38,3)&amp;"-"&amp;RIGHT(A38,2))</f>
        <v>jan-22</v>
      </c>
      <c r="G38" s="21">
        <v>44562</v>
      </c>
      <c r="H38" t="str">
        <f>LEFT(F38,3)&amp;"-"&amp;RIGHT(G38,2)</f>
        <v>jan-62</v>
      </c>
      <c r="I38" s="2">
        <f>(C38+1)*(C39+1)*(C40+1)-1</f>
        <v>0.11331420199999998</v>
      </c>
    </row>
    <row r="39" spans="1:10" x14ac:dyDescent="0.25">
      <c r="A39">
        <f>Data[[#This Row],[Año]]</f>
        <v>2022</v>
      </c>
      <c r="B39" s="21">
        <v>44593</v>
      </c>
      <c r="C39" s="1">
        <f>Data[[#This Row],[Inflacion BCV]]</f>
        <v>2.9000000000000001E-2</v>
      </c>
      <c r="D39" s="1">
        <f>Data[[#This Row],[ Inflación OVF]]</f>
        <v>1.7000000000000001E-2</v>
      </c>
      <c r="E39" t="s">
        <v>131</v>
      </c>
      <c r="F39" t="str">
        <f t="shared" ref="F39:F77" si="1">TRIM(LEFT(E39,3)&amp;"-"&amp;RIGHT(A39,2))</f>
        <v>feb-22</v>
      </c>
      <c r="G39" s="21">
        <v>44593</v>
      </c>
      <c r="H39" t="str">
        <f t="shared" ref="H39:H56" si="2">LEFT(F39,3)&amp;"-"&amp;RIGHT(G39,2)</f>
        <v>feb-93</v>
      </c>
    </row>
    <row r="40" spans="1:10" x14ac:dyDescent="0.25">
      <c r="A40">
        <f>Data[[#This Row],[Año]]</f>
        <v>2022</v>
      </c>
      <c r="B40" s="21">
        <v>44621</v>
      </c>
      <c r="C40" s="1">
        <f>Data[[#This Row],[Inflacion BCV]]</f>
        <v>1.4E-2</v>
      </c>
      <c r="D40" s="1">
        <f>Data[[#This Row],[ Inflación OVF]]</f>
        <v>0.105</v>
      </c>
      <c r="E40" t="s">
        <v>132</v>
      </c>
      <c r="F40" t="str">
        <f t="shared" si="1"/>
        <v>mar-22</v>
      </c>
      <c r="G40" s="21">
        <v>44621</v>
      </c>
      <c r="H40" t="str">
        <f t="shared" si="2"/>
        <v>mar-21</v>
      </c>
      <c r="J40" s="21"/>
    </row>
    <row r="41" spans="1:10" x14ac:dyDescent="0.25">
      <c r="A41">
        <f>Data[[#This Row],[Año]]</f>
        <v>2022</v>
      </c>
      <c r="B41" s="21">
        <v>44652</v>
      </c>
      <c r="C41" s="1">
        <f>Data[[#This Row],[Inflacion BCV]]</f>
        <v>4.3999999999999997E-2</v>
      </c>
      <c r="D41" s="1">
        <f>Data[[#This Row],[ Inflación OVF]]</f>
        <v>3.5999999999999997E-2</v>
      </c>
      <c r="E41" t="s">
        <v>133</v>
      </c>
      <c r="F41" t="str">
        <f t="shared" si="1"/>
        <v>apr-22</v>
      </c>
      <c r="G41" s="21">
        <v>44652</v>
      </c>
      <c r="H41" t="str">
        <f t="shared" si="2"/>
        <v>apr-52</v>
      </c>
      <c r="I41" s="2">
        <f>(C41+1)*(C42+1)*(C43+1)-1</f>
        <v>0.23861204000000025</v>
      </c>
    </row>
    <row r="42" spans="1:10" x14ac:dyDescent="0.25">
      <c r="A42">
        <f>Data[[#This Row],[Año]]</f>
        <v>2022</v>
      </c>
      <c r="B42" s="21">
        <v>44682</v>
      </c>
      <c r="C42" s="1">
        <f>Data[[#This Row],[Inflacion BCV]]</f>
        <v>6.5000000000000002E-2</v>
      </c>
      <c r="D42" s="1">
        <f>Data[[#This Row],[ Inflación OVF]]</f>
        <v>0.10100000000000001</v>
      </c>
      <c r="E42" t="s">
        <v>134</v>
      </c>
      <c r="F42" t="str">
        <f t="shared" si="1"/>
        <v>may-22</v>
      </c>
      <c r="G42" s="21">
        <v>44682</v>
      </c>
      <c r="H42" t="str">
        <f t="shared" si="2"/>
        <v>may-82</v>
      </c>
    </row>
    <row r="43" spans="1:10" x14ac:dyDescent="0.25">
      <c r="A43">
        <f>Data[[#This Row],[Año]]</f>
        <v>2022</v>
      </c>
      <c r="B43" s="21">
        <v>44713</v>
      </c>
      <c r="C43" s="1">
        <f>Data[[#This Row],[Inflacion BCV]]</f>
        <v>0.114</v>
      </c>
      <c r="D43" s="1">
        <f>Data[[#This Row],[ Inflación OVF]]</f>
        <v>0.14499999999999999</v>
      </c>
      <c r="E43" t="s">
        <v>135</v>
      </c>
      <c r="F43" t="str">
        <f t="shared" si="1"/>
        <v>jun-22</v>
      </c>
      <c r="G43" s="21">
        <v>44713</v>
      </c>
      <c r="H43" t="str">
        <f t="shared" si="2"/>
        <v>jun-13</v>
      </c>
    </row>
    <row r="44" spans="1:10" x14ac:dyDescent="0.25">
      <c r="A44">
        <f>Data[[#This Row],[Año]]</f>
        <v>2022</v>
      </c>
      <c r="B44" s="21">
        <v>44743</v>
      </c>
      <c r="C44" s="1">
        <f>Data[[#This Row],[Inflacion BCV]]</f>
        <v>7.4999999999999997E-2</v>
      </c>
      <c r="D44" s="1">
        <f>Data[[#This Row],[ Inflación OVF]]</f>
        <v>5.2999999999999999E-2</v>
      </c>
      <c r="E44" t="s">
        <v>136</v>
      </c>
      <c r="F44" t="str">
        <f t="shared" si="1"/>
        <v>jul-22</v>
      </c>
      <c r="G44" s="21">
        <v>44743</v>
      </c>
      <c r="H44" t="str">
        <f t="shared" si="2"/>
        <v>jul-43</v>
      </c>
      <c r="I44" s="2">
        <f>(C44+1)*(C45+1)*(C46+1)-1</f>
        <v>0.49697405000000017</v>
      </c>
    </row>
    <row r="45" spans="1:10" x14ac:dyDescent="0.25">
      <c r="A45">
        <f>Data[[#This Row],[Año]]</f>
        <v>2022</v>
      </c>
      <c r="B45" s="21">
        <v>44774</v>
      </c>
      <c r="C45" s="1">
        <f>Data[[#This Row],[Inflacion BCV]]</f>
        <v>8.2000000000000003E-2</v>
      </c>
      <c r="D45" s="1">
        <f>Data[[#This Row],[ Inflación OVF]]</f>
        <v>0.17</v>
      </c>
      <c r="E45" t="s">
        <v>137</v>
      </c>
      <c r="F45" t="str">
        <f t="shared" si="1"/>
        <v>aug-22</v>
      </c>
      <c r="G45" s="21">
        <v>44774</v>
      </c>
      <c r="H45" t="str">
        <f t="shared" si="2"/>
        <v>aug-74</v>
      </c>
    </row>
    <row r="46" spans="1:10" x14ac:dyDescent="0.25">
      <c r="A46">
        <f>Data[[#This Row],[Año]]</f>
        <v>2022</v>
      </c>
      <c r="B46" s="21">
        <v>44805</v>
      </c>
      <c r="C46" s="1">
        <f>Data[[#This Row],[Inflacion BCV]]</f>
        <v>0.28699999999999998</v>
      </c>
      <c r="D46" s="1">
        <f>Data[[#This Row],[ Inflación OVF]]</f>
        <v>0.115</v>
      </c>
      <c r="E46" t="s">
        <v>138</v>
      </c>
      <c r="F46" t="str">
        <f t="shared" si="1"/>
        <v>sep-22</v>
      </c>
      <c r="G46" s="21">
        <v>44805</v>
      </c>
      <c r="H46" t="str">
        <f t="shared" si="2"/>
        <v>sep-05</v>
      </c>
    </row>
    <row r="47" spans="1:10" x14ac:dyDescent="0.25">
      <c r="A47">
        <f>Data[[#This Row],[Año]]</f>
        <v>2022</v>
      </c>
      <c r="B47" s="21">
        <v>44835</v>
      </c>
      <c r="C47" s="1">
        <f>Data[[#This Row],[Inflacion BCV]]</f>
        <v>6.2E-2</v>
      </c>
      <c r="D47" s="1">
        <f>Data[[#This Row],[ Inflación OVF]]</f>
        <v>0.14499999999999999</v>
      </c>
      <c r="E47" t="s">
        <v>139</v>
      </c>
      <c r="F47" t="str">
        <f t="shared" si="1"/>
        <v>oct-22</v>
      </c>
      <c r="G47" s="21">
        <v>44835</v>
      </c>
      <c r="H47" t="str">
        <f t="shared" si="2"/>
        <v>oct-35</v>
      </c>
      <c r="I47" s="2">
        <f>(C47+1)*(C48+1)*(C49+1)-1</f>
        <v>0.61735888160000019</v>
      </c>
    </row>
    <row r="48" spans="1:10" x14ac:dyDescent="0.25">
      <c r="A48">
        <f>Data[[#This Row],[Año]]</f>
        <v>2022</v>
      </c>
      <c r="B48" s="21">
        <v>44866</v>
      </c>
      <c r="C48" s="1">
        <f>Data[[#This Row],[Inflacion BCV]]</f>
        <v>0.12559999999999999</v>
      </c>
      <c r="D48" s="1">
        <f>Data[[#This Row],[ Inflación OVF]]</f>
        <v>0.22</v>
      </c>
      <c r="E48" t="s">
        <v>140</v>
      </c>
      <c r="F48" t="str">
        <f t="shared" si="1"/>
        <v>nov-22</v>
      </c>
      <c r="G48" s="21">
        <v>44866</v>
      </c>
      <c r="H48" t="str">
        <f t="shared" si="2"/>
        <v>nov-66</v>
      </c>
    </row>
    <row r="49" spans="1:11" x14ac:dyDescent="0.25">
      <c r="A49">
        <f>Data[[#This Row],[Año]]</f>
        <v>2022</v>
      </c>
      <c r="B49" s="21">
        <v>44896</v>
      </c>
      <c r="C49" s="1">
        <f>Data[[#This Row],[Inflacion BCV]]</f>
        <v>0.35299999999999998</v>
      </c>
      <c r="D49" s="1">
        <f>Data[[#This Row],[ Inflación OVF]]</f>
        <v>0.372</v>
      </c>
      <c r="E49" t="s">
        <v>141</v>
      </c>
      <c r="F49" t="str">
        <f t="shared" si="1"/>
        <v>dec-22</v>
      </c>
      <c r="G49" s="21">
        <v>44896</v>
      </c>
      <c r="H49" t="str">
        <f t="shared" si="2"/>
        <v>dec-96</v>
      </c>
    </row>
    <row r="50" spans="1:11" x14ac:dyDescent="0.25">
      <c r="A50">
        <f>Data[[#This Row],[Año]]</f>
        <v>2023</v>
      </c>
      <c r="B50" s="21">
        <v>44927</v>
      </c>
      <c r="C50" s="49">
        <f>Data[[#This Row],[Inflacion BCV]]</f>
        <v>0.4214</v>
      </c>
      <c r="D50" s="1">
        <f>Data[[#This Row],[ Inflación OVF]]</f>
        <v>0.39400000000000002</v>
      </c>
      <c r="E50" t="s">
        <v>130</v>
      </c>
      <c r="F50" t="str">
        <f t="shared" si="1"/>
        <v>jan-23</v>
      </c>
      <c r="G50" s="21">
        <v>44927</v>
      </c>
      <c r="H50" t="str">
        <f t="shared" si="2"/>
        <v>jan-27</v>
      </c>
      <c r="I50" s="2">
        <f>(C50+1)*(C51+1)*(C52+1)-1</f>
        <v>0.79900016917999994</v>
      </c>
      <c r="J50" s="1">
        <v>0.27025462962962954</v>
      </c>
      <c r="K50" s="2">
        <f>(J50+1)*(J51+1)*(J52+1)-1</f>
        <v>0.41666666666666674</v>
      </c>
    </row>
    <row r="51" spans="1:11" x14ac:dyDescent="0.25">
      <c r="A51">
        <f>Data[[#This Row],[Año]]</f>
        <v>2023</v>
      </c>
      <c r="B51" s="21">
        <v>44958</v>
      </c>
      <c r="C51" s="49">
        <f>Data[[#This Row],[Inflacion BCV]]</f>
        <v>0.193</v>
      </c>
      <c r="D51" s="1">
        <f>Data[[#This Row],[ Inflación OVF]]</f>
        <v>0.154</v>
      </c>
      <c r="E51" t="s">
        <v>131</v>
      </c>
      <c r="F51" t="str">
        <f t="shared" si="1"/>
        <v>feb-23</v>
      </c>
      <c r="G51" s="21">
        <v>44958</v>
      </c>
      <c r="H51" t="str">
        <f t="shared" si="2"/>
        <v>feb-58</v>
      </c>
      <c r="J51" s="1">
        <v>0.10979498861047832</v>
      </c>
    </row>
    <row r="52" spans="1:11" x14ac:dyDescent="0.25">
      <c r="A52">
        <f>Data[[#This Row],[Año]]</f>
        <v>2023</v>
      </c>
      <c r="B52" s="21">
        <v>44986</v>
      </c>
      <c r="C52" s="49">
        <f>Data[[#This Row],[Inflacion BCV]]</f>
        <v>6.0900000000000003E-2</v>
      </c>
      <c r="D52" s="1">
        <f>Data[[#This Row],[ Inflación OVF]]</f>
        <v>4.2000000000000003E-2</v>
      </c>
      <c r="E52" t="s">
        <v>132</v>
      </c>
      <c r="F52" t="str">
        <f t="shared" si="1"/>
        <v>mar-23</v>
      </c>
      <c r="G52" s="21">
        <v>44986</v>
      </c>
      <c r="H52" t="str">
        <f t="shared" si="2"/>
        <v>mar-86</v>
      </c>
      <c r="J52" s="1">
        <v>4.9261083743843415E-3</v>
      </c>
    </row>
    <row r="53" spans="1:11" x14ac:dyDescent="0.25">
      <c r="A53">
        <f>Data[[#This Row],[Año]]</f>
        <v>2023</v>
      </c>
      <c r="B53" s="21">
        <v>45017</v>
      </c>
      <c r="C53" s="49">
        <f>Data[[#This Row],[Inflacion BCV]]</f>
        <v>3.7999999999999999E-2</v>
      </c>
      <c r="D53" s="1">
        <f>Data[[#This Row],[ Inflación OVF]]</f>
        <v>2.5000000000000001E-2</v>
      </c>
      <c r="E53" t="s">
        <v>133</v>
      </c>
      <c r="F53" t="str">
        <f t="shared" si="1"/>
        <v>apr-23</v>
      </c>
      <c r="G53" s="21">
        <v>45017</v>
      </c>
      <c r="H53" t="str">
        <f t="shared" si="2"/>
        <v>apr-17</v>
      </c>
      <c r="I53" s="2">
        <f>(C53+1)*(C54+1)*(C55+1)-1</f>
        <v>0.15857615600000008</v>
      </c>
      <c r="J53" s="1">
        <v>1.1029411764705843E-2</v>
      </c>
      <c r="K53" s="2">
        <f>(J53+1)*(J54+1)*(J55+1)-1</f>
        <v>0.13766339869281041</v>
      </c>
    </row>
    <row r="54" spans="1:11" x14ac:dyDescent="0.25">
      <c r="A54">
        <f>Data[[#This Row],[Año]]</f>
        <v>2023</v>
      </c>
      <c r="B54" s="21">
        <v>45047</v>
      </c>
      <c r="C54" s="49">
        <f>Data[[#This Row],[Inflacion BCV]]</f>
        <v>5.0999999999999997E-2</v>
      </c>
      <c r="D54" s="1">
        <f>Data[[#This Row],[ Inflación OVF]]</f>
        <v>7.5999999999999998E-2</v>
      </c>
      <c r="E54" t="s">
        <v>134</v>
      </c>
      <c r="F54" t="str">
        <f t="shared" si="1"/>
        <v>may-23</v>
      </c>
      <c r="G54" s="21">
        <v>45047</v>
      </c>
      <c r="H54" t="str">
        <f t="shared" si="2"/>
        <v>may-47</v>
      </c>
      <c r="J54" s="1">
        <v>5.6969696969696892E-2</v>
      </c>
    </row>
    <row r="55" spans="1:11" x14ac:dyDescent="0.25">
      <c r="A55">
        <f>Data[[#This Row],[Año]]</f>
        <v>2023</v>
      </c>
      <c r="B55" s="21">
        <v>45078</v>
      </c>
      <c r="C55" s="49">
        <f>Data[[#This Row],[Inflacion BCV]]</f>
        <v>6.2E-2</v>
      </c>
      <c r="D55" s="1">
        <f>Data[[#This Row],[ Inflación OVF]]</f>
        <v>8.5000000000000006E-2</v>
      </c>
      <c r="E55" t="s">
        <v>135</v>
      </c>
      <c r="F55" t="str">
        <f t="shared" si="1"/>
        <v>jun-23</v>
      </c>
      <c r="G55" s="21">
        <v>45078</v>
      </c>
      <c r="H55" t="str">
        <f t="shared" si="2"/>
        <v>jun-78</v>
      </c>
      <c r="J55" s="1">
        <v>6.4602446483180476E-2</v>
      </c>
    </row>
    <row r="56" spans="1:11" x14ac:dyDescent="0.25">
      <c r="A56">
        <f>Data[[#This Row],[Año]]</f>
        <v>2023</v>
      </c>
      <c r="B56" s="21">
        <v>45108</v>
      </c>
      <c r="C56" s="49">
        <f>Data[[#This Row],[Inflacion BCV]]</f>
        <v>6.2E-2</v>
      </c>
      <c r="D56" s="1">
        <f>Data[[#This Row],[ Inflación OVF]]</f>
        <v>7.1999999999999995E-2</v>
      </c>
      <c r="E56" t="s">
        <v>136</v>
      </c>
      <c r="F56" t="str">
        <f t="shared" si="1"/>
        <v>jul-23</v>
      </c>
      <c r="G56" s="21">
        <v>45108</v>
      </c>
      <c r="H56" t="str">
        <f t="shared" si="2"/>
        <v>jul-08</v>
      </c>
      <c r="I56" s="2">
        <f>(C56+1)*(C57+1)*(C58+1)-1</f>
        <v>0.23981915600000003</v>
      </c>
      <c r="J56" s="1">
        <v>5.2064631956912022E-2</v>
      </c>
      <c r="K56" s="2">
        <f>(J56+1)*(J57+1)*(J58+1)-1</f>
        <v>0.22980251346499103</v>
      </c>
    </row>
    <row r="57" spans="1:11" x14ac:dyDescent="0.25">
      <c r="A57">
        <f>Data[[#This Row],[Año]]</f>
        <v>2023</v>
      </c>
      <c r="B57" s="21">
        <v>45139</v>
      </c>
      <c r="C57" s="49">
        <f>Data[[#This Row],[Inflacion BCV]]</f>
        <v>7.3999999999999996E-2</v>
      </c>
      <c r="D57" s="1">
        <f>Data[[#This Row],[ Inflación OVF]]</f>
        <v>0.13600000000000001</v>
      </c>
      <c r="E57" t="s">
        <v>137</v>
      </c>
      <c r="F57" t="str">
        <f t="shared" si="1"/>
        <v>aug-23</v>
      </c>
      <c r="G57" s="21">
        <v>45139</v>
      </c>
      <c r="J57" s="1">
        <v>0.1067713310580205</v>
      </c>
    </row>
    <row r="58" spans="1:11" x14ac:dyDescent="0.25">
      <c r="A58">
        <f>Data[[#This Row],[Año]]</f>
        <v>2023</v>
      </c>
      <c r="B58" s="21">
        <v>45170</v>
      </c>
      <c r="C58" s="49">
        <f>Data[[#This Row],[Inflacion BCV]]</f>
        <v>8.6999999999999994E-2</v>
      </c>
      <c r="D58" s="1">
        <f>Data[[#This Row],[ Inflación OVF]]</f>
        <v>0.06</v>
      </c>
      <c r="E58" t="s">
        <v>138</v>
      </c>
      <c r="F58" t="str">
        <f t="shared" si="1"/>
        <v>sep-23</v>
      </c>
      <c r="G58" s="21">
        <v>45170</v>
      </c>
      <c r="J58" s="1">
        <v>5.617298417436567E-2</v>
      </c>
    </row>
    <row r="59" spans="1:11" x14ac:dyDescent="0.25">
      <c r="A59">
        <f>Data[[#This Row],[Año]]</f>
        <v>2023</v>
      </c>
      <c r="B59" s="21">
        <v>45200</v>
      </c>
      <c r="C59" s="49">
        <f>Data[[#This Row],[Inflacion BCV]]</f>
        <v>5.8999999999999997E-2</v>
      </c>
      <c r="D59" s="1">
        <f>Data[[#This Row],[ Inflación OVF]]</f>
        <v>6.7000000000000004E-2</v>
      </c>
      <c r="E59" t="s">
        <v>139</v>
      </c>
      <c r="F59" t="str">
        <f t="shared" si="1"/>
        <v>oct-23</v>
      </c>
      <c r="G59" s="21">
        <v>45200</v>
      </c>
    </row>
    <row r="60" spans="1:11" x14ac:dyDescent="0.25">
      <c r="A60">
        <f>Data[[#This Row],[Año]]</f>
        <v>2023</v>
      </c>
      <c r="B60" s="21">
        <v>45231</v>
      </c>
      <c r="C60" s="49">
        <f>Data[[#This Row],[Inflacion BCV]]</f>
        <v>3.5000000000000003E-2</v>
      </c>
      <c r="D60" s="1">
        <f>Data[[#This Row],[ Inflación OVF]]</f>
        <v>1.7999999999999999E-2</v>
      </c>
      <c r="E60" t="s">
        <v>140</v>
      </c>
      <c r="F60" t="str">
        <f t="shared" si="1"/>
        <v>nov-23</v>
      </c>
      <c r="G60" s="21">
        <v>45231</v>
      </c>
    </row>
    <row r="61" spans="1:11" x14ac:dyDescent="0.25">
      <c r="A61">
        <f>Data[[#This Row],[Año]]</f>
        <v>2023</v>
      </c>
      <c r="B61" s="21">
        <v>45261</v>
      </c>
      <c r="C61" s="49">
        <f>Data[[#This Row],[Inflacion BCV]]</f>
        <v>2.4E-2</v>
      </c>
      <c r="D61" s="1">
        <f>Data[[#This Row],[ Inflación OVF]]</f>
        <v>3.9E-2</v>
      </c>
      <c r="E61" t="s">
        <v>141</v>
      </c>
      <c r="F61" t="str">
        <f t="shared" si="1"/>
        <v>dec-23</v>
      </c>
      <c r="G61" s="21">
        <v>45261</v>
      </c>
    </row>
    <row r="62" spans="1:11" x14ac:dyDescent="0.25">
      <c r="A62">
        <v>2024</v>
      </c>
      <c r="B62" s="21">
        <v>45292</v>
      </c>
      <c r="C62" s="50">
        <f>Data[[#This Row],[Inflacion BCV]]</f>
        <v>1.7000000000000001E-2</v>
      </c>
      <c r="D62" s="49">
        <f>Data[[#This Row],[ Inflación OVF]]</f>
        <v>4.2000000000000003E-2</v>
      </c>
      <c r="E62" t="s">
        <v>130</v>
      </c>
      <c r="F62" t="str">
        <f t="shared" si="1"/>
        <v>jan-24</v>
      </c>
      <c r="G62" s="21">
        <v>45292</v>
      </c>
    </row>
    <row r="63" spans="1:11" x14ac:dyDescent="0.25">
      <c r="A63">
        <v>2024</v>
      </c>
      <c r="B63" s="21">
        <v>45323</v>
      </c>
      <c r="C63" s="50">
        <f>Data[[#This Row],[Inflacion BCV]]</f>
        <v>1.2E-2</v>
      </c>
      <c r="D63" s="49">
        <f>Data[[#This Row],[ Inflación OVF]]</f>
        <v>-5.0000000000000001E-3</v>
      </c>
      <c r="E63" t="s">
        <v>131</v>
      </c>
      <c r="F63" t="str">
        <f t="shared" si="1"/>
        <v>feb-24</v>
      </c>
      <c r="G63" s="21">
        <v>45323</v>
      </c>
    </row>
    <row r="64" spans="1:11" x14ac:dyDescent="0.25">
      <c r="A64">
        <v>2024</v>
      </c>
      <c r="B64" s="21">
        <v>45352</v>
      </c>
      <c r="C64" s="50">
        <f>Data[[#This Row],[Inflacion BCV]]</f>
        <v>1.2E-2</v>
      </c>
      <c r="D64" s="49">
        <f>Data[[#This Row],[ Inflación OVF]]</f>
        <v>3.9E-2</v>
      </c>
      <c r="E64" t="s">
        <v>132</v>
      </c>
      <c r="F64" t="str">
        <f t="shared" si="1"/>
        <v>mar-24</v>
      </c>
    </row>
    <row r="65" spans="1:6" x14ac:dyDescent="0.25">
      <c r="A65">
        <v>2024</v>
      </c>
      <c r="B65" s="21">
        <v>45383</v>
      </c>
      <c r="C65" s="50">
        <f>Data[[#This Row],[Inflacion BCV]]</f>
        <v>0.02</v>
      </c>
      <c r="D65" s="49">
        <f>Data[[#This Row],[ Inflación OVF]]</f>
        <v>2.9000000000000001E-2</v>
      </c>
      <c r="E65" t="s">
        <v>133</v>
      </c>
      <c r="F65" t="str">
        <f t="shared" si="1"/>
        <v>apr-24</v>
      </c>
    </row>
    <row r="66" spans="1:6" x14ac:dyDescent="0.25">
      <c r="A66">
        <v>2024</v>
      </c>
      <c r="B66" s="21">
        <v>45413</v>
      </c>
      <c r="C66" s="50">
        <f>Data[[#This Row],[Inflacion BCV]]</f>
        <v>1.4999999999999999E-2</v>
      </c>
      <c r="D66" s="49">
        <f>Data[[#This Row],[ Inflación OVF]]</f>
        <v>3.9E-2</v>
      </c>
      <c r="E66" t="s">
        <v>134</v>
      </c>
      <c r="F66" t="str">
        <f t="shared" si="1"/>
        <v>may-24</v>
      </c>
    </row>
    <row r="67" spans="1:6" x14ac:dyDescent="0.25">
      <c r="A67">
        <v>2024</v>
      </c>
      <c r="B67" s="21">
        <v>45444</v>
      </c>
      <c r="C67" s="50">
        <f>Data[[#This Row],[Inflacion BCV]]</f>
        <v>0.01</v>
      </c>
      <c r="D67" s="49">
        <f>Data[[#This Row],[ Inflación OVF]]</f>
        <v>2.4E-2</v>
      </c>
      <c r="E67" t="s">
        <v>135</v>
      </c>
      <c r="F67" t="str">
        <f t="shared" si="1"/>
        <v>jun-24</v>
      </c>
    </row>
    <row r="68" spans="1:6" x14ac:dyDescent="0.25">
      <c r="A68">
        <v>2024</v>
      </c>
      <c r="B68" s="21">
        <v>45474</v>
      </c>
      <c r="C68" s="50">
        <f>Data[[#This Row],[Inflacion BCV]]</f>
        <v>7.0000000000000001E-3</v>
      </c>
      <c r="D68" s="49">
        <f>Data[[#This Row],[ Inflación OVF]]</f>
        <v>0.04</v>
      </c>
      <c r="E68" t="s">
        <v>136</v>
      </c>
      <c r="F68" t="str">
        <f t="shared" si="1"/>
        <v>jul-24</v>
      </c>
    </row>
    <row r="69" spans="1:6" x14ac:dyDescent="0.25">
      <c r="A69">
        <v>2024</v>
      </c>
      <c r="B69" s="21">
        <v>45505</v>
      </c>
      <c r="C69" s="50">
        <f>Data[[#This Row],[Inflacion BCV]]</f>
        <v>1.4E-2</v>
      </c>
      <c r="D69" s="49">
        <f>Data[[#This Row],[ Inflación OVF]]</f>
        <v>2.8000000000000001E-2</v>
      </c>
      <c r="E69" t="s">
        <v>137</v>
      </c>
      <c r="F69" t="str">
        <f t="shared" si="1"/>
        <v>aug-24</v>
      </c>
    </row>
    <row r="70" spans="1:6" x14ac:dyDescent="0.25">
      <c r="A70">
        <v>2024</v>
      </c>
      <c r="B70" s="21">
        <v>45536</v>
      </c>
      <c r="C70" s="50">
        <f>Data[[#This Row],[Inflacion BCV]]</f>
        <v>8.0000000000000002E-3</v>
      </c>
      <c r="D70" s="49">
        <f>Data[[#This Row],[ Inflación OVF]]</f>
        <v>3.4000000000000002E-2</v>
      </c>
      <c r="E70" t="s">
        <v>138</v>
      </c>
      <c r="F70" t="str">
        <f t="shared" si="1"/>
        <v>sep-24</v>
      </c>
    </row>
    <row r="71" spans="1:6" x14ac:dyDescent="0.25">
      <c r="A71">
        <v>2024</v>
      </c>
      <c r="B71" s="21">
        <v>45566</v>
      </c>
      <c r="C71" s="50">
        <f>Data[[#This Row],[Inflacion BCV]]</f>
        <v>0.04</v>
      </c>
      <c r="D71" s="49">
        <f>Data[[#This Row],[ Inflación OVF]]</f>
        <v>9.6000000000000002E-2</v>
      </c>
      <c r="E71" t="s">
        <v>139</v>
      </c>
      <c r="F71" t="str">
        <f t="shared" si="1"/>
        <v>oct-24</v>
      </c>
    </row>
    <row r="72" spans="1:6" x14ac:dyDescent="0.25">
      <c r="A72">
        <v>2024</v>
      </c>
      <c r="B72" s="21">
        <v>45597</v>
      </c>
      <c r="D72" s="49">
        <f>Data[[#This Row],[ Inflación OVF]]</f>
        <v>0.125</v>
      </c>
      <c r="E72" t="s">
        <v>140</v>
      </c>
      <c r="F72" t="str">
        <f t="shared" si="1"/>
        <v>nov-24</v>
      </c>
    </row>
    <row r="73" spans="1:6" x14ac:dyDescent="0.25">
      <c r="A73">
        <v>2024</v>
      </c>
      <c r="B73" s="21">
        <v>45627</v>
      </c>
      <c r="D73" s="49">
        <f>Data[[#This Row],[ Inflación OVF]]</f>
        <v>0.14799999999999999</v>
      </c>
      <c r="E73" t="s">
        <v>141</v>
      </c>
      <c r="F73" t="str">
        <f t="shared" si="1"/>
        <v>dec-24</v>
      </c>
    </row>
    <row r="74" spans="1:6" x14ac:dyDescent="0.25">
      <c r="A74">
        <v>2025</v>
      </c>
      <c r="B74" s="21">
        <v>45658</v>
      </c>
      <c r="D74" s="49">
        <f>Data[[#This Row],[ Inflación OVF]]</f>
        <v>7.9000000000000001E-2</v>
      </c>
      <c r="E74" t="s">
        <v>130</v>
      </c>
      <c r="F74" t="str">
        <f t="shared" si="1"/>
        <v>jan-25</v>
      </c>
    </row>
    <row r="75" spans="1:6" x14ac:dyDescent="0.25">
      <c r="A75">
        <v>2025</v>
      </c>
      <c r="B75" s="21">
        <v>45689</v>
      </c>
      <c r="D75" s="49">
        <f>Data[[#This Row],[ Inflación OVF]]</f>
        <v>0.128</v>
      </c>
      <c r="E75" t="s">
        <v>131</v>
      </c>
      <c r="F75" t="str">
        <f t="shared" si="1"/>
        <v>feb-25</v>
      </c>
    </row>
    <row r="76" spans="1:6" x14ac:dyDescent="0.25">
      <c r="A76">
        <v>2025</v>
      </c>
      <c r="B76" s="21">
        <v>45717</v>
      </c>
      <c r="D76" s="49">
        <f>Data[[#This Row],[ Inflación OVF]]</f>
        <v>0.13100000000000001</v>
      </c>
      <c r="E76" t="s">
        <v>132</v>
      </c>
      <c r="F76" t="str">
        <f t="shared" si="1"/>
        <v>mar-25</v>
      </c>
    </row>
    <row r="77" spans="1:6" x14ac:dyDescent="0.25">
      <c r="A77">
        <v>2025</v>
      </c>
      <c r="B77" s="21">
        <v>45748</v>
      </c>
      <c r="D77" s="49">
        <f>Data[[#This Row],[ Inflación OVF]]</f>
        <v>0.184</v>
      </c>
      <c r="E77" t="s">
        <v>133</v>
      </c>
      <c r="F77" t="str">
        <f t="shared" si="1"/>
        <v>apr-25</v>
      </c>
    </row>
    <row r="78" spans="1:6" x14ac:dyDescent="0.25">
      <c r="A78">
        <v>2025</v>
      </c>
      <c r="B78" s="21">
        <v>45778</v>
      </c>
      <c r="D78" s="49">
        <f>Data[[#This Row],[ Inflación OVF]]</f>
        <v>0.26</v>
      </c>
      <c r="E78" t="s">
        <v>134</v>
      </c>
    </row>
    <row r="79" spans="1:6" x14ac:dyDescent="0.25">
      <c r="A79">
        <v>2025</v>
      </c>
      <c r="B79" s="21">
        <v>45566</v>
      </c>
    </row>
  </sheetData>
  <autoFilter ref="A1:D61" xr:uid="{C85EA193-7AF4-4B34-AA9E-196D291D270F}">
    <filterColumn colId="0">
      <filters>
        <filter val="2022"/>
        <filter val="2023"/>
      </filters>
    </filterColumn>
    <filterColumn colId="3">
      <filters>
        <filter val="10%"/>
        <filter val="11%"/>
        <filter val="12%"/>
        <filter val="14%"/>
        <filter val="15%"/>
        <filter val="17%"/>
        <filter val="2%"/>
        <filter val="22%"/>
        <filter val="3%"/>
        <filter val="37%"/>
        <filter val="39%"/>
        <filter val="4%"/>
        <filter val="5%"/>
        <filter val="6%"/>
        <filter val="7%"/>
        <filter val="8%"/>
        <filter val="9%"/>
      </filters>
    </filterColumn>
  </autoFilter>
  <phoneticPr fontId="4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5088-477D-40FC-AADB-465438E293ED}">
  <dimension ref="A1:F2404"/>
  <sheetViews>
    <sheetView showGridLines="0" topLeftCell="A2122" workbookViewId="0">
      <selection activeCell="E2132" sqref="E2132"/>
    </sheetView>
  </sheetViews>
  <sheetFormatPr baseColWidth="10" defaultRowHeight="15" x14ac:dyDescent="0.25"/>
  <cols>
    <col min="3" max="3" width="11.85546875" bestFit="1" customWidth="1"/>
    <col min="5" max="5" width="14.5703125" customWidth="1"/>
  </cols>
  <sheetData>
    <row r="1" spans="1:6" x14ac:dyDescent="0.25">
      <c r="A1" s="14" t="s">
        <v>108</v>
      </c>
      <c r="B1" s="14" t="s">
        <v>109</v>
      </c>
      <c r="C1" s="14" t="s">
        <v>40</v>
      </c>
      <c r="D1" s="14" t="s">
        <v>17</v>
      </c>
      <c r="E1" s="14" t="s">
        <v>111</v>
      </c>
      <c r="F1" s="14" t="s">
        <v>110</v>
      </c>
    </row>
    <row r="2" spans="1:6" hidden="1" x14ac:dyDescent="0.25">
      <c r="A2">
        <f>DAY(B2)</f>
        <v>1</v>
      </c>
      <c r="B2" s="37">
        <v>43101</v>
      </c>
      <c r="C2" t="s">
        <v>23</v>
      </c>
      <c r="D2">
        <f>YEAR(B2)</f>
        <v>2018</v>
      </c>
      <c r="F2">
        <v>3.3450000000000001E-2</v>
      </c>
    </row>
    <row r="3" spans="1:6" hidden="1" x14ac:dyDescent="0.25">
      <c r="A3">
        <f>DAY(B3)</f>
        <v>2</v>
      </c>
      <c r="B3" s="37">
        <v>43102</v>
      </c>
      <c r="C3" t="s">
        <v>23</v>
      </c>
      <c r="D3">
        <f t="shared" ref="D3:D66" si="0">YEAR(B3)</f>
        <v>2018</v>
      </c>
      <c r="F3">
        <v>3.3450000000000001E-2</v>
      </c>
    </row>
    <row r="4" spans="1:6" hidden="1" x14ac:dyDescent="0.25">
      <c r="A4">
        <f t="shared" ref="A4:A67" si="1">DAY(B4)</f>
        <v>3</v>
      </c>
      <c r="B4" s="37">
        <v>43103</v>
      </c>
      <c r="C4" t="s">
        <v>23</v>
      </c>
      <c r="D4">
        <f t="shared" si="0"/>
        <v>2018</v>
      </c>
      <c r="F4">
        <v>3.3450000000000001E-2</v>
      </c>
    </row>
    <row r="5" spans="1:6" hidden="1" x14ac:dyDescent="0.25">
      <c r="A5">
        <f t="shared" si="1"/>
        <v>4</v>
      </c>
      <c r="B5" s="37">
        <v>43104</v>
      </c>
      <c r="C5" t="s">
        <v>23</v>
      </c>
      <c r="D5">
        <f t="shared" si="0"/>
        <v>2018</v>
      </c>
      <c r="F5">
        <v>3.3450000000000001E-2</v>
      </c>
    </row>
    <row r="6" spans="1:6" hidden="1" x14ac:dyDescent="0.25">
      <c r="A6">
        <f t="shared" si="1"/>
        <v>5</v>
      </c>
      <c r="B6" s="37">
        <v>43105</v>
      </c>
      <c r="C6" t="s">
        <v>23</v>
      </c>
      <c r="D6">
        <f t="shared" si="0"/>
        <v>2018</v>
      </c>
      <c r="F6">
        <v>3.3450000000000001E-2</v>
      </c>
    </row>
    <row r="7" spans="1:6" hidden="1" x14ac:dyDescent="0.25">
      <c r="A7">
        <f t="shared" si="1"/>
        <v>6</v>
      </c>
      <c r="B7" s="37">
        <v>43106</v>
      </c>
      <c r="C7" t="s">
        <v>23</v>
      </c>
      <c r="D7">
        <f t="shared" si="0"/>
        <v>2018</v>
      </c>
      <c r="F7">
        <v>3.3450000000000001E-2</v>
      </c>
    </row>
    <row r="8" spans="1:6" hidden="1" x14ac:dyDescent="0.25">
      <c r="A8">
        <f t="shared" si="1"/>
        <v>7</v>
      </c>
      <c r="B8" s="37">
        <v>43107</v>
      </c>
      <c r="C8" t="s">
        <v>23</v>
      </c>
      <c r="D8">
        <f t="shared" si="0"/>
        <v>2018</v>
      </c>
      <c r="F8">
        <v>3.3450000000000001E-2</v>
      </c>
    </row>
    <row r="9" spans="1:6" hidden="1" x14ac:dyDescent="0.25">
      <c r="A9">
        <f t="shared" si="1"/>
        <v>8</v>
      </c>
      <c r="B9" s="37">
        <v>43108</v>
      </c>
      <c r="C9" t="s">
        <v>23</v>
      </c>
      <c r="D9">
        <f t="shared" si="0"/>
        <v>2018</v>
      </c>
      <c r="F9">
        <v>3.3450000000000001E-2</v>
      </c>
    </row>
    <row r="10" spans="1:6" hidden="1" x14ac:dyDescent="0.25">
      <c r="A10">
        <f t="shared" si="1"/>
        <v>9</v>
      </c>
      <c r="B10" s="37">
        <v>43109</v>
      </c>
      <c r="C10" t="s">
        <v>23</v>
      </c>
      <c r="D10">
        <f t="shared" si="0"/>
        <v>2018</v>
      </c>
      <c r="F10">
        <v>3.3450000000000001E-2</v>
      </c>
    </row>
    <row r="11" spans="1:6" hidden="1" x14ac:dyDescent="0.25">
      <c r="A11">
        <f t="shared" si="1"/>
        <v>10</v>
      </c>
      <c r="B11" s="37">
        <v>43110</v>
      </c>
      <c r="C11" t="s">
        <v>23</v>
      </c>
      <c r="D11">
        <f t="shared" si="0"/>
        <v>2018</v>
      </c>
      <c r="F11">
        <v>3.3450000000000001E-2</v>
      </c>
    </row>
    <row r="12" spans="1:6" hidden="1" x14ac:dyDescent="0.25">
      <c r="A12">
        <f t="shared" si="1"/>
        <v>11</v>
      </c>
      <c r="B12" s="37">
        <v>43111</v>
      </c>
      <c r="C12" t="s">
        <v>23</v>
      </c>
      <c r="D12">
        <f t="shared" si="0"/>
        <v>2018</v>
      </c>
      <c r="F12">
        <v>3.3450000000000001E-2</v>
      </c>
    </row>
    <row r="13" spans="1:6" hidden="1" x14ac:dyDescent="0.25">
      <c r="A13">
        <f t="shared" si="1"/>
        <v>12</v>
      </c>
      <c r="B13" s="37">
        <v>43112</v>
      </c>
      <c r="C13" t="s">
        <v>23</v>
      </c>
      <c r="D13">
        <f t="shared" si="0"/>
        <v>2018</v>
      </c>
      <c r="F13">
        <v>3.3450000000000001E-2</v>
      </c>
    </row>
    <row r="14" spans="1:6" hidden="1" x14ac:dyDescent="0.25">
      <c r="A14">
        <f t="shared" si="1"/>
        <v>13</v>
      </c>
      <c r="B14" s="37">
        <v>43113</v>
      </c>
      <c r="C14" t="s">
        <v>23</v>
      </c>
      <c r="D14">
        <f t="shared" si="0"/>
        <v>2018</v>
      </c>
      <c r="F14">
        <v>3.3450000000000001E-2</v>
      </c>
    </row>
    <row r="15" spans="1:6" hidden="1" x14ac:dyDescent="0.25">
      <c r="A15">
        <f t="shared" si="1"/>
        <v>14</v>
      </c>
      <c r="B15" s="37">
        <v>43114</v>
      </c>
      <c r="C15" t="s">
        <v>23</v>
      </c>
      <c r="D15">
        <f t="shared" si="0"/>
        <v>2018</v>
      </c>
      <c r="F15">
        <v>3.3450000000000001E-2</v>
      </c>
    </row>
    <row r="16" spans="1:6" hidden="1" x14ac:dyDescent="0.25">
      <c r="A16">
        <f t="shared" si="1"/>
        <v>15</v>
      </c>
      <c r="B16" s="37">
        <v>43115</v>
      </c>
      <c r="C16" t="s">
        <v>23</v>
      </c>
      <c r="D16">
        <f t="shared" si="0"/>
        <v>2018</v>
      </c>
      <c r="F16">
        <v>3.3450000000000001E-2</v>
      </c>
    </row>
    <row r="17" spans="1:6" hidden="1" x14ac:dyDescent="0.25">
      <c r="A17">
        <f t="shared" si="1"/>
        <v>16</v>
      </c>
      <c r="B17" s="37">
        <v>43116</v>
      </c>
      <c r="C17" t="s">
        <v>23</v>
      </c>
      <c r="D17">
        <f t="shared" si="0"/>
        <v>2018</v>
      </c>
      <c r="F17">
        <v>3.3450000000000001E-2</v>
      </c>
    </row>
    <row r="18" spans="1:6" hidden="1" x14ac:dyDescent="0.25">
      <c r="A18">
        <f t="shared" si="1"/>
        <v>17</v>
      </c>
      <c r="B18" s="37">
        <v>43117</v>
      </c>
      <c r="C18" t="s">
        <v>23</v>
      </c>
      <c r="D18">
        <f t="shared" si="0"/>
        <v>2018</v>
      </c>
      <c r="F18">
        <v>3.3450000000000001E-2</v>
      </c>
    </row>
    <row r="19" spans="1:6" hidden="1" x14ac:dyDescent="0.25">
      <c r="A19">
        <f t="shared" si="1"/>
        <v>18</v>
      </c>
      <c r="B19" s="37">
        <v>43118</v>
      </c>
      <c r="C19" t="s">
        <v>23</v>
      </c>
      <c r="D19">
        <f t="shared" si="0"/>
        <v>2018</v>
      </c>
      <c r="F19">
        <v>3.3450000000000001E-2</v>
      </c>
    </row>
    <row r="20" spans="1:6" hidden="1" x14ac:dyDescent="0.25">
      <c r="A20">
        <f t="shared" si="1"/>
        <v>19</v>
      </c>
      <c r="B20" s="37">
        <v>43119</v>
      </c>
      <c r="C20" t="s">
        <v>23</v>
      </c>
      <c r="D20">
        <f t="shared" si="0"/>
        <v>2018</v>
      </c>
      <c r="F20">
        <v>3.3450000000000001E-2</v>
      </c>
    </row>
    <row r="21" spans="1:6" hidden="1" x14ac:dyDescent="0.25">
      <c r="A21">
        <f t="shared" si="1"/>
        <v>20</v>
      </c>
      <c r="B21" s="37">
        <v>43120</v>
      </c>
      <c r="C21" t="s">
        <v>23</v>
      </c>
      <c r="D21">
        <f t="shared" si="0"/>
        <v>2018</v>
      </c>
      <c r="F21">
        <v>3.3450000000000001E-2</v>
      </c>
    </row>
    <row r="22" spans="1:6" hidden="1" x14ac:dyDescent="0.25">
      <c r="A22">
        <f t="shared" si="1"/>
        <v>21</v>
      </c>
      <c r="B22" s="37">
        <v>43121</v>
      </c>
      <c r="C22" t="s">
        <v>23</v>
      </c>
      <c r="D22">
        <f t="shared" si="0"/>
        <v>2018</v>
      </c>
      <c r="F22">
        <v>3.3450000000000001E-2</v>
      </c>
    </row>
    <row r="23" spans="1:6" hidden="1" x14ac:dyDescent="0.25">
      <c r="A23">
        <f t="shared" si="1"/>
        <v>22</v>
      </c>
      <c r="B23" s="37">
        <v>43122</v>
      </c>
      <c r="C23" t="s">
        <v>23</v>
      </c>
      <c r="D23">
        <f t="shared" si="0"/>
        <v>2018</v>
      </c>
      <c r="F23">
        <v>3.3450000000000001E-2</v>
      </c>
    </row>
    <row r="24" spans="1:6" hidden="1" x14ac:dyDescent="0.25">
      <c r="A24">
        <f t="shared" si="1"/>
        <v>23</v>
      </c>
      <c r="B24" s="37">
        <v>43123</v>
      </c>
      <c r="C24" t="s">
        <v>23</v>
      </c>
      <c r="D24">
        <f t="shared" si="0"/>
        <v>2018</v>
      </c>
      <c r="F24">
        <v>3.3450000000000001E-2</v>
      </c>
    </row>
    <row r="25" spans="1:6" hidden="1" x14ac:dyDescent="0.25">
      <c r="A25">
        <f t="shared" si="1"/>
        <v>24</v>
      </c>
      <c r="B25" s="37">
        <v>43124</v>
      </c>
      <c r="C25" t="s">
        <v>23</v>
      </c>
      <c r="D25">
        <f t="shared" si="0"/>
        <v>2018</v>
      </c>
      <c r="F25">
        <v>3.3450000000000001E-2</v>
      </c>
    </row>
    <row r="26" spans="1:6" hidden="1" x14ac:dyDescent="0.25">
      <c r="A26">
        <f t="shared" si="1"/>
        <v>25</v>
      </c>
      <c r="B26" s="37">
        <v>43125</v>
      </c>
      <c r="C26" t="s">
        <v>23</v>
      </c>
      <c r="D26">
        <f t="shared" si="0"/>
        <v>2018</v>
      </c>
      <c r="F26">
        <v>3.3450000000000001E-2</v>
      </c>
    </row>
    <row r="27" spans="1:6" hidden="1" x14ac:dyDescent="0.25">
      <c r="A27">
        <f t="shared" si="1"/>
        <v>26</v>
      </c>
      <c r="B27" s="37">
        <v>43126</v>
      </c>
      <c r="C27" t="s">
        <v>23</v>
      </c>
      <c r="D27">
        <f t="shared" si="0"/>
        <v>2018</v>
      </c>
      <c r="F27">
        <v>3.3450000000000001E-2</v>
      </c>
    </row>
    <row r="28" spans="1:6" hidden="1" x14ac:dyDescent="0.25">
      <c r="A28">
        <f t="shared" si="1"/>
        <v>27</v>
      </c>
      <c r="B28" s="37">
        <v>43127</v>
      </c>
      <c r="C28" t="s">
        <v>23</v>
      </c>
      <c r="D28">
        <f t="shared" si="0"/>
        <v>2018</v>
      </c>
      <c r="F28">
        <v>3.3450000000000001E-2</v>
      </c>
    </row>
    <row r="29" spans="1:6" hidden="1" x14ac:dyDescent="0.25">
      <c r="A29">
        <f t="shared" si="1"/>
        <v>28</v>
      </c>
      <c r="B29" s="37">
        <v>43128</v>
      </c>
      <c r="C29" t="s">
        <v>23</v>
      </c>
      <c r="D29">
        <f t="shared" si="0"/>
        <v>2018</v>
      </c>
      <c r="F29">
        <v>3.3450000000000001E-2</v>
      </c>
    </row>
    <row r="30" spans="1:6" hidden="1" x14ac:dyDescent="0.25">
      <c r="A30">
        <f t="shared" si="1"/>
        <v>29</v>
      </c>
      <c r="B30" s="37">
        <v>43129</v>
      </c>
      <c r="C30" t="s">
        <v>23</v>
      </c>
      <c r="D30">
        <f t="shared" si="0"/>
        <v>2018</v>
      </c>
      <c r="F30">
        <v>3.3450000000000001E-2</v>
      </c>
    </row>
    <row r="31" spans="1:6" hidden="1" x14ac:dyDescent="0.25">
      <c r="A31">
        <f t="shared" si="1"/>
        <v>30</v>
      </c>
      <c r="B31" s="37">
        <v>43130</v>
      </c>
      <c r="C31" t="s">
        <v>23</v>
      </c>
      <c r="D31">
        <f t="shared" si="0"/>
        <v>2018</v>
      </c>
      <c r="F31">
        <v>3.3450000000000001E-2</v>
      </c>
    </row>
    <row r="32" spans="1:6" hidden="1" x14ac:dyDescent="0.25">
      <c r="A32">
        <f t="shared" si="1"/>
        <v>31</v>
      </c>
      <c r="B32" s="37">
        <v>43131</v>
      </c>
      <c r="C32" t="s">
        <v>23</v>
      </c>
      <c r="D32">
        <f t="shared" si="0"/>
        <v>2018</v>
      </c>
      <c r="F32">
        <v>3.3450000000000001E-2</v>
      </c>
    </row>
    <row r="33" spans="1:6" hidden="1" x14ac:dyDescent="0.25">
      <c r="A33">
        <f t="shared" si="1"/>
        <v>1</v>
      </c>
      <c r="B33" s="37">
        <v>43132</v>
      </c>
      <c r="C33" t="s">
        <v>24</v>
      </c>
      <c r="D33">
        <f t="shared" si="0"/>
        <v>2018</v>
      </c>
      <c r="F33">
        <v>3.3450000000000001E-2</v>
      </c>
    </row>
    <row r="34" spans="1:6" hidden="1" x14ac:dyDescent="0.25">
      <c r="A34">
        <f t="shared" si="1"/>
        <v>2</v>
      </c>
      <c r="B34" s="37">
        <v>43133</v>
      </c>
      <c r="C34" t="s">
        <v>24</v>
      </c>
      <c r="D34">
        <f t="shared" si="0"/>
        <v>2018</v>
      </c>
      <c r="F34">
        <v>3.3450000000000001E-2</v>
      </c>
    </row>
    <row r="35" spans="1:6" hidden="1" x14ac:dyDescent="0.25">
      <c r="A35">
        <f t="shared" si="1"/>
        <v>3</v>
      </c>
      <c r="B35" s="37">
        <v>43134</v>
      </c>
      <c r="C35" t="s">
        <v>24</v>
      </c>
      <c r="D35">
        <f t="shared" si="0"/>
        <v>2018</v>
      </c>
    </row>
    <row r="36" spans="1:6" hidden="1" x14ac:dyDescent="0.25">
      <c r="A36">
        <f t="shared" si="1"/>
        <v>4</v>
      </c>
      <c r="B36" s="37">
        <v>43135</v>
      </c>
      <c r="C36" t="s">
        <v>24</v>
      </c>
      <c r="D36">
        <f t="shared" si="0"/>
        <v>2018</v>
      </c>
    </row>
    <row r="37" spans="1:6" hidden="1" x14ac:dyDescent="0.25">
      <c r="A37">
        <f t="shared" si="1"/>
        <v>5</v>
      </c>
      <c r="B37" s="37">
        <v>43136</v>
      </c>
      <c r="C37" t="s">
        <v>24</v>
      </c>
      <c r="D37">
        <f t="shared" si="0"/>
        <v>2018</v>
      </c>
      <c r="F37">
        <v>3.3450000000000001E-2</v>
      </c>
    </row>
    <row r="38" spans="1:6" hidden="1" x14ac:dyDescent="0.25">
      <c r="A38">
        <f t="shared" si="1"/>
        <v>6</v>
      </c>
      <c r="B38" s="37">
        <v>43137</v>
      </c>
      <c r="C38" t="s">
        <v>24</v>
      </c>
      <c r="D38">
        <f t="shared" si="0"/>
        <v>2018</v>
      </c>
      <c r="F38">
        <v>3.3450000000000001E-2</v>
      </c>
    </row>
    <row r="39" spans="1:6" hidden="1" x14ac:dyDescent="0.25">
      <c r="A39">
        <f t="shared" si="1"/>
        <v>7</v>
      </c>
      <c r="B39" s="37">
        <v>43138</v>
      </c>
      <c r="C39" t="s">
        <v>24</v>
      </c>
      <c r="D39">
        <f t="shared" si="0"/>
        <v>2018</v>
      </c>
      <c r="F39">
        <v>0.25</v>
      </c>
    </row>
    <row r="40" spans="1:6" hidden="1" x14ac:dyDescent="0.25">
      <c r="A40">
        <f t="shared" si="1"/>
        <v>8</v>
      </c>
      <c r="B40" s="37">
        <v>43139</v>
      </c>
      <c r="C40" t="s">
        <v>24</v>
      </c>
      <c r="D40">
        <f t="shared" si="0"/>
        <v>2018</v>
      </c>
      <c r="F40">
        <v>0.25</v>
      </c>
    </row>
    <row r="41" spans="1:6" hidden="1" x14ac:dyDescent="0.25">
      <c r="A41">
        <f t="shared" si="1"/>
        <v>9</v>
      </c>
      <c r="B41" s="37">
        <v>43140</v>
      </c>
      <c r="C41" t="s">
        <v>24</v>
      </c>
      <c r="D41">
        <f t="shared" si="0"/>
        <v>2018</v>
      </c>
      <c r="F41">
        <v>0.25</v>
      </c>
    </row>
    <row r="42" spans="1:6" hidden="1" x14ac:dyDescent="0.25">
      <c r="A42">
        <f t="shared" si="1"/>
        <v>10</v>
      </c>
      <c r="B42" s="37">
        <v>43141</v>
      </c>
      <c r="C42" t="s">
        <v>24</v>
      </c>
      <c r="D42">
        <f t="shared" si="0"/>
        <v>2018</v>
      </c>
    </row>
    <row r="43" spans="1:6" hidden="1" x14ac:dyDescent="0.25">
      <c r="A43">
        <f t="shared" si="1"/>
        <v>11</v>
      </c>
      <c r="B43" s="37">
        <v>43142</v>
      </c>
      <c r="C43" t="s">
        <v>24</v>
      </c>
      <c r="D43">
        <f t="shared" si="0"/>
        <v>2018</v>
      </c>
    </row>
    <row r="44" spans="1:6" hidden="1" x14ac:dyDescent="0.25">
      <c r="A44">
        <f t="shared" si="1"/>
        <v>12</v>
      </c>
      <c r="B44" s="37">
        <v>43143</v>
      </c>
      <c r="C44" t="s">
        <v>24</v>
      </c>
      <c r="D44">
        <f t="shared" si="0"/>
        <v>2018</v>
      </c>
    </row>
    <row r="45" spans="1:6" hidden="1" x14ac:dyDescent="0.25">
      <c r="A45">
        <f t="shared" si="1"/>
        <v>13</v>
      </c>
      <c r="B45" s="37">
        <v>43144</v>
      </c>
      <c r="C45" t="s">
        <v>24</v>
      </c>
      <c r="D45">
        <f t="shared" si="0"/>
        <v>2018</v>
      </c>
    </row>
    <row r="46" spans="1:6" hidden="1" x14ac:dyDescent="0.25">
      <c r="A46">
        <f t="shared" si="1"/>
        <v>14</v>
      </c>
      <c r="B46" s="37">
        <v>43145</v>
      </c>
      <c r="C46" t="s">
        <v>24</v>
      </c>
      <c r="D46">
        <f t="shared" si="0"/>
        <v>2018</v>
      </c>
      <c r="F46">
        <v>0.25</v>
      </c>
    </row>
    <row r="47" spans="1:6" hidden="1" x14ac:dyDescent="0.25">
      <c r="A47">
        <f t="shared" si="1"/>
        <v>15</v>
      </c>
      <c r="B47" s="37">
        <v>43146</v>
      </c>
      <c r="C47" t="s">
        <v>24</v>
      </c>
      <c r="D47">
        <f t="shared" si="0"/>
        <v>2018</v>
      </c>
      <c r="F47">
        <v>0.25</v>
      </c>
    </row>
    <row r="48" spans="1:6" hidden="1" x14ac:dyDescent="0.25">
      <c r="A48">
        <f t="shared" si="1"/>
        <v>16</v>
      </c>
      <c r="B48" s="37">
        <v>43147</v>
      </c>
      <c r="C48" t="s">
        <v>24</v>
      </c>
      <c r="D48">
        <f t="shared" si="0"/>
        <v>2018</v>
      </c>
      <c r="F48">
        <v>0.25</v>
      </c>
    </row>
    <row r="49" spans="1:6" hidden="1" x14ac:dyDescent="0.25">
      <c r="A49">
        <f t="shared" si="1"/>
        <v>17</v>
      </c>
      <c r="B49" s="37">
        <v>43148</v>
      </c>
      <c r="C49" t="s">
        <v>24</v>
      </c>
      <c r="D49">
        <f t="shared" si="0"/>
        <v>2018</v>
      </c>
    </row>
    <row r="50" spans="1:6" hidden="1" x14ac:dyDescent="0.25">
      <c r="A50">
        <f t="shared" si="1"/>
        <v>18</v>
      </c>
      <c r="B50" s="37">
        <v>43149</v>
      </c>
      <c r="C50" t="s">
        <v>24</v>
      </c>
      <c r="D50">
        <f t="shared" si="0"/>
        <v>2018</v>
      </c>
    </row>
    <row r="51" spans="1:6" hidden="1" x14ac:dyDescent="0.25">
      <c r="A51">
        <f t="shared" si="1"/>
        <v>19</v>
      </c>
      <c r="B51" s="37">
        <v>43150</v>
      </c>
      <c r="C51" t="s">
        <v>24</v>
      </c>
      <c r="D51">
        <f t="shared" si="0"/>
        <v>2018</v>
      </c>
      <c r="F51">
        <v>0.25</v>
      </c>
    </row>
    <row r="52" spans="1:6" hidden="1" x14ac:dyDescent="0.25">
      <c r="A52">
        <f t="shared" si="1"/>
        <v>20</v>
      </c>
      <c r="B52" s="37">
        <v>43151</v>
      </c>
      <c r="C52" t="s">
        <v>24</v>
      </c>
      <c r="D52">
        <f t="shared" si="0"/>
        <v>2018</v>
      </c>
      <c r="F52">
        <v>0.25</v>
      </c>
    </row>
    <row r="53" spans="1:6" hidden="1" x14ac:dyDescent="0.25">
      <c r="A53">
        <f t="shared" si="1"/>
        <v>21</v>
      </c>
      <c r="B53" s="37">
        <v>43152</v>
      </c>
      <c r="C53" t="s">
        <v>24</v>
      </c>
      <c r="D53">
        <f t="shared" si="0"/>
        <v>2018</v>
      </c>
      <c r="F53">
        <v>0.25</v>
      </c>
    </row>
    <row r="54" spans="1:6" hidden="1" x14ac:dyDescent="0.25">
      <c r="A54">
        <f t="shared" si="1"/>
        <v>22</v>
      </c>
      <c r="B54" s="37">
        <v>43153</v>
      </c>
      <c r="C54" t="s">
        <v>24</v>
      </c>
      <c r="D54">
        <f t="shared" si="0"/>
        <v>2018</v>
      </c>
      <c r="F54">
        <v>0.25</v>
      </c>
    </row>
    <row r="55" spans="1:6" hidden="1" x14ac:dyDescent="0.25">
      <c r="A55">
        <f t="shared" si="1"/>
        <v>23</v>
      </c>
      <c r="B55" s="37">
        <v>43154</v>
      </c>
      <c r="C55" t="s">
        <v>24</v>
      </c>
      <c r="D55">
        <f t="shared" si="0"/>
        <v>2018</v>
      </c>
      <c r="F55">
        <v>0.28999999999999998</v>
      </c>
    </row>
    <row r="56" spans="1:6" hidden="1" x14ac:dyDescent="0.25">
      <c r="A56">
        <f t="shared" si="1"/>
        <v>24</v>
      </c>
      <c r="B56" s="37">
        <v>43155</v>
      </c>
      <c r="C56" t="s">
        <v>24</v>
      </c>
      <c r="D56">
        <f t="shared" si="0"/>
        <v>2018</v>
      </c>
    </row>
    <row r="57" spans="1:6" hidden="1" x14ac:dyDescent="0.25">
      <c r="A57">
        <f t="shared" si="1"/>
        <v>25</v>
      </c>
      <c r="B57" s="37">
        <v>43156</v>
      </c>
      <c r="C57" t="s">
        <v>24</v>
      </c>
      <c r="D57">
        <f t="shared" si="0"/>
        <v>2018</v>
      </c>
    </row>
    <row r="58" spans="1:6" hidden="1" x14ac:dyDescent="0.25">
      <c r="A58">
        <f t="shared" si="1"/>
        <v>26</v>
      </c>
      <c r="B58" s="37">
        <v>43157</v>
      </c>
      <c r="C58" t="s">
        <v>24</v>
      </c>
      <c r="D58">
        <f t="shared" si="0"/>
        <v>2018</v>
      </c>
      <c r="F58">
        <v>0.28999999999999998</v>
      </c>
    </row>
    <row r="59" spans="1:6" hidden="1" x14ac:dyDescent="0.25">
      <c r="A59">
        <f t="shared" si="1"/>
        <v>27</v>
      </c>
      <c r="B59" s="37">
        <v>43158</v>
      </c>
      <c r="C59" t="s">
        <v>24</v>
      </c>
      <c r="D59">
        <f t="shared" si="0"/>
        <v>2018</v>
      </c>
      <c r="F59">
        <v>0.28999999999999998</v>
      </c>
    </row>
    <row r="60" spans="1:6" hidden="1" x14ac:dyDescent="0.25">
      <c r="A60">
        <f t="shared" si="1"/>
        <v>28</v>
      </c>
      <c r="B60" s="37">
        <v>43159</v>
      </c>
      <c r="C60" t="s">
        <v>24</v>
      </c>
      <c r="D60">
        <f t="shared" si="0"/>
        <v>2018</v>
      </c>
      <c r="F60">
        <v>0.28999999999999998</v>
      </c>
    </row>
    <row r="61" spans="1:6" hidden="1" x14ac:dyDescent="0.25">
      <c r="A61">
        <f t="shared" si="1"/>
        <v>1</v>
      </c>
      <c r="B61" s="37">
        <v>43160</v>
      </c>
      <c r="C61" t="s">
        <v>25</v>
      </c>
      <c r="D61">
        <f t="shared" si="0"/>
        <v>2018</v>
      </c>
      <c r="F61">
        <v>0.28999999999999998</v>
      </c>
    </row>
    <row r="62" spans="1:6" hidden="1" x14ac:dyDescent="0.25">
      <c r="A62">
        <f t="shared" si="1"/>
        <v>2</v>
      </c>
      <c r="B62" s="37">
        <v>43161</v>
      </c>
      <c r="C62" t="s">
        <v>25</v>
      </c>
      <c r="D62">
        <f t="shared" si="0"/>
        <v>2018</v>
      </c>
      <c r="F62">
        <v>0.3528</v>
      </c>
    </row>
    <row r="63" spans="1:6" hidden="1" x14ac:dyDescent="0.25">
      <c r="A63">
        <f t="shared" si="1"/>
        <v>3</v>
      </c>
      <c r="B63" s="37">
        <v>43162</v>
      </c>
      <c r="C63" t="s">
        <v>25</v>
      </c>
      <c r="D63">
        <f t="shared" si="0"/>
        <v>2018</v>
      </c>
    </row>
    <row r="64" spans="1:6" hidden="1" x14ac:dyDescent="0.25">
      <c r="A64">
        <f t="shared" si="1"/>
        <v>4</v>
      </c>
      <c r="B64" s="37">
        <v>43163</v>
      </c>
      <c r="C64" t="s">
        <v>25</v>
      </c>
      <c r="D64">
        <f t="shared" si="0"/>
        <v>2018</v>
      </c>
    </row>
    <row r="65" spans="1:6" hidden="1" x14ac:dyDescent="0.25">
      <c r="A65">
        <f t="shared" si="1"/>
        <v>5</v>
      </c>
      <c r="B65" s="37">
        <v>43164</v>
      </c>
      <c r="C65" t="s">
        <v>25</v>
      </c>
      <c r="D65">
        <f t="shared" si="0"/>
        <v>2018</v>
      </c>
      <c r="F65">
        <v>0.3528</v>
      </c>
    </row>
    <row r="66" spans="1:6" hidden="1" x14ac:dyDescent="0.25">
      <c r="A66">
        <f t="shared" si="1"/>
        <v>6</v>
      </c>
      <c r="B66" s="37">
        <v>43165</v>
      </c>
      <c r="C66" t="s">
        <v>25</v>
      </c>
      <c r="D66">
        <f t="shared" si="0"/>
        <v>2018</v>
      </c>
      <c r="F66">
        <v>0.3528</v>
      </c>
    </row>
    <row r="67" spans="1:6" hidden="1" x14ac:dyDescent="0.25">
      <c r="A67">
        <f t="shared" si="1"/>
        <v>7</v>
      </c>
      <c r="B67" s="37">
        <v>43166</v>
      </c>
      <c r="C67" t="s">
        <v>25</v>
      </c>
      <c r="D67">
        <f t="shared" ref="D67:D130" si="2">YEAR(B67)</f>
        <v>2018</v>
      </c>
      <c r="F67">
        <v>0.3528</v>
      </c>
    </row>
    <row r="68" spans="1:6" hidden="1" x14ac:dyDescent="0.25">
      <c r="A68">
        <f t="shared" ref="A68:A131" si="3">DAY(B68)</f>
        <v>8</v>
      </c>
      <c r="B68" s="37">
        <v>43167</v>
      </c>
      <c r="C68" t="s">
        <v>25</v>
      </c>
      <c r="D68">
        <f t="shared" si="2"/>
        <v>2018</v>
      </c>
      <c r="F68">
        <v>0.3528</v>
      </c>
    </row>
    <row r="69" spans="1:6" hidden="1" x14ac:dyDescent="0.25">
      <c r="A69">
        <f t="shared" si="3"/>
        <v>9</v>
      </c>
      <c r="B69" s="37">
        <v>43168</v>
      </c>
      <c r="C69" t="s">
        <v>25</v>
      </c>
      <c r="D69">
        <f t="shared" si="2"/>
        <v>2018</v>
      </c>
      <c r="F69">
        <v>0.4</v>
      </c>
    </row>
    <row r="70" spans="1:6" hidden="1" x14ac:dyDescent="0.25">
      <c r="A70">
        <f t="shared" si="3"/>
        <v>10</v>
      </c>
      <c r="B70" s="37">
        <v>43169</v>
      </c>
      <c r="C70" t="s">
        <v>25</v>
      </c>
      <c r="D70">
        <f t="shared" si="2"/>
        <v>2018</v>
      </c>
    </row>
    <row r="71" spans="1:6" hidden="1" x14ac:dyDescent="0.25">
      <c r="A71">
        <f t="shared" si="3"/>
        <v>11</v>
      </c>
      <c r="B71" s="37">
        <v>43170</v>
      </c>
      <c r="C71" t="s">
        <v>25</v>
      </c>
      <c r="D71">
        <f t="shared" si="2"/>
        <v>2018</v>
      </c>
    </row>
    <row r="72" spans="1:6" hidden="1" x14ac:dyDescent="0.25">
      <c r="A72">
        <f t="shared" si="3"/>
        <v>12</v>
      </c>
      <c r="B72" s="37">
        <v>43171</v>
      </c>
      <c r="C72" t="s">
        <v>25</v>
      </c>
      <c r="D72">
        <f t="shared" si="2"/>
        <v>2018</v>
      </c>
      <c r="F72">
        <v>0.4</v>
      </c>
    </row>
    <row r="73" spans="1:6" hidden="1" x14ac:dyDescent="0.25">
      <c r="A73">
        <f t="shared" si="3"/>
        <v>13</v>
      </c>
      <c r="B73" s="37">
        <v>43172</v>
      </c>
      <c r="C73" t="s">
        <v>25</v>
      </c>
      <c r="D73">
        <f t="shared" si="2"/>
        <v>2018</v>
      </c>
      <c r="F73">
        <v>0.4</v>
      </c>
    </row>
    <row r="74" spans="1:6" hidden="1" x14ac:dyDescent="0.25">
      <c r="A74">
        <f t="shared" si="3"/>
        <v>14</v>
      </c>
      <c r="B74" s="37">
        <v>43173</v>
      </c>
      <c r="C74" t="s">
        <v>25</v>
      </c>
      <c r="D74">
        <f t="shared" si="2"/>
        <v>2018</v>
      </c>
      <c r="F74">
        <v>0.36649999999999999</v>
      </c>
    </row>
    <row r="75" spans="1:6" hidden="1" x14ac:dyDescent="0.25">
      <c r="A75">
        <f t="shared" si="3"/>
        <v>15</v>
      </c>
      <c r="B75" s="37">
        <v>43174</v>
      </c>
      <c r="C75" t="s">
        <v>25</v>
      </c>
      <c r="D75">
        <f t="shared" si="2"/>
        <v>2018</v>
      </c>
      <c r="F75">
        <v>0.36649999999999999</v>
      </c>
    </row>
    <row r="76" spans="1:6" hidden="1" x14ac:dyDescent="0.25">
      <c r="A76">
        <f t="shared" si="3"/>
        <v>16</v>
      </c>
      <c r="B76" s="37">
        <v>43175</v>
      </c>
      <c r="C76" t="s">
        <v>25</v>
      </c>
      <c r="D76">
        <f t="shared" si="2"/>
        <v>2018</v>
      </c>
      <c r="F76">
        <v>0.36649999999999999</v>
      </c>
    </row>
    <row r="77" spans="1:6" hidden="1" x14ac:dyDescent="0.25">
      <c r="A77">
        <f t="shared" si="3"/>
        <v>17</v>
      </c>
      <c r="B77" s="37">
        <v>43176</v>
      </c>
      <c r="C77" t="s">
        <v>25</v>
      </c>
      <c r="D77">
        <f t="shared" si="2"/>
        <v>2018</v>
      </c>
    </row>
    <row r="78" spans="1:6" hidden="1" x14ac:dyDescent="0.25">
      <c r="A78">
        <f t="shared" si="3"/>
        <v>18</v>
      </c>
      <c r="B78" s="37">
        <v>43177</v>
      </c>
      <c r="C78" t="s">
        <v>25</v>
      </c>
      <c r="D78">
        <f t="shared" si="2"/>
        <v>2018</v>
      </c>
    </row>
    <row r="79" spans="1:6" hidden="1" x14ac:dyDescent="0.25">
      <c r="A79">
        <f t="shared" si="3"/>
        <v>19</v>
      </c>
      <c r="B79" s="37">
        <v>43178</v>
      </c>
      <c r="C79" t="s">
        <v>25</v>
      </c>
      <c r="D79">
        <f t="shared" si="2"/>
        <v>2018</v>
      </c>
    </row>
    <row r="80" spans="1:6" hidden="1" x14ac:dyDescent="0.25">
      <c r="A80">
        <f t="shared" si="3"/>
        <v>20</v>
      </c>
      <c r="B80" s="37">
        <v>43179</v>
      </c>
      <c r="C80" t="s">
        <v>25</v>
      </c>
      <c r="D80">
        <f t="shared" si="2"/>
        <v>2018</v>
      </c>
      <c r="F80">
        <v>0.43980000000000002</v>
      </c>
    </row>
    <row r="81" spans="1:6" hidden="1" x14ac:dyDescent="0.25">
      <c r="A81">
        <f t="shared" si="3"/>
        <v>21</v>
      </c>
      <c r="B81" s="37">
        <v>43180</v>
      </c>
      <c r="C81" t="s">
        <v>25</v>
      </c>
      <c r="D81">
        <f t="shared" si="2"/>
        <v>2018</v>
      </c>
      <c r="F81">
        <v>0.43980000000000002</v>
      </c>
    </row>
    <row r="82" spans="1:6" hidden="1" x14ac:dyDescent="0.25">
      <c r="A82">
        <f t="shared" si="3"/>
        <v>22</v>
      </c>
      <c r="B82" s="37">
        <v>43181</v>
      </c>
      <c r="C82" t="s">
        <v>25</v>
      </c>
      <c r="D82">
        <f t="shared" si="2"/>
        <v>2018</v>
      </c>
      <c r="F82">
        <v>0.43980000000000002</v>
      </c>
    </row>
    <row r="83" spans="1:6" hidden="1" x14ac:dyDescent="0.25">
      <c r="A83">
        <f t="shared" si="3"/>
        <v>23</v>
      </c>
      <c r="B83" s="37">
        <v>43182</v>
      </c>
      <c r="C83" t="s">
        <v>25</v>
      </c>
      <c r="D83">
        <f t="shared" si="2"/>
        <v>2018</v>
      </c>
      <c r="F83">
        <v>0.43980000000000002</v>
      </c>
    </row>
    <row r="84" spans="1:6" hidden="1" x14ac:dyDescent="0.25">
      <c r="A84">
        <f t="shared" si="3"/>
        <v>24</v>
      </c>
      <c r="B84" s="37">
        <v>43183</v>
      </c>
      <c r="C84" t="s">
        <v>25</v>
      </c>
      <c r="D84">
        <f t="shared" si="2"/>
        <v>2018</v>
      </c>
    </row>
    <row r="85" spans="1:6" hidden="1" x14ac:dyDescent="0.25">
      <c r="A85">
        <f t="shared" si="3"/>
        <v>25</v>
      </c>
      <c r="B85" s="37">
        <v>43184</v>
      </c>
      <c r="C85" t="s">
        <v>25</v>
      </c>
      <c r="D85">
        <f t="shared" si="2"/>
        <v>2018</v>
      </c>
    </row>
    <row r="86" spans="1:6" hidden="1" x14ac:dyDescent="0.25">
      <c r="A86">
        <f t="shared" si="3"/>
        <v>26</v>
      </c>
      <c r="B86" s="37">
        <v>43185</v>
      </c>
      <c r="C86" t="s">
        <v>25</v>
      </c>
      <c r="D86">
        <f t="shared" si="2"/>
        <v>2018</v>
      </c>
      <c r="F86">
        <v>0.49477500000000002</v>
      </c>
    </row>
    <row r="87" spans="1:6" hidden="1" x14ac:dyDescent="0.25">
      <c r="A87">
        <f t="shared" si="3"/>
        <v>27</v>
      </c>
      <c r="B87" s="37">
        <v>43186</v>
      </c>
      <c r="C87" t="s">
        <v>25</v>
      </c>
      <c r="D87">
        <f t="shared" si="2"/>
        <v>2018</v>
      </c>
      <c r="F87">
        <v>0.49477500000000002</v>
      </c>
    </row>
    <row r="88" spans="1:6" hidden="1" x14ac:dyDescent="0.25">
      <c r="A88">
        <f t="shared" si="3"/>
        <v>28</v>
      </c>
      <c r="B88" s="37">
        <v>43187</v>
      </c>
      <c r="C88" t="s">
        <v>25</v>
      </c>
      <c r="D88">
        <f t="shared" si="2"/>
        <v>2018</v>
      </c>
      <c r="F88">
        <v>0.49477500000000002</v>
      </c>
    </row>
    <row r="89" spans="1:6" hidden="1" x14ac:dyDescent="0.25">
      <c r="A89">
        <f t="shared" si="3"/>
        <v>29</v>
      </c>
      <c r="B89" s="37">
        <v>43188</v>
      </c>
      <c r="C89" t="s">
        <v>25</v>
      </c>
      <c r="D89">
        <f t="shared" si="2"/>
        <v>2018</v>
      </c>
    </row>
    <row r="90" spans="1:6" hidden="1" x14ac:dyDescent="0.25">
      <c r="A90">
        <f t="shared" si="3"/>
        <v>30</v>
      </c>
      <c r="B90" s="37">
        <v>43189</v>
      </c>
      <c r="C90" t="s">
        <v>25</v>
      </c>
      <c r="D90">
        <f t="shared" si="2"/>
        <v>2018</v>
      </c>
    </row>
    <row r="91" spans="1:6" hidden="1" x14ac:dyDescent="0.25">
      <c r="A91">
        <f t="shared" si="3"/>
        <v>31</v>
      </c>
      <c r="B91" s="37">
        <v>43190</v>
      </c>
      <c r="C91" t="s">
        <v>25</v>
      </c>
      <c r="D91">
        <f t="shared" si="2"/>
        <v>2018</v>
      </c>
      <c r="F91">
        <v>0.49477500000000002</v>
      </c>
    </row>
    <row r="92" spans="1:6" hidden="1" x14ac:dyDescent="0.25">
      <c r="A92">
        <f t="shared" si="3"/>
        <v>1</v>
      </c>
      <c r="B92" s="37">
        <v>43191</v>
      </c>
      <c r="C92" t="s">
        <v>26</v>
      </c>
      <c r="D92">
        <f t="shared" si="2"/>
        <v>2018</v>
      </c>
    </row>
    <row r="93" spans="1:6" hidden="1" x14ac:dyDescent="0.25">
      <c r="A93">
        <f t="shared" si="3"/>
        <v>2</v>
      </c>
      <c r="B93" s="37">
        <v>43192</v>
      </c>
      <c r="C93" t="s">
        <v>26</v>
      </c>
      <c r="D93">
        <f t="shared" si="2"/>
        <v>2018</v>
      </c>
      <c r="F93">
        <v>0.49477500000000002</v>
      </c>
    </row>
    <row r="94" spans="1:6" hidden="1" x14ac:dyDescent="0.25">
      <c r="A94">
        <f t="shared" si="3"/>
        <v>3</v>
      </c>
      <c r="B94" s="37">
        <v>43193</v>
      </c>
      <c r="C94" t="s">
        <v>26</v>
      </c>
      <c r="D94">
        <f t="shared" si="2"/>
        <v>2018</v>
      </c>
      <c r="F94">
        <v>0.49477500000000002</v>
      </c>
    </row>
    <row r="95" spans="1:6" hidden="1" x14ac:dyDescent="0.25">
      <c r="A95">
        <f t="shared" si="3"/>
        <v>4</v>
      </c>
      <c r="B95" s="37">
        <v>43194</v>
      </c>
      <c r="C95" t="s">
        <v>26</v>
      </c>
      <c r="D95">
        <f t="shared" si="2"/>
        <v>2018</v>
      </c>
      <c r="F95">
        <v>0.49477500000000002</v>
      </c>
    </row>
    <row r="96" spans="1:6" hidden="1" x14ac:dyDescent="0.25">
      <c r="A96">
        <f t="shared" si="3"/>
        <v>5</v>
      </c>
      <c r="B96" s="37">
        <v>43195</v>
      </c>
      <c r="C96" t="s">
        <v>26</v>
      </c>
      <c r="D96">
        <f t="shared" si="2"/>
        <v>2018</v>
      </c>
      <c r="F96">
        <v>0.49477500000000002</v>
      </c>
    </row>
    <row r="97" spans="1:6" hidden="1" x14ac:dyDescent="0.25">
      <c r="A97">
        <f t="shared" si="3"/>
        <v>6</v>
      </c>
      <c r="B97" s="37">
        <v>43196</v>
      </c>
      <c r="C97" t="s">
        <v>26</v>
      </c>
      <c r="D97">
        <f t="shared" si="2"/>
        <v>2018</v>
      </c>
      <c r="F97">
        <v>0.49477500000000002</v>
      </c>
    </row>
    <row r="98" spans="1:6" hidden="1" x14ac:dyDescent="0.25">
      <c r="A98">
        <f t="shared" si="3"/>
        <v>7</v>
      </c>
      <c r="B98" s="37">
        <v>43197</v>
      </c>
      <c r="C98" t="s">
        <v>26</v>
      </c>
      <c r="D98">
        <f t="shared" si="2"/>
        <v>2018</v>
      </c>
    </row>
    <row r="99" spans="1:6" hidden="1" x14ac:dyDescent="0.25">
      <c r="A99">
        <f t="shared" si="3"/>
        <v>8</v>
      </c>
      <c r="B99" s="37">
        <v>43198</v>
      </c>
      <c r="C99" t="s">
        <v>26</v>
      </c>
      <c r="D99">
        <f t="shared" si="2"/>
        <v>2018</v>
      </c>
    </row>
    <row r="100" spans="1:6" hidden="1" x14ac:dyDescent="0.25">
      <c r="A100">
        <f t="shared" si="3"/>
        <v>9</v>
      </c>
      <c r="B100" s="37">
        <v>43199</v>
      </c>
      <c r="C100" t="s">
        <v>26</v>
      </c>
      <c r="D100">
        <f t="shared" si="2"/>
        <v>2018</v>
      </c>
      <c r="F100">
        <v>0.495</v>
      </c>
    </row>
    <row r="101" spans="1:6" hidden="1" x14ac:dyDescent="0.25">
      <c r="A101">
        <f t="shared" si="3"/>
        <v>10</v>
      </c>
      <c r="B101" s="37">
        <v>43200</v>
      </c>
      <c r="C101" t="s">
        <v>26</v>
      </c>
      <c r="D101">
        <f t="shared" si="2"/>
        <v>2018</v>
      </c>
      <c r="F101">
        <v>0.495</v>
      </c>
    </row>
    <row r="102" spans="1:6" hidden="1" x14ac:dyDescent="0.25">
      <c r="A102">
        <f t="shared" si="3"/>
        <v>11</v>
      </c>
      <c r="B102" s="37">
        <v>43201</v>
      </c>
      <c r="C102" t="s">
        <v>26</v>
      </c>
      <c r="D102">
        <f t="shared" si="2"/>
        <v>2018</v>
      </c>
      <c r="F102">
        <v>0.495</v>
      </c>
    </row>
    <row r="103" spans="1:6" hidden="1" x14ac:dyDescent="0.25">
      <c r="A103">
        <f t="shared" si="3"/>
        <v>12</v>
      </c>
      <c r="B103" s="37">
        <v>43202</v>
      </c>
      <c r="C103" t="s">
        <v>26</v>
      </c>
      <c r="D103">
        <f t="shared" si="2"/>
        <v>2018</v>
      </c>
      <c r="F103">
        <v>0.495</v>
      </c>
    </row>
    <row r="104" spans="1:6" hidden="1" x14ac:dyDescent="0.25">
      <c r="A104">
        <f t="shared" si="3"/>
        <v>13</v>
      </c>
      <c r="B104" s="37">
        <v>43203</v>
      </c>
      <c r="C104" t="s">
        <v>26</v>
      </c>
      <c r="D104">
        <f t="shared" si="2"/>
        <v>2018</v>
      </c>
      <c r="F104">
        <v>0.495</v>
      </c>
    </row>
    <row r="105" spans="1:6" hidden="1" x14ac:dyDescent="0.25">
      <c r="A105">
        <f t="shared" si="3"/>
        <v>14</v>
      </c>
      <c r="B105" s="37">
        <v>43204</v>
      </c>
      <c r="C105" t="s">
        <v>26</v>
      </c>
      <c r="D105">
        <f t="shared" si="2"/>
        <v>2018</v>
      </c>
    </row>
    <row r="106" spans="1:6" hidden="1" x14ac:dyDescent="0.25">
      <c r="A106">
        <f t="shared" si="3"/>
        <v>15</v>
      </c>
      <c r="B106" s="37">
        <v>43205</v>
      </c>
      <c r="C106" t="s">
        <v>26</v>
      </c>
      <c r="D106">
        <f t="shared" si="2"/>
        <v>2018</v>
      </c>
    </row>
    <row r="107" spans="1:6" hidden="1" x14ac:dyDescent="0.25">
      <c r="A107">
        <f t="shared" si="3"/>
        <v>16</v>
      </c>
      <c r="B107" s="37">
        <v>43206</v>
      </c>
      <c r="C107" t="s">
        <v>26</v>
      </c>
      <c r="D107">
        <f t="shared" si="2"/>
        <v>2018</v>
      </c>
      <c r="F107">
        <v>0.59499999999999997</v>
      </c>
    </row>
    <row r="108" spans="1:6" hidden="1" x14ac:dyDescent="0.25">
      <c r="A108">
        <f t="shared" si="3"/>
        <v>17</v>
      </c>
      <c r="B108" s="37">
        <v>43207</v>
      </c>
      <c r="C108" t="s">
        <v>26</v>
      </c>
      <c r="D108">
        <f t="shared" si="2"/>
        <v>2018</v>
      </c>
      <c r="F108">
        <v>0.59499999999999997</v>
      </c>
    </row>
    <row r="109" spans="1:6" hidden="1" x14ac:dyDescent="0.25">
      <c r="A109">
        <f t="shared" si="3"/>
        <v>18</v>
      </c>
      <c r="B109" s="37">
        <v>43208</v>
      </c>
      <c r="C109" t="s">
        <v>26</v>
      </c>
      <c r="D109">
        <f t="shared" si="2"/>
        <v>2018</v>
      </c>
      <c r="F109">
        <v>0.59499999999999997</v>
      </c>
    </row>
    <row r="110" spans="1:6" hidden="1" x14ac:dyDescent="0.25">
      <c r="A110">
        <f t="shared" si="3"/>
        <v>19</v>
      </c>
      <c r="B110" s="37">
        <v>43209</v>
      </c>
      <c r="C110" t="s">
        <v>26</v>
      </c>
      <c r="D110">
        <f t="shared" si="2"/>
        <v>2018</v>
      </c>
      <c r="F110">
        <v>0.59499999999999997</v>
      </c>
    </row>
    <row r="111" spans="1:6" hidden="1" x14ac:dyDescent="0.25">
      <c r="A111">
        <f t="shared" si="3"/>
        <v>20</v>
      </c>
      <c r="B111" s="37">
        <v>43210</v>
      </c>
      <c r="C111" t="s">
        <v>26</v>
      </c>
      <c r="D111">
        <f t="shared" si="2"/>
        <v>2018</v>
      </c>
      <c r="F111">
        <v>0.59499999999999997</v>
      </c>
    </row>
    <row r="112" spans="1:6" hidden="1" x14ac:dyDescent="0.25">
      <c r="A112">
        <f t="shared" si="3"/>
        <v>21</v>
      </c>
      <c r="B112" s="37">
        <v>43211</v>
      </c>
      <c r="C112" t="s">
        <v>26</v>
      </c>
      <c r="D112">
        <f t="shared" si="2"/>
        <v>2018</v>
      </c>
    </row>
    <row r="113" spans="1:6" hidden="1" x14ac:dyDescent="0.25">
      <c r="A113">
        <f t="shared" si="3"/>
        <v>22</v>
      </c>
      <c r="B113" s="37">
        <v>43212</v>
      </c>
      <c r="C113" t="s">
        <v>26</v>
      </c>
      <c r="D113">
        <f t="shared" si="2"/>
        <v>2018</v>
      </c>
    </row>
    <row r="114" spans="1:6" hidden="1" x14ac:dyDescent="0.25">
      <c r="A114">
        <f t="shared" si="3"/>
        <v>23</v>
      </c>
      <c r="B114" s="37">
        <v>43213</v>
      </c>
      <c r="C114" t="s">
        <v>26</v>
      </c>
      <c r="D114">
        <f t="shared" si="2"/>
        <v>2018</v>
      </c>
      <c r="F114">
        <v>0.66937500000000005</v>
      </c>
    </row>
    <row r="115" spans="1:6" hidden="1" x14ac:dyDescent="0.25">
      <c r="A115">
        <f t="shared" si="3"/>
        <v>24</v>
      </c>
      <c r="B115" s="37">
        <v>43214</v>
      </c>
      <c r="C115" t="s">
        <v>26</v>
      </c>
      <c r="D115">
        <f t="shared" si="2"/>
        <v>2018</v>
      </c>
      <c r="F115">
        <v>0.66937500000000005</v>
      </c>
    </row>
    <row r="116" spans="1:6" hidden="1" x14ac:dyDescent="0.25">
      <c r="A116">
        <f t="shared" si="3"/>
        <v>25</v>
      </c>
      <c r="B116" s="37">
        <v>43215</v>
      </c>
      <c r="C116" t="s">
        <v>26</v>
      </c>
      <c r="D116">
        <f t="shared" si="2"/>
        <v>2018</v>
      </c>
      <c r="F116">
        <v>0.66937500000000005</v>
      </c>
    </row>
    <row r="117" spans="1:6" hidden="1" x14ac:dyDescent="0.25">
      <c r="A117">
        <f t="shared" si="3"/>
        <v>26</v>
      </c>
      <c r="B117" s="37">
        <v>43216</v>
      </c>
      <c r="C117" t="s">
        <v>26</v>
      </c>
      <c r="D117">
        <f t="shared" si="2"/>
        <v>2018</v>
      </c>
      <c r="F117">
        <v>0.66937500000000005</v>
      </c>
    </row>
    <row r="118" spans="1:6" hidden="1" x14ac:dyDescent="0.25">
      <c r="A118">
        <f t="shared" si="3"/>
        <v>27</v>
      </c>
      <c r="B118" s="37">
        <v>43217</v>
      </c>
      <c r="C118" t="s">
        <v>26</v>
      </c>
      <c r="D118">
        <f t="shared" si="2"/>
        <v>2018</v>
      </c>
      <c r="F118">
        <v>0.66937500000000005</v>
      </c>
    </row>
    <row r="119" spans="1:6" hidden="1" x14ac:dyDescent="0.25">
      <c r="A119">
        <f t="shared" si="3"/>
        <v>28</v>
      </c>
      <c r="B119" s="37">
        <v>43218</v>
      </c>
      <c r="C119" t="s">
        <v>26</v>
      </c>
      <c r="D119">
        <f t="shared" si="2"/>
        <v>2018</v>
      </c>
    </row>
    <row r="120" spans="1:6" hidden="1" x14ac:dyDescent="0.25">
      <c r="A120">
        <f t="shared" si="3"/>
        <v>29</v>
      </c>
      <c r="B120" s="37">
        <v>43219</v>
      </c>
      <c r="C120" t="s">
        <v>26</v>
      </c>
      <c r="D120">
        <f t="shared" si="2"/>
        <v>2018</v>
      </c>
    </row>
    <row r="121" spans="1:6" hidden="1" x14ac:dyDescent="0.25">
      <c r="A121">
        <f t="shared" si="3"/>
        <v>30</v>
      </c>
      <c r="B121" s="37">
        <v>43220</v>
      </c>
      <c r="C121" t="s">
        <v>26</v>
      </c>
      <c r="D121">
        <f t="shared" si="2"/>
        <v>2018</v>
      </c>
      <c r="F121">
        <v>0.69</v>
      </c>
    </row>
    <row r="122" spans="1:6" hidden="1" x14ac:dyDescent="0.25">
      <c r="A122">
        <f t="shared" si="3"/>
        <v>1</v>
      </c>
      <c r="B122" s="37">
        <v>43221</v>
      </c>
      <c r="C122" t="s">
        <v>27</v>
      </c>
      <c r="D122">
        <f t="shared" si="2"/>
        <v>2018</v>
      </c>
    </row>
    <row r="123" spans="1:6" hidden="1" x14ac:dyDescent="0.25">
      <c r="A123">
        <f t="shared" si="3"/>
        <v>2</v>
      </c>
      <c r="B123" s="37">
        <v>43222</v>
      </c>
      <c r="C123" t="s">
        <v>27</v>
      </c>
      <c r="D123">
        <f t="shared" si="2"/>
        <v>2018</v>
      </c>
      <c r="F123">
        <v>0.69</v>
      </c>
    </row>
    <row r="124" spans="1:6" hidden="1" x14ac:dyDescent="0.25">
      <c r="A124">
        <f t="shared" si="3"/>
        <v>3</v>
      </c>
      <c r="B124" s="37">
        <v>43223</v>
      </c>
      <c r="C124" t="s">
        <v>27</v>
      </c>
      <c r="D124">
        <f t="shared" si="2"/>
        <v>2018</v>
      </c>
      <c r="F124">
        <v>0.69</v>
      </c>
    </row>
    <row r="125" spans="1:6" hidden="1" x14ac:dyDescent="0.25">
      <c r="A125">
        <f t="shared" si="3"/>
        <v>4</v>
      </c>
      <c r="B125" s="37">
        <v>43224</v>
      </c>
      <c r="C125" t="s">
        <v>27</v>
      </c>
      <c r="D125">
        <f t="shared" si="2"/>
        <v>2018</v>
      </c>
      <c r="F125">
        <v>0.69</v>
      </c>
    </row>
    <row r="126" spans="1:6" hidden="1" x14ac:dyDescent="0.25">
      <c r="A126">
        <f t="shared" si="3"/>
        <v>5</v>
      </c>
      <c r="B126" s="37">
        <v>43225</v>
      </c>
      <c r="C126" t="s">
        <v>27</v>
      </c>
      <c r="D126">
        <f t="shared" si="2"/>
        <v>2018</v>
      </c>
    </row>
    <row r="127" spans="1:6" hidden="1" x14ac:dyDescent="0.25">
      <c r="A127">
        <f t="shared" si="3"/>
        <v>6</v>
      </c>
      <c r="B127" s="37">
        <v>43226</v>
      </c>
      <c r="C127" t="s">
        <v>27</v>
      </c>
      <c r="D127">
        <f t="shared" si="2"/>
        <v>2018</v>
      </c>
    </row>
    <row r="128" spans="1:6" hidden="1" x14ac:dyDescent="0.25">
      <c r="A128">
        <f t="shared" si="3"/>
        <v>7</v>
      </c>
      <c r="B128" s="37">
        <v>43227</v>
      </c>
      <c r="C128" t="s">
        <v>27</v>
      </c>
      <c r="D128">
        <f t="shared" si="2"/>
        <v>2018</v>
      </c>
      <c r="F128">
        <v>0.7</v>
      </c>
    </row>
    <row r="129" spans="1:6" hidden="1" x14ac:dyDescent="0.25">
      <c r="A129">
        <f t="shared" si="3"/>
        <v>8</v>
      </c>
      <c r="B129" s="37">
        <v>43228</v>
      </c>
      <c r="C129" t="s">
        <v>27</v>
      </c>
      <c r="D129">
        <f t="shared" si="2"/>
        <v>2018</v>
      </c>
      <c r="F129">
        <v>0.7</v>
      </c>
    </row>
    <row r="130" spans="1:6" hidden="1" x14ac:dyDescent="0.25">
      <c r="A130">
        <f t="shared" si="3"/>
        <v>9</v>
      </c>
      <c r="B130" s="37">
        <v>43229</v>
      </c>
      <c r="C130" t="s">
        <v>27</v>
      </c>
      <c r="D130">
        <f t="shared" si="2"/>
        <v>2018</v>
      </c>
      <c r="F130">
        <v>0.7</v>
      </c>
    </row>
    <row r="131" spans="1:6" hidden="1" x14ac:dyDescent="0.25">
      <c r="A131">
        <f t="shared" si="3"/>
        <v>10</v>
      </c>
      <c r="B131" s="37">
        <v>43230</v>
      </c>
      <c r="C131" t="s">
        <v>27</v>
      </c>
      <c r="D131">
        <f t="shared" ref="D131:D194" si="4">YEAR(B131)</f>
        <v>2018</v>
      </c>
      <c r="F131">
        <v>0.7</v>
      </c>
    </row>
    <row r="132" spans="1:6" hidden="1" x14ac:dyDescent="0.25">
      <c r="A132">
        <f t="shared" ref="A132:A195" si="5">DAY(B132)</f>
        <v>11</v>
      </c>
      <c r="B132" s="37">
        <v>43231</v>
      </c>
      <c r="C132" t="s">
        <v>27</v>
      </c>
      <c r="D132">
        <f t="shared" si="4"/>
        <v>2018</v>
      </c>
      <c r="F132">
        <v>0.7</v>
      </c>
    </row>
    <row r="133" spans="1:6" hidden="1" x14ac:dyDescent="0.25">
      <c r="A133">
        <f t="shared" si="5"/>
        <v>12</v>
      </c>
      <c r="B133" s="37">
        <v>43232</v>
      </c>
      <c r="C133" t="s">
        <v>27</v>
      </c>
      <c r="D133">
        <f t="shared" si="4"/>
        <v>2018</v>
      </c>
    </row>
    <row r="134" spans="1:6" hidden="1" x14ac:dyDescent="0.25">
      <c r="A134">
        <f t="shared" si="5"/>
        <v>13</v>
      </c>
      <c r="B134" s="37">
        <v>43233</v>
      </c>
      <c r="C134" t="s">
        <v>27</v>
      </c>
      <c r="D134">
        <f t="shared" si="4"/>
        <v>2018</v>
      </c>
    </row>
    <row r="135" spans="1:6" hidden="1" x14ac:dyDescent="0.25">
      <c r="A135">
        <f t="shared" si="5"/>
        <v>14</v>
      </c>
      <c r="B135" s="37">
        <v>43234</v>
      </c>
      <c r="C135" t="s">
        <v>27</v>
      </c>
      <c r="D135">
        <f t="shared" si="4"/>
        <v>2018</v>
      </c>
    </row>
    <row r="136" spans="1:6" hidden="1" x14ac:dyDescent="0.25">
      <c r="A136">
        <f t="shared" si="5"/>
        <v>15</v>
      </c>
      <c r="B136" s="37">
        <v>43235</v>
      </c>
      <c r="C136" t="s">
        <v>27</v>
      </c>
      <c r="D136">
        <f t="shared" si="4"/>
        <v>2018</v>
      </c>
      <c r="F136">
        <v>0.7</v>
      </c>
    </row>
    <row r="137" spans="1:6" hidden="1" x14ac:dyDescent="0.25">
      <c r="A137">
        <f t="shared" si="5"/>
        <v>16</v>
      </c>
      <c r="B137" s="37">
        <v>43236</v>
      </c>
      <c r="C137" t="s">
        <v>27</v>
      </c>
      <c r="D137">
        <f t="shared" si="4"/>
        <v>2018</v>
      </c>
      <c r="F137">
        <v>0.7</v>
      </c>
    </row>
    <row r="138" spans="1:6" hidden="1" x14ac:dyDescent="0.25">
      <c r="A138">
        <f t="shared" si="5"/>
        <v>17</v>
      </c>
      <c r="B138" s="37">
        <v>43237</v>
      </c>
      <c r="C138" t="s">
        <v>27</v>
      </c>
      <c r="D138">
        <f t="shared" si="4"/>
        <v>2018</v>
      </c>
      <c r="F138">
        <v>0.7</v>
      </c>
    </row>
    <row r="139" spans="1:6" hidden="1" x14ac:dyDescent="0.25">
      <c r="A139">
        <f t="shared" si="5"/>
        <v>18</v>
      </c>
      <c r="B139" s="37">
        <v>43238</v>
      </c>
      <c r="C139" t="s">
        <v>27</v>
      </c>
      <c r="D139">
        <f t="shared" si="4"/>
        <v>2018</v>
      </c>
      <c r="F139">
        <v>0.7</v>
      </c>
    </row>
    <row r="140" spans="1:6" hidden="1" x14ac:dyDescent="0.25">
      <c r="A140">
        <f t="shared" si="5"/>
        <v>19</v>
      </c>
      <c r="B140" s="37">
        <v>43239</v>
      </c>
      <c r="C140" t="s">
        <v>27</v>
      </c>
      <c r="D140">
        <f t="shared" si="4"/>
        <v>2018</v>
      </c>
    </row>
    <row r="141" spans="1:6" hidden="1" x14ac:dyDescent="0.25">
      <c r="A141">
        <f t="shared" si="5"/>
        <v>20</v>
      </c>
      <c r="B141" s="37">
        <v>43240</v>
      </c>
      <c r="C141" t="s">
        <v>27</v>
      </c>
      <c r="D141">
        <f t="shared" si="4"/>
        <v>2018</v>
      </c>
    </row>
    <row r="142" spans="1:6" hidden="1" x14ac:dyDescent="0.25">
      <c r="A142">
        <f t="shared" si="5"/>
        <v>21</v>
      </c>
      <c r="B142" s="37">
        <v>43241</v>
      </c>
      <c r="C142" t="s">
        <v>27</v>
      </c>
      <c r="D142">
        <f t="shared" si="4"/>
        <v>2018</v>
      </c>
      <c r="F142">
        <v>0.78749999999999998</v>
      </c>
    </row>
    <row r="143" spans="1:6" hidden="1" x14ac:dyDescent="0.25">
      <c r="A143">
        <f t="shared" si="5"/>
        <v>22</v>
      </c>
      <c r="B143" s="37">
        <v>43242</v>
      </c>
      <c r="C143" t="s">
        <v>27</v>
      </c>
      <c r="D143">
        <f t="shared" si="4"/>
        <v>2018</v>
      </c>
      <c r="F143">
        <v>0.78749999999999998</v>
      </c>
    </row>
    <row r="144" spans="1:6" hidden="1" x14ac:dyDescent="0.25">
      <c r="A144">
        <f t="shared" si="5"/>
        <v>23</v>
      </c>
      <c r="B144" s="37">
        <v>43243</v>
      </c>
      <c r="C144" t="s">
        <v>27</v>
      </c>
      <c r="D144">
        <f t="shared" si="4"/>
        <v>2018</v>
      </c>
      <c r="F144">
        <v>0.78749999999999998</v>
      </c>
    </row>
    <row r="145" spans="1:6" hidden="1" x14ac:dyDescent="0.25">
      <c r="A145">
        <f t="shared" si="5"/>
        <v>24</v>
      </c>
      <c r="B145" s="37">
        <v>43244</v>
      </c>
      <c r="C145" t="s">
        <v>27</v>
      </c>
      <c r="D145">
        <f t="shared" si="4"/>
        <v>2018</v>
      </c>
      <c r="F145">
        <v>0.78749999999999998</v>
      </c>
    </row>
    <row r="146" spans="1:6" hidden="1" x14ac:dyDescent="0.25">
      <c r="A146">
        <f t="shared" si="5"/>
        <v>25</v>
      </c>
      <c r="B146" s="37">
        <v>43245</v>
      </c>
      <c r="C146" t="s">
        <v>27</v>
      </c>
      <c r="D146">
        <f t="shared" si="4"/>
        <v>2018</v>
      </c>
      <c r="F146">
        <v>0.78749999999999998</v>
      </c>
    </row>
    <row r="147" spans="1:6" hidden="1" x14ac:dyDescent="0.25">
      <c r="A147">
        <f t="shared" si="5"/>
        <v>26</v>
      </c>
      <c r="B147" s="37">
        <v>43246</v>
      </c>
      <c r="C147" t="s">
        <v>27</v>
      </c>
      <c r="D147">
        <f t="shared" si="4"/>
        <v>2018</v>
      </c>
    </row>
    <row r="148" spans="1:6" hidden="1" x14ac:dyDescent="0.25">
      <c r="A148">
        <f t="shared" si="5"/>
        <v>27</v>
      </c>
      <c r="B148" s="37">
        <v>43247</v>
      </c>
      <c r="C148" t="s">
        <v>27</v>
      </c>
      <c r="D148">
        <f t="shared" si="4"/>
        <v>2018</v>
      </c>
    </row>
    <row r="149" spans="1:6" hidden="1" x14ac:dyDescent="0.25">
      <c r="A149">
        <f t="shared" si="5"/>
        <v>28</v>
      </c>
      <c r="B149" s="37">
        <v>43248</v>
      </c>
      <c r="C149" t="s">
        <v>27</v>
      </c>
      <c r="D149">
        <f t="shared" si="4"/>
        <v>2018</v>
      </c>
      <c r="F149">
        <v>0.78749999999999998</v>
      </c>
    </row>
    <row r="150" spans="1:6" hidden="1" x14ac:dyDescent="0.25">
      <c r="A150">
        <f t="shared" si="5"/>
        <v>29</v>
      </c>
      <c r="B150" s="37">
        <v>43249</v>
      </c>
      <c r="C150" t="s">
        <v>27</v>
      </c>
      <c r="D150">
        <f t="shared" si="4"/>
        <v>2018</v>
      </c>
      <c r="F150">
        <v>0.8</v>
      </c>
    </row>
    <row r="151" spans="1:6" hidden="1" x14ac:dyDescent="0.25">
      <c r="A151">
        <f t="shared" si="5"/>
        <v>30</v>
      </c>
      <c r="B151" s="37">
        <v>43250</v>
      </c>
      <c r="C151" t="s">
        <v>27</v>
      </c>
      <c r="D151">
        <f t="shared" si="4"/>
        <v>2018</v>
      </c>
      <c r="F151">
        <v>0.8</v>
      </c>
    </row>
    <row r="152" spans="1:6" hidden="1" x14ac:dyDescent="0.25">
      <c r="A152">
        <f t="shared" si="5"/>
        <v>31</v>
      </c>
      <c r="B152" s="37">
        <v>43251</v>
      </c>
      <c r="C152" t="s">
        <v>27</v>
      </c>
      <c r="D152">
        <f t="shared" si="4"/>
        <v>2018</v>
      </c>
      <c r="F152">
        <v>0.8</v>
      </c>
    </row>
    <row r="153" spans="1:6" hidden="1" x14ac:dyDescent="0.25">
      <c r="A153">
        <f t="shared" si="5"/>
        <v>1</v>
      </c>
      <c r="B153" s="37">
        <v>43252</v>
      </c>
      <c r="C153" t="s">
        <v>28</v>
      </c>
      <c r="D153">
        <f t="shared" si="4"/>
        <v>2018</v>
      </c>
      <c r="F153">
        <v>0.8</v>
      </c>
    </row>
    <row r="154" spans="1:6" hidden="1" x14ac:dyDescent="0.25">
      <c r="A154">
        <f t="shared" si="5"/>
        <v>2</v>
      </c>
      <c r="B154" s="37">
        <v>43253</v>
      </c>
      <c r="C154" t="s">
        <v>28</v>
      </c>
      <c r="D154">
        <f t="shared" si="4"/>
        <v>2018</v>
      </c>
    </row>
    <row r="155" spans="1:6" hidden="1" x14ac:dyDescent="0.25">
      <c r="A155">
        <f t="shared" si="5"/>
        <v>3</v>
      </c>
      <c r="B155" s="37">
        <v>43254</v>
      </c>
      <c r="C155" t="s">
        <v>28</v>
      </c>
      <c r="D155">
        <f t="shared" si="4"/>
        <v>2018</v>
      </c>
    </row>
    <row r="156" spans="1:6" hidden="1" x14ac:dyDescent="0.25">
      <c r="A156">
        <f t="shared" si="5"/>
        <v>4</v>
      </c>
      <c r="B156" s="37">
        <v>43255</v>
      </c>
      <c r="C156" t="s">
        <v>28</v>
      </c>
      <c r="D156">
        <f t="shared" si="4"/>
        <v>2018</v>
      </c>
    </row>
    <row r="157" spans="1:6" hidden="1" x14ac:dyDescent="0.25">
      <c r="A157">
        <f t="shared" si="5"/>
        <v>5</v>
      </c>
      <c r="B157" s="37">
        <v>43256</v>
      </c>
      <c r="C157" t="s">
        <v>28</v>
      </c>
      <c r="D157">
        <f t="shared" si="4"/>
        <v>2018</v>
      </c>
      <c r="F157">
        <v>0.8</v>
      </c>
    </row>
    <row r="158" spans="1:6" hidden="1" x14ac:dyDescent="0.25">
      <c r="A158">
        <f t="shared" si="5"/>
        <v>6</v>
      </c>
      <c r="B158" s="37">
        <v>43257</v>
      </c>
      <c r="C158" t="s">
        <v>28</v>
      </c>
      <c r="D158">
        <f t="shared" si="4"/>
        <v>2018</v>
      </c>
      <c r="F158">
        <v>0.8</v>
      </c>
    </row>
    <row r="159" spans="1:6" hidden="1" x14ac:dyDescent="0.25">
      <c r="A159">
        <f t="shared" si="5"/>
        <v>7</v>
      </c>
      <c r="B159" s="37">
        <v>43258</v>
      </c>
      <c r="C159" t="s">
        <v>28</v>
      </c>
      <c r="D159">
        <f t="shared" si="4"/>
        <v>2018</v>
      </c>
      <c r="F159">
        <v>0.8</v>
      </c>
    </row>
    <row r="160" spans="1:6" hidden="1" x14ac:dyDescent="0.25">
      <c r="A160">
        <f t="shared" si="5"/>
        <v>8</v>
      </c>
      <c r="B160" s="37">
        <v>43259</v>
      </c>
      <c r="C160" t="s">
        <v>28</v>
      </c>
      <c r="D160">
        <f t="shared" si="4"/>
        <v>2018</v>
      </c>
      <c r="F160">
        <v>0.8</v>
      </c>
    </row>
    <row r="161" spans="1:6" hidden="1" x14ac:dyDescent="0.25">
      <c r="A161">
        <f t="shared" si="5"/>
        <v>9</v>
      </c>
      <c r="B161" s="37">
        <v>43260</v>
      </c>
      <c r="C161" t="s">
        <v>28</v>
      </c>
      <c r="D161">
        <f t="shared" si="4"/>
        <v>2018</v>
      </c>
    </row>
    <row r="162" spans="1:6" hidden="1" x14ac:dyDescent="0.25">
      <c r="A162">
        <f t="shared" si="5"/>
        <v>10</v>
      </c>
      <c r="B162" s="37">
        <v>43261</v>
      </c>
      <c r="C162" t="s">
        <v>28</v>
      </c>
      <c r="D162">
        <f t="shared" si="4"/>
        <v>2018</v>
      </c>
    </row>
    <row r="163" spans="1:6" hidden="1" x14ac:dyDescent="0.25">
      <c r="A163">
        <f t="shared" si="5"/>
        <v>11</v>
      </c>
      <c r="B163" s="37">
        <v>43262</v>
      </c>
      <c r="C163" t="s">
        <v>28</v>
      </c>
      <c r="D163">
        <f t="shared" si="4"/>
        <v>2018</v>
      </c>
      <c r="F163">
        <v>0.8</v>
      </c>
    </row>
    <row r="164" spans="1:6" hidden="1" x14ac:dyDescent="0.25">
      <c r="A164">
        <f t="shared" si="5"/>
        <v>12</v>
      </c>
      <c r="B164" s="37">
        <v>43263</v>
      </c>
      <c r="C164" t="s">
        <v>28</v>
      </c>
      <c r="D164">
        <f t="shared" si="4"/>
        <v>2018</v>
      </c>
      <c r="F164">
        <v>0.8</v>
      </c>
    </row>
    <row r="165" spans="1:6" hidden="1" x14ac:dyDescent="0.25">
      <c r="A165">
        <f t="shared" si="5"/>
        <v>13</v>
      </c>
      <c r="B165" s="37">
        <v>43264</v>
      </c>
      <c r="C165" t="s">
        <v>28</v>
      </c>
      <c r="D165">
        <f t="shared" si="4"/>
        <v>2018</v>
      </c>
      <c r="F165">
        <v>0.8</v>
      </c>
    </row>
    <row r="166" spans="1:6" hidden="1" x14ac:dyDescent="0.25">
      <c r="A166">
        <f t="shared" si="5"/>
        <v>14</v>
      </c>
      <c r="B166" s="37">
        <v>43265</v>
      </c>
      <c r="C166" t="s">
        <v>28</v>
      </c>
      <c r="D166">
        <f t="shared" si="4"/>
        <v>2018</v>
      </c>
      <c r="F166">
        <v>0.8</v>
      </c>
    </row>
    <row r="167" spans="1:6" hidden="1" x14ac:dyDescent="0.25">
      <c r="A167">
        <f t="shared" si="5"/>
        <v>15</v>
      </c>
      <c r="B167" s="37">
        <v>43266</v>
      </c>
      <c r="C167" t="s">
        <v>28</v>
      </c>
      <c r="D167">
        <f t="shared" si="4"/>
        <v>2018</v>
      </c>
      <c r="F167">
        <v>0.8</v>
      </c>
    </row>
    <row r="168" spans="1:6" hidden="1" x14ac:dyDescent="0.25">
      <c r="A168">
        <f t="shared" si="5"/>
        <v>16</v>
      </c>
      <c r="B168" s="37">
        <v>43267</v>
      </c>
      <c r="C168" t="s">
        <v>28</v>
      </c>
      <c r="D168">
        <f t="shared" si="4"/>
        <v>2018</v>
      </c>
    </row>
    <row r="169" spans="1:6" hidden="1" x14ac:dyDescent="0.25">
      <c r="A169">
        <f t="shared" si="5"/>
        <v>17</v>
      </c>
      <c r="B169" s="37">
        <v>43268</v>
      </c>
      <c r="C169" t="s">
        <v>28</v>
      </c>
      <c r="D169">
        <f t="shared" si="4"/>
        <v>2018</v>
      </c>
    </row>
    <row r="170" spans="1:6" hidden="1" x14ac:dyDescent="0.25">
      <c r="A170">
        <f t="shared" si="5"/>
        <v>18</v>
      </c>
      <c r="B170" s="37">
        <v>43269</v>
      </c>
      <c r="C170" t="s">
        <v>28</v>
      </c>
      <c r="D170">
        <f t="shared" si="4"/>
        <v>2018</v>
      </c>
      <c r="F170">
        <v>0.8</v>
      </c>
    </row>
    <row r="171" spans="1:6" hidden="1" x14ac:dyDescent="0.25">
      <c r="A171">
        <f t="shared" si="5"/>
        <v>19</v>
      </c>
      <c r="B171" s="37">
        <v>43270</v>
      </c>
      <c r="C171" t="s">
        <v>28</v>
      </c>
      <c r="D171">
        <f t="shared" si="4"/>
        <v>2018</v>
      </c>
      <c r="F171">
        <v>0.8</v>
      </c>
    </row>
    <row r="172" spans="1:6" hidden="1" x14ac:dyDescent="0.25">
      <c r="A172">
        <f t="shared" si="5"/>
        <v>20</v>
      </c>
      <c r="B172" s="37">
        <v>43271</v>
      </c>
      <c r="C172" t="s">
        <v>28</v>
      </c>
      <c r="D172">
        <f t="shared" si="4"/>
        <v>2018</v>
      </c>
      <c r="F172">
        <v>0.8</v>
      </c>
    </row>
    <row r="173" spans="1:6" hidden="1" x14ac:dyDescent="0.25">
      <c r="A173">
        <f t="shared" si="5"/>
        <v>21</v>
      </c>
      <c r="B173" s="37">
        <v>43272</v>
      </c>
      <c r="C173" t="s">
        <v>28</v>
      </c>
      <c r="D173">
        <f t="shared" si="4"/>
        <v>2018</v>
      </c>
      <c r="F173">
        <v>0.8</v>
      </c>
    </row>
    <row r="174" spans="1:6" hidden="1" x14ac:dyDescent="0.25">
      <c r="A174">
        <f t="shared" si="5"/>
        <v>22</v>
      </c>
      <c r="B174" s="37">
        <v>43273</v>
      </c>
      <c r="C174" t="s">
        <v>28</v>
      </c>
      <c r="D174">
        <f t="shared" si="4"/>
        <v>2018</v>
      </c>
      <c r="F174">
        <v>0.8</v>
      </c>
    </row>
    <row r="175" spans="1:6" hidden="1" x14ac:dyDescent="0.25">
      <c r="A175">
        <f t="shared" si="5"/>
        <v>23</v>
      </c>
      <c r="B175" s="37">
        <v>43274</v>
      </c>
      <c r="C175" t="s">
        <v>28</v>
      </c>
      <c r="D175">
        <f t="shared" si="4"/>
        <v>2018</v>
      </c>
    </row>
    <row r="176" spans="1:6" hidden="1" x14ac:dyDescent="0.25">
      <c r="A176">
        <f t="shared" si="5"/>
        <v>24</v>
      </c>
      <c r="B176" s="37">
        <v>43275</v>
      </c>
      <c r="C176" t="s">
        <v>28</v>
      </c>
      <c r="D176">
        <f t="shared" si="4"/>
        <v>2018</v>
      </c>
    </row>
    <row r="177" spans="1:6" hidden="1" x14ac:dyDescent="0.25">
      <c r="A177">
        <f t="shared" si="5"/>
        <v>25</v>
      </c>
      <c r="B177" s="37">
        <v>43276</v>
      </c>
      <c r="C177" t="s">
        <v>28</v>
      </c>
      <c r="D177">
        <f t="shared" si="4"/>
        <v>2018</v>
      </c>
      <c r="F177">
        <v>0.96</v>
      </c>
    </row>
    <row r="178" spans="1:6" hidden="1" x14ac:dyDescent="0.25">
      <c r="A178">
        <f t="shared" si="5"/>
        <v>26</v>
      </c>
      <c r="B178" s="37">
        <v>43277</v>
      </c>
      <c r="C178" t="s">
        <v>28</v>
      </c>
      <c r="D178">
        <f t="shared" si="4"/>
        <v>2018</v>
      </c>
      <c r="F178">
        <v>0.96</v>
      </c>
    </row>
    <row r="179" spans="1:6" hidden="1" x14ac:dyDescent="0.25">
      <c r="A179">
        <f t="shared" si="5"/>
        <v>27</v>
      </c>
      <c r="B179" s="37">
        <v>43278</v>
      </c>
      <c r="C179" t="s">
        <v>28</v>
      </c>
      <c r="D179">
        <f t="shared" si="4"/>
        <v>2018</v>
      </c>
      <c r="F179">
        <v>0.96</v>
      </c>
    </row>
    <row r="180" spans="1:6" hidden="1" x14ac:dyDescent="0.25">
      <c r="A180">
        <f t="shared" si="5"/>
        <v>28</v>
      </c>
      <c r="B180" s="37">
        <v>43279</v>
      </c>
      <c r="C180" t="s">
        <v>28</v>
      </c>
      <c r="D180">
        <f t="shared" si="4"/>
        <v>2018</v>
      </c>
      <c r="F180">
        <v>0.96</v>
      </c>
    </row>
    <row r="181" spans="1:6" hidden="1" x14ac:dyDescent="0.25">
      <c r="A181">
        <f t="shared" si="5"/>
        <v>29</v>
      </c>
      <c r="B181" s="37">
        <v>43280</v>
      </c>
      <c r="C181" t="s">
        <v>28</v>
      </c>
      <c r="D181">
        <f t="shared" si="4"/>
        <v>2018</v>
      </c>
      <c r="F181">
        <v>0.96</v>
      </c>
    </row>
    <row r="182" spans="1:6" hidden="1" x14ac:dyDescent="0.25">
      <c r="A182">
        <f t="shared" si="5"/>
        <v>30</v>
      </c>
      <c r="B182" s="37">
        <v>43281</v>
      </c>
      <c r="C182" t="s">
        <v>28</v>
      </c>
      <c r="D182">
        <f t="shared" si="4"/>
        <v>2018</v>
      </c>
      <c r="F182">
        <v>0.96</v>
      </c>
    </row>
    <row r="183" spans="1:6" hidden="1" x14ac:dyDescent="0.25">
      <c r="A183">
        <f t="shared" si="5"/>
        <v>1</v>
      </c>
      <c r="B183" s="37">
        <v>43282</v>
      </c>
      <c r="C183" t="s">
        <v>29</v>
      </c>
      <c r="D183">
        <f t="shared" si="4"/>
        <v>2018</v>
      </c>
    </row>
    <row r="184" spans="1:6" hidden="1" x14ac:dyDescent="0.25">
      <c r="A184">
        <f t="shared" si="5"/>
        <v>2</v>
      </c>
      <c r="B184" s="37">
        <v>43283</v>
      </c>
      <c r="C184" t="s">
        <v>29</v>
      </c>
      <c r="D184">
        <f t="shared" si="4"/>
        <v>2018</v>
      </c>
    </row>
    <row r="185" spans="1:6" hidden="1" x14ac:dyDescent="0.25">
      <c r="A185">
        <f t="shared" si="5"/>
        <v>3</v>
      </c>
      <c r="B185" s="37">
        <v>43284</v>
      </c>
      <c r="C185" t="s">
        <v>29</v>
      </c>
      <c r="D185">
        <f t="shared" si="4"/>
        <v>2018</v>
      </c>
      <c r="F185">
        <v>1.1499999999999999</v>
      </c>
    </row>
    <row r="186" spans="1:6" hidden="1" x14ac:dyDescent="0.25">
      <c r="A186">
        <f t="shared" si="5"/>
        <v>4</v>
      </c>
      <c r="B186" s="37">
        <v>43285</v>
      </c>
      <c r="C186" t="s">
        <v>29</v>
      </c>
      <c r="D186">
        <f t="shared" si="4"/>
        <v>2018</v>
      </c>
      <c r="F186">
        <v>1.1499999999999999</v>
      </c>
    </row>
    <row r="187" spans="1:6" hidden="1" x14ac:dyDescent="0.25">
      <c r="A187">
        <f t="shared" si="5"/>
        <v>5</v>
      </c>
      <c r="B187" s="37">
        <v>43286</v>
      </c>
      <c r="C187" t="s">
        <v>29</v>
      </c>
      <c r="D187">
        <f t="shared" si="4"/>
        <v>2018</v>
      </c>
    </row>
    <row r="188" spans="1:6" hidden="1" x14ac:dyDescent="0.25">
      <c r="A188">
        <f t="shared" si="5"/>
        <v>6</v>
      </c>
      <c r="B188" s="37">
        <v>43287</v>
      </c>
      <c r="C188" t="s">
        <v>29</v>
      </c>
      <c r="D188">
        <f t="shared" si="4"/>
        <v>2018</v>
      </c>
      <c r="F188">
        <v>1.1499999999999999</v>
      </c>
    </row>
    <row r="189" spans="1:6" hidden="1" x14ac:dyDescent="0.25">
      <c r="A189">
        <f t="shared" si="5"/>
        <v>7</v>
      </c>
      <c r="B189" s="37">
        <v>43288</v>
      </c>
      <c r="C189" t="s">
        <v>29</v>
      </c>
      <c r="D189">
        <f t="shared" si="4"/>
        <v>2018</v>
      </c>
    </row>
    <row r="190" spans="1:6" hidden="1" x14ac:dyDescent="0.25">
      <c r="A190">
        <f t="shared" si="5"/>
        <v>8</v>
      </c>
      <c r="B190" s="37">
        <v>43289</v>
      </c>
      <c r="C190" t="s">
        <v>29</v>
      </c>
      <c r="D190">
        <f t="shared" si="4"/>
        <v>2018</v>
      </c>
    </row>
    <row r="191" spans="1:6" hidden="1" x14ac:dyDescent="0.25">
      <c r="A191">
        <f t="shared" si="5"/>
        <v>9</v>
      </c>
      <c r="B191" s="37">
        <v>43290</v>
      </c>
      <c r="C191" t="s">
        <v>29</v>
      </c>
      <c r="D191">
        <f t="shared" si="4"/>
        <v>2018</v>
      </c>
      <c r="F191">
        <v>1.1499999999999999</v>
      </c>
    </row>
    <row r="192" spans="1:6" hidden="1" x14ac:dyDescent="0.25">
      <c r="A192">
        <f t="shared" si="5"/>
        <v>10</v>
      </c>
      <c r="B192" s="37">
        <v>43291</v>
      </c>
      <c r="C192" t="s">
        <v>29</v>
      </c>
      <c r="D192">
        <f t="shared" si="4"/>
        <v>2018</v>
      </c>
      <c r="F192">
        <v>1.2</v>
      </c>
    </row>
    <row r="193" spans="1:6" hidden="1" x14ac:dyDescent="0.25">
      <c r="A193">
        <f t="shared" si="5"/>
        <v>11</v>
      </c>
      <c r="B193" s="37">
        <v>43292</v>
      </c>
      <c r="C193" t="s">
        <v>29</v>
      </c>
      <c r="D193">
        <f t="shared" si="4"/>
        <v>2018</v>
      </c>
      <c r="F193">
        <v>1.2</v>
      </c>
    </row>
    <row r="194" spans="1:6" hidden="1" x14ac:dyDescent="0.25">
      <c r="A194">
        <f t="shared" si="5"/>
        <v>12</v>
      </c>
      <c r="B194" s="37">
        <v>43293</v>
      </c>
      <c r="C194" t="s">
        <v>29</v>
      </c>
      <c r="D194">
        <f t="shared" si="4"/>
        <v>2018</v>
      </c>
      <c r="F194">
        <v>1.2</v>
      </c>
    </row>
    <row r="195" spans="1:6" hidden="1" x14ac:dyDescent="0.25">
      <c r="A195">
        <f t="shared" si="5"/>
        <v>13</v>
      </c>
      <c r="B195" s="37">
        <v>43294</v>
      </c>
      <c r="C195" t="s">
        <v>29</v>
      </c>
      <c r="D195">
        <f t="shared" ref="D195:D258" si="6">YEAR(B195)</f>
        <v>2018</v>
      </c>
      <c r="F195">
        <v>1.2</v>
      </c>
    </row>
    <row r="196" spans="1:6" hidden="1" x14ac:dyDescent="0.25">
      <c r="A196">
        <f t="shared" ref="A196:A259" si="7">DAY(B196)</f>
        <v>14</v>
      </c>
      <c r="B196" s="37">
        <v>43295</v>
      </c>
      <c r="C196" t="s">
        <v>29</v>
      </c>
      <c r="D196">
        <f t="shared" si="6"/>
        <v>2018</v>
      </c>
    </row>
    <row r="197" spans="1:6" hidden="1" x14ac:dyDescent="0.25">
      <c r="A197">
        <f t="shared" si="7"/>
        <v>15</v>
      </c>
      <c r="B197" s="37">
        <v>43296</v>
      </c>
      <c r="C197" t="s">
        <v>29</v>
      </c>
      <c r="D197">
        <f t="shared" si="6"/>
        <v>2018</v>
      </c>
    </row>
    <row r="198" spans="1:6" hidden="1" x14ac:dyDescent="0.25">
      <c r="A198">
        <f t="shared" si="7"/>
        <v>16</v>
      </c>
      <c r="B198" s="37">
        <v>43297</v>
      </c>
      <c r="C198" t="s">
        <v>29</v>
      </c>
      <c r="D198">
        <f t="shared" si="6"/>
        <v>2018</v>
      </c>
      <c r="F198">
        <v>1.2</v>
      </c>
    </row>
    <row r="199" spans="1:6" hidden="1" x14ac:dyDescent="0.25">
      <c r="A199">
        <f t="shared" si="7"/>
        <v>17</v>
      </c>
      <c r="B199" s="37">
        <v>43298</v>
      </c>
      <c r="C199" t="s">
        <v>29</v>
      </c>
      <c r="D199">
        <f t="shared" si="6"/>
        <v>2018</v>
      </c>
      <c r="F199">
        <v>1.2</v>
      </c>
    </row>
    <row r="200" spans="1:6" hidden="1" x14ac:dyDescent="0.25">
      <c r="A200">
        <f t="shared" si="7"/>
        <v>18</v>
      </c>
      <c r="B200" s="37">
        <v>43299</v>
      </c>
      <c r="C200" t="s">
        <v>29</v>
      </c>
      <c r="D200">
        <f t="shared" si="6"/>
        <v>2018</v>
      </c>
      <c r="F200">
        <v>1.2</v>
      </c>
    </row>
    <row r="201" spans="1:6" hidden="1" x14ac:dyDescent="0.25">
      <c r="A201">
        <f t="shared" si="7"/>
        <v>19</v>
      </c>
      <c r="B201" s="37">
        <v>43300</v>
      </c>
      <c r="C201" t="s">
        <v>29</v>
      </c>
      <c r="D201">
        <f t="shared" si="6"/>
        <v>2018</v>
      </c>
      <c r="F201">
        <v>1.2</v>
      </c>
    </row>
    <row r="202" spans="1:6" hidden="1" x14ac:dyDescent="0.25">
      <c r="A202">
        <f t="shared" si="7"/>
        <v>20</v>
      </c>
      <c r="B202" s="37">
        <v>43301</v>
      </c>
      <c r="C202" t="s">
        <v>29</v>
      </c>
      <c r="D202">
        <f t="shared" si="6"/>
        <v>2018</v>
      </c>
      <c r="F202">
        <v>1.2</v>
      </c>
    </row>
    <row r="203" spans="1:6" hidden="1" x14ac:dyDescent="0.25">
      <c r="A203">
        <f t="shared" si="7"/>
        <v>21</v>
      </c>
      <c r="B203" s="37">
        <v>43302</v>
      </c>
      <c r="C203" t="s">
        <v>29</v>
      </c>
      <c r="D203">
        <f t="shared" si="6"/>
        <v>2018</v>
      </c>
    </row>
    <row r="204" spans="1:6" hidden="1" x14ac:dyDescent="0.25">
      <c r="A204">
        <f t="shared" si="7"/>
        <v>22</v>
      </c>
      <c r="B204" s="37">
        <v>43303</v>
      </c>
      <c r="C204" t="s">
        <v>29</v>
      </c>
      <c r="D204">
        <f t="shared" si="6"/>
        <v>2018</v>
      </c>
    </row>
    <row r="205" spans="1:6" hidden="1" x14ac:dyDescent="0.25">
      <c r="A205">
        <f t="shared" si="7"/>
        <v>23</v>
      </c>
      <c r="B205" s="37">
        <v>43304</v>
      </c>
      <c r="C205" t="s">
        <v>29</v>
      </c>
      <c r="D205">
        <f t="shared" si="6"/>
        <v>2018</v>
      </c>
      <c r="F205">
        <v>1.44</v>
      </c>
    </row>
    <row r="206" spans="1:6" hidden="1" x14ac:dyDescent="0.25">
      <c r="A206">
        <f t="shared" si="7"/>
        <v>24</v>
      </c>
      <c r="B206" s="37">
        <v>43305</v>
      </c>
      <c r="C206" t="s">
        <v>29</v>
      </c>
      <c r="D206">
        <f t="shared" si="6"/>
        <v>2018</v>
      </c>
      <c r="F206">
        <v>1.44</v>
      </c>
    </row>
    <row r="207" spans="1:6" hidden="1" x14ac:dyDescent="0.25">
      <c r="A207">
        <f t="shared" si="7"/>
        <v>25</v>
      </c>
      <c r="B207" s="37">
        <v>43306</v>
      </c>
      <c r="C207" t="s">
        <v>29</v>
      </c>
      <c r="D207">
        <f t="shared" si="6"/>
        <v>2018</v>
      </c>
      <c r="F207">
        <v>1.44</v>
      </c>
    </row>
    <row r="208" spans="1:6" hidden="1" x14ac:dyDescent="0.25">
      <c r="A208">
        <f t="shared" si="7"/>
        <v>26</v>
      </c>
      <c r="B208" s="37">
        <v>43307</v>
      </c>
      <c r="C208" t="s">
        <v>29</v>
      </c>
      <c r="D208">
        <f t="shared" si="6"/>
        <v>2018</v>
      </c>
      <c r="F208">
        <v>1.44</v>
      </c>
    </row>
    <row r="209" spans="1:6" hidden="1" x14ac:dyDescent="0.25">
      <c r="A209">
        <f t="shared" si="7"/>
        <v>27</v>
      </c>
      <c r="B209" s="37">
        <v>43308</v>
      </c>
      <c r="C209" t="s">
        <v>29</v>
      </c>
      <c r="D209">
        <f t="shared" si="6"/>
        <v>2018</v>
      </c>
    </row>
    <row r="210" spans="1:6" hidden="1" x14ac:dyDescent="0.25">
      <c r="A210">
        <f t="shared" si="7"/>
        <v>28</v>
      </c>
      <c r="B210" s="37">
        <v>43309</v>
      </c>
      <c r="C210" t="s">
        <v>29</v>
      </c>
      <c r="D210">
        <f t="shared" si="6"/>
        <v>2018</v>
      </c>
    </row>
    <row r="211" spans="1:6" hidden="1" x14ac:dyDescent="0.25">
      <c r="A211">
        <f t="shared" si="7"/>
        <v>29</v>
      </c>
      <c r="B211" s="37">
        <v>43310</v>
      </c>
      <c r="C211" t="s">
        <v>29</v>
      </c>
      <c r="D211">
        <f t="shared" si="6"/>
        <v>2018</v>
      </c>
    </row>
    <row r="212" spans="1:6" hidden="1" x14ac:dyDescent="0.25">
      <c r="A212">
        <f t="shared" si="7"/>
        <v>30</v>
      </c>
      <c r="B212" s="37">
        <v>43311</v>
      </c>
      <c r="C212" t="s">
        <v>29</v>
      </c>
      <c r="D212">
        <f t="shared" si="6"/>
        <v>2018</v>
      </c>
      <c r="F212">
        <v>1.728</v>
      </c>
    </row>
    <row r="213" spans="1:6" hidden="1" x14ac:dyDescent="0.25">
      <c r="A213">
        <f t="shared" si="7"/>
        <v>31</v>
      </c>
      <c r="B213" s="37">
        <v>43312</v>
      </c>
      <c r="C213" t="s">
        <v>29</v>
      </c>
      <c r="D213">
        <f t="shared" si="6"/>
        <v>2018</v>
      </c>
      <c r="F213">
        <v>1.728</v>
      </c>
    </row>
    <row r="214" spans="1:6" hidden="1" x14ac:dyDescent="0.25">
      <c r="A214">
        <f t="shared" si="7"/>
        <v>1</v>
      </c>
      <c r="B214" s="37">
        <v>43313</v>
      </c>
      <c r="C214" t="s">
        <v>30</v>
      </c>
      <c r="D214">
        <f t="shared" si="6"/>
        <v>2018</v>
      </c>
      <c r="F214">
        <v>1.728</v>
      </c>
    </row>
    <row r="215" spans="1:6" hidden="1" x14ac:dyDescent="0.25">
      <c r="A215">
        <f t="shared" si="7"/>
        <v>2</v>
      </c>
      <c r="B215" s="37">
        <v>43314</v>
      </c>
      <c r="C215" t="s">
        <v>30</v>
      </c>
      <c r="D215">
        <f t="shared" si="6"/>
        <v>2018</v>
      </c>
      <c r="F215">
        <v>1.728</v>
      </c>
    </row>
    <row r="216" spans="1:6" hidden="1" x14ac:dyDescent="0.25">
      <c r="A216">
        <f t="shared" si="7"/>
        <v>3</v>
      </c>
      <c r="B216" s="37">
        <v>43315</v>
      </c>
      <c r="C216" t="s">
        <v>30</v>
      </c>
      <c r="D216">
        <f t="shared" si="6"/>
        <v>2018</v>
      </c>
      <c r="F216">
        <v>1.728</v>
      </c>
    </row>
    <row r="217" spans="1:6" hidden="1" x14ac:dyDescent="0.25">
      <c r="A217">
        <f t="shared" si="7"/>
        <v>4</v>
      </c>
      <c r="B217" s="37">
        <v>43316</v>
      </c>
      <c r="C217" t="s">
        <v>30</v>
      </c>
      <c r="D217">
        <f t="shared" si="6"/>
        <v>2018</v>
      </c>
    </row>
    <row r="218" spans="1:6" hidden="1" x14ac:dyDescent="0.25">
      <c r="A218">
        <f t="shared" si="7"/>
        <v>5</v>
      </c>
      <c r="B218" s="37">
        <v>43317</v>
      </c>
      <c r="C218" t="s">
        <v>30</v>
      </c>
      <c r="D218">
        <f t="shared" si="6"/>
        <v>2018</v>
      </c>
    </row>
    <row r="219" spans="1:6" hidden="1" x14ac:dyDescent="0.25">
      <c r="A219">
        <f t="shared" si="7"/>
        <v>6</v>
      </c>
      <c r="B219" s="37">
        <v>43318</v>
      </c>
      <c r="C219" t="s">
        <v>30</v>
      </c>
      <c r="D219">
        <f t="shared" si="6"/>
        <v>2018</v>
      </c>
      <c r="F219">
        <v>2.0735999999999999</v>
      </c>
    </row>
    <row r="220" spans="1:6" hidden="1" x14ac:dyDescent="0.25">
      <c r="A220">
        <f t="shared" si="7"/>
        <v>7</v>
      </c>
      <c r="B220" s="37">
        <v>43319</v>
      </c>
      <c r="C220" t="s">
        <v>30</v>
      </c>
      <c r="D220">
        <f t="shared" si="6"/>
        <v>2018</v>
      </c>
      <c r="F220">
        <v>2.0735999999999999</v>
      </c>
    </row>
    <row r="221" spans="1:6" hidden="1" x14ac:dyDescent="0.25">
      <c r="A221">
        <f t="shared" si="7"/>
        <v>8</v>
      </c>
      <c r="B221" s="37">
        <v>43320</v>
      </c>
      <c r="C221" t="s">
        <v>30</v>
      </c>
      <c r="D221">
        <f t="shared" si="6"/>
        <v>2018</v>
      </c>
      <c r="F221">
        <v>2.0735999999999999</v>
      </c>
    </row>
    <row r="222" spans="1:6" hidden="1" x14ac:dyDescent="0.25">
      <c r="A222">
        <f t="shared" si="7"/>
        <v>9</v>
      </c>
      <c r="B222" s="37">
        <v>43321</v>
      </c>
      <c r="C222" t="s">
        <v>30</v>
      </c>
      <c r="D222">
        <f t="shared" si="6"/>
        <v>2018</v>
      </c>
      <c r="F222">
        <v>2.0735999999999999</v>
      </c>
    </row>
    <row r="223" spans="1:6" hidden="1" x14ac:dyDescent="0.25">
      <c r="A223">
        <f t="shared" si="7"/>
        <v>10</v>
      </c>
      <c r="B223" s="37">
        <v>43322</v>
      </c>
      <c r="C223" t="s">
        <v>30</v>
      </c>
      <c r="D223">
        <f t="shared" si="6"/>
        <v>2018</v>
      </c>
      <c r="F223">
        <v>2.0735999999999999</v>
      </c>
    </row>
    <row r="224" spans="1:6" hidden="1" x14ac:dyDescent="0.25">
      <c r="A224">
        <f t="shared" si="7"/>
        <v>11</v>
      </c>
      <c r="B224" s="37">
        <v>43323</v>
      </c>
      <c r="C224" t="s">
        <v>30</v>
      </c>
      <c r="D224">
        <f t="shared" si="6"/>
        <v>2018</v>
      </c>
    </row>
    <row r="225" spans="1:6" hidden="1" x14ac:dyDescent="0.25">
      <c r="A225">
        <f t="shared" si="7"/>
        <v>12</v>
      </c>
      <c r="B225" s="37">
        <v>43324</v>
      </c>
      <c r="C225" t="s">
        <v>30</v>
      </c>
      <c r="D225">
        <f t="shared" si="6"/>
        <v>2018</v>
      </c>
    </row>
    <row r="226" spans="1:6" hidden="1" x14ac:dyDescent="0.25">
      <c r="A226">
        <f t="shared" si="7"/>
        <v>13</v>
      </c>
      <c r="B226" s="37">
        <v>43325</v>
      </c>
      <c r="C226" t="s">
        <v>30</v>
      </c>
      <c r="D226">
        <f t="shared" si="6"/>
        <v>2018</v>
      </c>
      <c r="F226">
        <v>2.4883199999999999</v>
      </c>
    </row>
    <row r="227" spans="1:6" hidden="1" x14ac:dyDescent="0.25">
      <c r="A227">
        <f t="shared" si="7"/>
        <v>14</v>
      </c>
      <c r="B227" s="37">
        <v>43326</v>
      </c>
      <c r="C227" t="s">
        <v>30</v>
      </c>
      <c r="D227">
        <f t="shared" si="6"/>
        <v>2018</v>
      </c>
      <c r="F227">
        <v>2.4883199999999999</v>
      </c>
    </row>
    <row r="228" spans="1:6" hidden="1" x14ac:dyDescent="0.25">
      <c r="A228">
        <f t="shared" si="7"/>
        <v>15</v>
      </c>
      <c r="B228" s="37">
        <v>43327</v>
      </c>
      <c r="C228" t="s">
        <v>30</v>
      </c>
      <c r="D228">
        <f t="shared" si="6"/>
        <v>2018</v>
      </c>
      <c r="F228">
        <v>2.4883199999999999</v>
      </c>
    </row>
    <row r="229" spans="1:6" hidden="1" x14ac:dyDescent="0.25">
      <c r="A229">
        <f t="shared" si="7"/>
        <v>16</v>
      </c>
      <c r="B229" s="37">
        <v>43328</v>
      </c>
      <c r="C229" t="s">
        <v>30</v>
      </c>
      <c r="D229">
        <f t="shared" si="6"/>
        <v>2018</v>
      </c>
      <c r="F229">
        <v>2.4883199999999999</v>
      </c>
    </row>
    <row r="230" spans="1:6" hidden="1" x14ac:dyDescent="0.25">
      <c r="A230">
        <f t="shared" si="7"/>
        <v>17</v>
      </c>
      <c r="B230" s="37">
        <v>43329</v>
      </c>
      <c r="C230" t="s">
        <v>30</v>
      </c>
      <c r="D230">
        <f t="shared" si="6"/>
        <v>2018</v>
      </c>
      <c r="F230">
        <v>2.4883199999999999</v>
      </c>
    </row>
    <row r="231" spans="1:6" hidden="1" x14ac:dyDescent="0.25">
      <c r="A231">
        <f t="shared" si="7"/>
        <v>18</v>
      </c>
      <c r="B231" s="37">
        <v>43330</v>
      </c>
      <c r="C231" t="s">
        <v>30</v>
      </c>
      <c r="D231">
        <f t="shared" si="6"/>
        <v>2018</v>
      </c>
    </row>
    <row r="232" spans="1:6" hidden="1" x14ac:dyDescent="0.25">
      <c r="A232">
        <f t="shared" si="7"/>
        <v>19</v>
      </c>
      <c r="B232" s="37">
        <v>43331</v>
      </c>
      <c r="C232" t="s">
        <v>30</v>
      </c>
      <c r="D232">
        <f t="shared" si="6"/>
        <v>2018</v>
      </c>
    </row>
    <row r="233" spans="1:6" hidden="1" x14ac:dyDescent="0.25">
      <c r="A233">
        <f t="shared" si="7"/>
        <v>20</v>
      </c>
      <c r="B233" s="37">
        <v>43332</v>
      </c>
      <c r="C233" t="s">
        <v>30</v>
      </c>
      <c r="D233">
        <f t="shared" si="6"/>
        <v>2018</v>
      </c>
      <c r="F233">
        <v>60</v>
      </c>
    </row>
    <row r="234" spans="1:6" hidden="1" x14ac:dyDescent="0.25">
      <c r="A234">
        <f t="shared" si="7"/>
        <v>21</v>
      </c>
      <c r="B234" s="37">
        <v>43333</v>
      </c>
      <c r="C234" t="s">
        <v>30</v>
      </c>
      <c r="D234">
        <f t="shared" si="6"/>
        <v>2018</v>
      </c>
      <c r="F234">
        <v>60</v>
      </c>
    </row>
    <row r="235" spans="1:6" hidden="1" x14ac:dyDescent="0.25">
      <c r="A235">
        <f t="shared" si="7"/>
        <v>22</v>
      </c>
      <c r="B235" s="37">
        <v>43334</v>
      </c>
      <c r="C235" t="s">
        <v>30</v>
      </c>
      <c r="D235">
        <f t="shared" si="6"/>
        <v>2018</v>
      </c>
      <c r="F235">
        <v>60.27</v>
      </c>
    </row>
    <row r="236" spans="1:6" hidden="1" x14ac:dyDescent="0.25">
      <c r="A236">
        <f t="shared" si="7"/>
        <v>23</v>
      </c>
      <c r="B236" s="37">
        <v>43335</v>
      </c>
      <c r="C236" t="s">
        <v>30</v>
      </c>
      <c r="D236">
        <f t="shared" si="6"/>
        <v>2018</v>
      </c>
      <c r="F236">
        <v>60.27</v>
      </c>
    </row>
    <row r="237" spans="1:6" hidden="1" x14ac:dyDescent="0.25">
      <c r="A237">
        <f t="shared" si="7"/>
        <v>24</v>
      </c>
      <c r="B237" s="37">
        <v>43336</v>
      </c>
      <c r="C237" t="s">
        <v>30</v>
      </c>
      <c r="D237">
        <f t="shared" si="6"/>
        <v>2018</v>
      </c>
    </row>
    <row r="238" spans="1:6" hidden="1" x14ac:dyDescent="0.25">
      <c r="A238">
        <f t="shared" si="7"/>
        <v>25</v>
      </c>
      <c r="B238" s="37">
        <v>43337</v>
      </c>
      <c r="C238" t="s">
        <v>30</v>
      </c>
      <c r="D238">
        <f t="shared" si="6"/>
        <v>2018</v>
      </c>
    </row>
    <row r="239" spans="1:6" hidden="1" x14ac:dyDescent="0.25">
      <c r="A239">
        <f t="shared" si="7"/>
        <v>26</v>
      </c>
      <c r="B239" s="37">
        <v>43338</v>
      </c>
      <c r="C239" t="s">
        <v>30</v>
      </c>
      <c r="D239">
        <f t="shared" si="6"/>
        <v>2018</v>
      </c>
    </row>
    <row r="240" spans="1:6" hidden="1" x14ac:dyDescent="0.25">
      <c r="A240">
        <f t="shared" si="7"/>
        <v>27</v>
      </c>
      <c r="B240" s="37">
        <v>43339</v>
      </c>
      <c r="C240" t="s">
        <v>30</v>
      </c>
      <c r="D240">
        <f t="shared" si="6"/>
        <v>2018</v>
      </c>
      <c r="F240">
        <v>60.25</v>
      </c>
    </row>
    <row r="241" spans="1:6" hidden="1" x14ac:dyDescent="0.25">
      <c r="A241">
        <f t="shared" si="7"/>
        <v>28</v>
      </c>
      <c r="B241" s="37">
        <v>43340</v>
      </c>
      <c r="C241" t="s">
        <v>30</v>
      </c>
      <c r="D241">
        <f t="shared" si="6"/>
        <v>2018</v>
      </c>
      <c r="F241">
        <v>60.89</v>
      </c>
    </row>
    <row r="242" spans="1:6" hidden="1" x14ac:dyDescent="0.25">
      <c r="A242">
        <f t="shared" si="7"/>
        <v>29</v>
      </c>
      <c r="B242" s="37">
        <v>43341</v>
      </c>
      <c r="C242" t="s">
        <v>30</v>
      </c>
      <c r="D242">
        <f t="shared" si="6"/>
        <v>2018</v>
      </c>
      <c r="F242">
        <v>60.89</v>
      </c>
    </row>
    <row r="243" spans="1:6" hidden="1" x14ac:dyDescent="0.25">
      <c r="A243">
        <f t="shared" si="7"/>
        <v>30</v>
      </c>
      <c r="B243" s="37">
        <v>43342</v>
      </c>
      <c r="C243" t="s">
        <v>30</v>
      </c>
      <c r="D243">
        <f t="shared" si="6"/>
        <v>2018</v>
      </c>
      <c r="F243">
        <v>61.12</v>
      </c>
    </row>
    <row r="244" spans="1:6" hidden="1" x14ac:dyDescent="0.25">
      <c r="A244">
        <f t="shared" si="7"/>
        <v>31</v>
      </c>
      <c r="B244" s="37">
        <v>43343</v>
      </c>
      <c r="C244" t="s">
        <v>30</v>
      </c>
      <c r="D244">
        <f t="shared" si="6"/>
        <v>2018</v>
      </c>
      <c r="F244">
        <v>61.12</v>
      </c>
    </row>
    <row r="245" spans="1:6" hidden="1" x14ac:dyDescent="0.25">
      <c r="A245">
        <f t="shared" si="7"/>
        <v>1</v>
      </c>
      <c r="B245" s="37">
        <v>43344</v>
      </c>
      <c r="C245" t="s">
        <v>31</v>
      </c>
      <c r="D245">
        <f t="shared" si="6"/>
        <v>2018</v>
      </c>
    </row>
    <row r="246" spans="1:6" hidden="1" x14ac:dyDescent="0.25">
      <c r="A246">
        <f t="shared" si="7"/>
        <v>2</v>
      </c>
      <c r="B246" s="37">
        <v>43345</v>
      </c>
      <c r="C246" t="s">
        <v>31</v>
      </c>
      <c r="D246">
        <f t="shared" si="6"/>
        <v>2018</v>
      </c>
    </row>
    <row r="247" spans="1:6" hidden="1" x14ac:dyDescent="0.25">
      <c r="A247">
        <f t="shared" si="7"/>
        <v>3</v>
      </c>
      <c r="B247" s="37">
        <v>43346</v>
      </c>
      <c r="C247" t="s">
        <v>31</v>
      </c>
      <c r="D247">
        <f t="shared" si="6"/>
        <v>2018</v>
      </c>
      <c r="F247">
        <v>61.12</v>
      </c>
    </row>
    <row r="248" spans="1:6" hidden="1" x14ac:dyDescent="0.25">
      <c r="A248">
        <f t="shared" si="7"/>
        <v>4</v>
      </c>
      <c r="B248" s="37">
        <v>43347</v>
      </c>
      <c r="C248" t="s">
        <v>31</v>
      </c>
      <c r="D248">
        <f t="shared" si="6"/>
        <v>2018</v>
      </c>
      <c r="F248">
        <v>61.09</v>
      </c>
    </row>
    <row r="249" spans="1:6" hidden="1" x14ac:dyDescent="0.25">
      <c r="A249">
        <f t="shared" si="7"/>
        <v>5</v>
      </c>
      <c r="B249" s="37">
        <v>43348</v>
      </c>
      <c r="C249" t="s">
        <v>31</v>
      </c>
      <c r="D249">
        <f t="shared" si="6"/>
        <v>2018</v>
      </c>
      <c r="F249">
        <v>61.02</v>
      </c>
    </row>
    <row r="250" spans="1:6" hidden="1" x14ac:dyDescent="0.25">
      <c r="A250">
        <f t="shared" si="7"/>
        <v>6</v>
      </c>
      <c r="B250" s="37">
        <v>43349</v>
      </c>
      <c r="C250" t="s">
        <v>31</v>
      </c>
      <c r="D250">
        <f t="shared" si="6"/>
        <v>2018</v>
      </c>
      <c r="F250">
        <v>61.57</v>
      </c>
    </row>
    <row r="251" spans="1:6" hidden="1" x14ac:dyDescent="0.25">
      <c r="A251">
        <f t="shared" si="7"/>
        <v>7</v>
      </c>
      <c r="B251" s="37">
        <v>43350</v>
      </c>
      <c r="C251" t="s">
        <v>31</v>
      </c>
      <c r="D251">
        <f t="shared" si="6"/>
        <v>2018</v>
      </c>
      <c r="F251">
        <v>61.57</v>
      </c>
    </row>
    <row r="252" spans="1:6" hidden="1" x14ac:dyDescent="0.25">
      <c r="A252">
        <f t="shared" si="7"/>
        <v>8</v>
      </c>
      <c r="B252" s="37">
        <v>43351</v>
      </c>
      <c r="C252" t="s">
        <v>31</v>
      </c>
      <c r="D252">
        <f t="shared" si="6"/>
        <v>2018</v>
      </c>
    </row>
    <row r="253" spans="1:6" hidden="1" x14ac:dyDescent="0.25">
      <c r="A253">
        <f t="shared" si="7"/>
        <v>9</v>
      </c>
      <c r="B253" s="37">
        <v>43352</v>
      </c>
      <c r="C253" t="s">
        <v>31</v>
      </c>
      <c r="D253">
        <f t="shared" si="6"/>
        <v>2018</v>
      </c>
    </row>
    <row r="254" spans="1:6" hidden="1" x14ac:dyDescent="0.25">
      <c r="A254">
        <f t="shared" si="7"/>
        <v>10</v>
      </c>
      <c r="B254" s="37">
        <v>43353</v>
      </c>
      <c r="C254" t="s">
        <v>31</v>
      </c>
      <c r="D254">
        <f t="shared" si="6"/>
        <v>2018</v>
      </c>
    </row>
    <row r="255" spans="1:6" hidden="1" x14ac:dyDescent="0.25">
      <c r="A255">
        <f t="shared" si="7"/>
        <v>11</v>
      </c>
      <c r="B255" s="37">
        <v>43354</v>
      </c>
      <c r="C255" t="s">
        <v>31</v>
      </c>
      <c r="D255">
        <f t="shared" si="6"/>
        <v>2018</v>
      </c>
      <c r="F255">
        <v>61.67</v>
      </c>
    </row>
    <row r="256" spans="1:6" hidden="1" x14ac:dyDescent="0.25">
      <c r="A256">
        <f t="shared" si="7"/>
        <v>12</v>
      </c>
      <c r="B256" s="37">
        <v>43355</v>
      </c>
      <c r="C256" t="s">
        <v>31</v>
      </c>
      <c r="D256">
        <f t="shared" si="6"/>
        <v>2018</v>
      </c>
      <c r="F256">
        <v>61.67</v>
      </c>
    </row>
    <row r="257" spans="1:6" hidden="1" x14ac:dyDescent="0.25">
      <c r="A257">
        <f t="shared" si="7"/>
        <v>13</v>
      </c>
      <c r="B257" s="37">
        <v>43356</v>
      </c>
      <c r="C257" t="s">
        <v>31</v>
      </c>
      <c r="D257">
        <f t="shared" si="6"/>
        <v>2018</v>
      </c>
      <c r="F257">
        <v>61.93</v>
      </c>
    </row>
    <row r="258" spans="1:6" hidden="1" x14ac:dyDescent="0.25">
      <c r="A258">
        <f t="shared" si="7"/>
        <v>14</v>
      </c>
      <c r="B258" s="37">
        <v>43357</v>
      </c>
      <c r="C258" t="s">
        <v>31</v>
      </c>
      <c r="D258">
        <f t="shared" si="6"/>
        <v>2018</v>
      </c>
      <c r="F258">
        <v>61.93</v>
      </c>
    </row>
    <row r="259" spans="1:6" hidden="1" x14ac:dyDescent="0.25">
      <c r="A259">
        <f t="shared" si="7"/>
        <v>15</v>
      </c>
      <c r="B259" s="37">
        <v>43358</v>
      </c>
      <c r="C259" t="s">
        <v>31</v>
      </c>
      <c r="D259">
        <f t="shared" ref="D259:D322" si="8">YEAR(B259)</f>
        <v>2018</v>
      </c>
    </row>
    <row r="260" spans="1:6" hidden="1" x14ac:dyDescent="0.25">
      <c r="A260">
        <f t="shared" ref="A260:A323" si="9">DAY(B260)</f>
        <v>16</v>
      </c>
      <c r="B260" s="37">
        <v>43359</v>
      </c>
      <c r="C260" t="s">
        <v>31</v>
      </c>
      <c r="D260">
        <f t="shared" si="8"/>
        <v>2018</v>
      </c>
    </row>
    <row r="261" spans="1:6" hidden="1" x14ac:dyDescent="0.25">
      <c r="A261">
        <f t="shared" si="9"/>
        <v>17</v>
      </c>
      <c r="B261" s="37">
        <v>43360</v>
      </c>
      <c r="C261" t="s">
        <v>31</v>
      </c>
      <c r="D261">
        <f t="shared" si="8"/>
        <v>2018</v>
      </c>
      <c r="F261">
        <v>61.33</v>
      </c>
    </row>
    <row r="262" spans="1:6" hidden="1" x14ac:dyDescent="0.25">
      <c r="A262">
        <f t="shared" si="9"/>
        <v>18</v>
      </c>
      <c r="B262" s="37">
        <v>43361</v>
      </c>
      <c r="C262" t="s">
        <v>31</v>
      </c>
      <c r="D262">
        <f t="shared" si="8"/>
        <v>2018</v>
      </c>
      <c r="F262">
        <v>61.39</v>
      </c>
    </row>
    <row r="263" spans="1:6" hidden="1" x14ac:dyDescent="0.25">
      <c r="A263">
        <f t="shared" si="9"/>
        <v>19</v>
      </c>
      <c r="B263" s="37">
        <v>43362</v>
      </c>
      <c r="C263" t="s">
        <v>31</v>
      </c>
      <c r="D263">
        <f t="shared" si="8"/>
        <v>2018</v>
      </c>
      <c r="F263">
        <v>61.39</v>
      </c>
    </row>
    <row r="264" spans="1:6" hidden="1" x14ac:dyDescent="0.25">
      <c r="A264">
        <f t="shared" si="9"/>
        <v>20</v>
      </c>
      <c r="B264" s="37">
        <v>43363</v>
      </c>
      <c r="C264" t="s">
        <v>31</v>
      </c>
      <c r="D264">
        <f t="shared" si="8"/>
        <v>2018</v>
      </c>
      <c r="F264">
        <v>61.11</v>
      </c>
    </row>
    <row r="265" spans="1:6" hidden="1" x14ac:dyDescent="0.25">
      <c r="A265">
        <f t="shared" si="9"/>
        <v>21</v>
      </c>
      <c r="B265" s="37">
        <v>43364</v>
      </c>
      <c r="C265" t="s">
        <v>31</v>
      </c>
      <c r="D265">
        <f t="shared" si="8"/>
        <v>2018</v>
      </c>
      <c r="F265">
        <v>61.11</v>
      </c>
    </row>
    <row r="266" spans="1:6" hidden="1" x14ac:dyDescent="0.25">
      <c r="A266">
        <f t="shared" si="9"/>
        <v>22</v>
      </c>
      <c r="B266" s="37">
        <v>43365</v>
      </c>
      <c r="C266" t="s">
        <v>31</v>
      </c>
      <c r="D266">
        <f t="shared" si="8"/>
        <v>2018</v>
      </c>
    </row>
    <row r="267" spans="1:6" hidden="1" x14ac:dyDescent="0.25">
      <c r="A267">
        <f t="shared" si="9"/>
        <v>23</v>
      </c>
      <c r="B267" s="37">
        <v>43366</v>
      </c>
      <c r="C267" t="s">
        <v>31</v>
      </c>
      <c r="D267">
        <f t="shared" si="8"/>
        <v>2018</v>
      </c>
    </row>
    <row r="268" spans="1:6" hidden="1" x14ac:dyDescent="0.25">
      <c r="A268">
        <f t="shared" si="9"/>
        <v>24</v>
      </c>
      <c r="B268" s="37">
        <v>43367</v>
      </c>
      <c r="C268" t="s">
        <v>31</v>
      </c>
      <c r="D268">
        <f t="shared" si="8"/>
        <v>2018</v>
      </c>
      <c r="F268">
        <v>61.67</v>
      </c>
    </row>
    <row r="269" spans="1:6" hidden="1" x14ac:dyDescent="0.25">
      <c r="A269">
        <f t="shared" si="9"/>
        <v>25</v>
      </c>
      <c r="B269" s="37">
        <v>43368</v>
      </c>
      <c r="C269" t="s">
        <v>31</v>
      </c>
      <c r="D269">
        <f t="shared" si="8"/>
        <v>2018</v>
      </c>
      <c r="F269">
        <v>61.91</v>
      </c>
    </row>
    <row r="270" spans="1:6" hidden="1" x14ac:dyDescent="0.25">
      <c r="A270">
        <f t="shared" si="9"/>
        <v>26</v>
      </c>
      <c r="B270" s="37">
        <v>43369</v>
      </c>
      <c r="C270" t="s">
        <v>31</v>
      </c>
      <c r="D270">
        <f t="shared" si="8"/>
        <v>2018</v>
      </c>
      <c r="F270">
        <v>61.91</v>
      </c>
    </row>
    <row r="271" spans="1:6" hidden="1" x14ac:dyDescent="0.25">
      <c r="A271">
        <f t="shared" si="9"/>
        <v>27</v>
      </c>
      <c r="B271" s="37">
        <v>43370</v>
      </c>
      <c r="C271" t="s">
        <v>31</v>
      </c>
      <c r="D271">
        <f t="shared" si="8"/>
        <v>2018</v>
      </c>
      <c r="F271">
        <v>62.04</v>
      </c>
    </row>
    <row r="272" spans="1:6" hidden="1" x14ac:dyDescent="0.25">
      <c r="A272">
        <f t="shared" si="9"/>
        <v>28</v>
      </c>
      <c r="B272" s="37">
        <v>43371</v>
      </c>
      <c r="C272" t="s">
        <v>31</v>
      </c>
      <c r="D272">
        <f t="shared" si="8"/>
        <v>2018</v>
      </c>
      <c r="F272">
        <v>62.04</v>
      </c>
    </row>
    <row r="273" spans="1:6" hidden="1" x14ac:dyDescent="0.25">
      <c r="A273">
        <f t="shared" si="9"/>
        <v>29</v>
      </c>
      <c r="B273" s="37">
        <v>43372</v>
      </c>
      <c r="C273" t="s">
        <v>31</v>
      </c>
      <c r="D273">
        <f t="shared" si="8"/>
        <v>2018</v>
      </c>
    </row>
    <row r="274" spans="1:6" hidden="1" x14ac:dyDescent="0.25">
      <c r="A274">
        <f t="shared" si="9"/>
        <v>30</v>
      </c>
      <c r="B274" s="37">
        <v>43373</v>
      </c>
      <c r="C274" t="s">
        <v>31</v>
      </c>
      <c r="D274">
        <f t="shared" si="8"/>
        <v>2018</v>
      </c>
      <c r="F274">
        <v>62.04</v>
      </c>
    </row>
    <row r="275" spans="1:6" hidden="1" x14ac:dyDescent="0.25">
      <c r="A275">
        <f t="shared" si="9"/>
        <v>1</v>
      </c>
      <c r="B275" s="37">
        <v>43374</v>
      </c>
      <c r="C275" t="s">
        <v>32</v>
      </c>
      <c r="D275">
        <f t="shared" si="8"/>
        <v>2018</v>
      </c>
      <c r="F275">
        <v>62.17</v>
      </c>
    </row>
    <row r="276" spans="1:6" hidden="1" x14ac:dyDescent="0.25">
      <c r="A276">
        <f t="shared" si="9"/>
        <v>2</v>
      </c>
      <c r="B276" s="37">
        <v>43375</v>
      </c>
      <c r="C276" t="s">
        <v>32</v>
      </c>
      <c r="D276">
        <f t="shared" si="8"/>
        <v>2018</v>
      </c>
      <c r="F276">
        <v>62.26</v>
      </c>
    </row>
    <row r="277" spans="1:6" hidden="1" x14ac:dyDescent="0.25">
      <c r="A277">
        <f t="shared" si="9"/>
        <v>3</v>
      </c>
      <c r="B277" s="37">
        <v>43376</v>
      </c>
      <c r="C277" t="s">
        <v>32</v>
      </c>
      <c r="D277">
        <f t="shared" si="8"/>
        <v>2018</v>
      </c>
      <c r="F277">
        <v>62.26</v>
      </c>
    </row>
    <row r="278" spans="1:6" hidden="1" x14ac:dyDescent="0.25">
      <c r="A278">
        <f t="shared" si="9"/>
        <v>4</v>
      </c>
      <c r="B278" s="37">
        <v>43377</v>
      </c>
      <c r="C278" t="s">
        <v>32</v>
      </c>
      <c r="D278">
        <f t="shared" si="8"/>
        <v>2018</v>
      </c>
      <c r="F278">
        <v>62.34</v>
      </c>
    </row>
    <row r="279" spans="1:6" hidden="1" x14ac:dyDescent="0.25">
      <c r="A279">
        <f t="shared" si="9"/>
        <v>5</v>
      </c>
      <c r="B279" s="37">
        <v>43378</v>
      </c>
      <c r="C279" t="s">
        <v>32</v>
      </c>
      <c r="D279">
        <f t="shared" si="8"/>
        <v>2018</v>
      </c>
      <c r="F279">
        <v>62.34</v>
      </c>
    </row>
    <row r="280" spans="1:6" hidden="1" x14ac:dyDescent="0.25">
      <c r="A280">
        <f t="shared" si="9"/>
        <v>6</v>
      </c>
      <c r="B280" s="37">
        <v>43379</v>
      </c>
      <c r="C280" t="s">
        <v>32</v>
      </c>
      <c r="D280">
        <f t="shared" si="8"/>
        <v>2018</v>
      </c>
    </row>
    <row r="281" spans="1:6" hidden="1" x14ac:dyDescent="0.25">
      <c r="A281">
        <f t="shared" si="9"/>
        <v>7</v>
      </c>
      <c r="B281" s="37">
        <v>43380</v>
      </c>
      <c r="C281" t="s">
        <v>32</v>
      </c>
      <c r="D281">
        <f t="shared" si="8"/>
        <v>2018</v>
      </c>
    </row>
    <row r="282" spans="1:6" hidden="1" x14ac:dyDescent="0.25">
      <c r="A282">
        <f t="shared" si="9"/>
        <v>8</v>
      </c>
      <c r="B282" s="37">
        <v>43381</v>
      </c>
      <c r="C282" t="s">
        <v>32</v>
      </c>
      <c r="D282">
        <f t="shared" si="8"/>
        <v>2018</v>
      </c>
      <c r="F282">
        <v>62.66</v>
      </c>
    </row>
    <row r="283" spans="1:6" hidden="1" x14ac:dyDescent="0.25">
      <c r="A283">
        <f t="shared" si="9"/>
        <v>9</v>
      </c>
      <c r="B283" s="37">
        <v>43382</v>
      </c>
      <c r="C283" t="s">
        <v>32</v>
      </c>
      <c r="D283">
        <f t="shared" si="8"/>
        <v>2018</v>
      </c>
      <c r="F283">
        <v>62.78</v>
      </c>
    </row>
    <row r="284" spans="1:6" hidden="1" x14ac:dyDescent="0.25">
      <c r="A284">
        <f t="shared" si="9"/>
        <v>10</v>
      </c>
      <c r="B284" s="37">
        <v>43383</v>
      </c>
      <c r="C284" t="s">
        <v>32</v>
      </c>
      <c r="D284">
        <f t="shared" si="8"/>
        <v>2018</v>
      </c>
      <c r="F284">
        <v>62.78</v>
      </c>
    </row>
    <row r="285" spans="1:6" hidden="1" x14ac:dyDescent="0.25">
      <c r="A285">
        <f t="shared" si="9"/>
        <v>11</v>
      </c>
      <c r="B285" s="37">
        <v>43384</v>
      </c>
      <c r="C285" t="s">
        <v>32</v>
      </c>
      <c r="D285">
        <f t="shared" si="8"/>
        <v>2018</v>
      </c>
      <c r="F285">
        <v>62.88</v>
      </c>
    </row>
    <row r="286" spans="1:6" hidden="1" x14ac:dyDescent="0.25">
      <c r="A286">
        <f t="shared" si="9"/>
        <v>12</v>
      </c>
      <c r="B286" s="37">
        <v>43385</v>
      </c>
      <c r="C286" t="s">
        <v>32</v>
      </c>
      <c r="D286">
        <f t="shared" si="8"/>
        <v>2018</v>
      </c>
    </row>
    <row r="287" spans="1:6" hidden="1" x14ac:dyDescent="0.25">
      <c r="A287">
        <f t="shared" si="9"/>
        <v>13</v>
      </c>
      <c r="B287" s="37">
        <v>43386</v>
      </c>
      <c r="C287" t="s">
        <v>32</v>
      </c>
      <c r="D287">
        <f t="shared" si="8"/>
        <v>2018</v>
      </c>
    </row>
    <row r="288" spans="1:6" hidden="1" x14ac:dyDescent="0.25">
      <c r="A288">
        <f t="shared" si="9"/>
        <v>14</v>
      </c>
      <c r="B288" s="37">
        <v>43387</v>
      </c>
      <c r="C288" t="s">
        <v>32</v>
      </c>
      <c r="D288">
        <f t="shared" si="8"/>
        <v>2018</v>
      </c>
    </row>
    <row r="289" spans="1:6" hidden="1" x14ac:dyDescent="0.25">
      <c r="A289">
        <f t="shared" si="9"/>
        <v>15</v>
      </c>
      <c r="B289" s="37">
        <v>43388</v>
      </c>
      <c r="C289" t="s">
        <v>32</v>
      </c>
      <c r="D289">
        <f t="shared" si="8"/>
        <v>2018</v>
      </c>
      <c r="F289">
        <v>62.88</v>
      </c>
    </row>
    <row r="290" spans="1:6" hidden="1" x14ac:dyDescent="0.25">
      <c r="A290">
        <f t="shared" si="9"/>
        <v>16</v>
      </c>
      <c r="B290" s="37">
        <v>43389</v>
      </c>
      <c r="C290" t="s">
        <v>32</v>
      </c>
      <c r="D290">
        <f t="shared" si="8"/>
        <v>2018</v>
      </c>
      <c r="F290">
        <v>63.03</v>
      </c>
    </row>
    <row r="291" spans="1:6" hidden="1" x14ac:dyDescent="0.25">
      <c r="A291">
        <f t="shared" si="9"/>
        <v>17</v>
      </c>
      <c r="B291" s="37">
        <v>43390</v>
      </c>
      <c r="C291" t="s">
        <v>32</v>
      </c>
      <c r="D291">
        <f t="shared" si="8"/>
        <v>2018</v>
      </c>
      <c r="F291">
        <v>63.03</v>
      </c>
    </row>
    <row r="292" spans="1:6" hidden="1" x14ac:dyDescent="0.25">
      <c r="A292">
        <f t="shared" si="9"/>
        <v>18</v>
      </c>
      <c r="B292" s="37">
        <v>43391</v>
      </c>
      <c r="C292" t="s">
        <v>32</v>
      </c>
      <c r="D292">
        <f t="shared" si="8"/>
        <v>2018</v>
      </c>
      <c r="F292">
        <v>63.47</v>
      </c>
    </row>
    <row r="293" spans="1:6" hidden="1" x14ac:dyDescent="0.25">
      <c r="A293">
        <f t="shared" si="9"/>
        <v>19</v>
      </c>
      <c r="B293" s="37">
        <v>43392</v>
      </c>
      <c r="C293" t="s">
        <v>32</v>
      </c>
      <c r="D293">
        <f t="shared" si="8"/>
        <v>2018</v>
      </c>
      <c r="F293">
        <v>63.47</v>
      </c>
    </row>
    <row r="294" spans="1:6" hidden="1" x14ac:dyDescent="0.25">
      <c r="A294">
        <f t="shared" si="9"/>
        <v>20</v>
      </c>
      <c r="B294" s="37">
        <v>43393</v>
      </c>
      <c r="C294" t="s">
        <v>32</v>
      </c>
      <c r="D294">
        <f t="shared" si="8"/>
        <v>2018</v>
      </c>
    </row>
    <row r="295" spans="1:6" hidden="1" x14ac:dyDescent="0.25">
      <c r="A295">
        <f t="shared" si="9"/>
        <v>21</v>
      </c>
      <c r="B295" s="37">
        <v>43394</v>
      </c>
      <c r="C295" t="s">
        <v>32</v>
      </c>
      <c r="D295">
        <f t="shared" si="8"/>
        <v>2018</v>
      </c>
    </row>
    <row r="296" spans="1:6" hidden="1" x14ac:dyDescent="0.25">
      <c r="A296">
        <f t="shared" si="9"/>
        <v>22</v>
      </c>
      <c r="B296" s="37">
        <v>43395</v>
      </c>
      <c r="C296" t="s">
        <v>32</v>
      </c>
      <c r="D296">
        <f t="shared" si="8"/>
        <v>2018</v>
      </c>
      <c r="F296">
        <v>63.81</v>
      </c>
    </row>
    <row r="297" spans="1:6" hidden="1" x14ac:dyDescent="0.25">
      <c r="A297">
        <f t="shared" si="9"/>
        <v>23</v>
      </c>
      <c r="B297" s="37">
        <v>43396</v>
      </c>
      <c r="C297" t="s">
        <v>32</v>
      </c>
      <c r="D297">
        <f t="shared" si="8"/>
        <v>2018</v>
      </c>
      <c r="F297">
        <v>63.99</v>
      </c>
    </row>
    <row r="298" spans="1:6" hidden="1" x14ac:dyDescent="0.25">
      <c r="A298">
        <f t="shared" si="9"/>
        <v>24</v>
      </c>
      <c r="B298" s="37">
        <v>43397</v>
      </c>
      <c r="C298" t="s">
        <v>32</v>
      </c>
      <c r="D298">
        <f t="shared" si="8"/>
        <v>2018</v>
      </c>
      <c r="F298">
        <v>63.99</v>
      </c>
    </row>
    <row r="299" spans="1:6" hidden="1" x14ac:dyDescent="0.25">
      <c r="A299">
        <f t="shared" si="9"/>
        <v>25</v>
      </c>
      <c r="B299" s="37">
        <v>43398</v>
      </c>
      <c r="C299" t="s">
        <v>32</v>
      </c>
      <c r="D299">
        <f t="shared" si="8"/>
        <v>2018</v>
      </c>
      <c r="F299">
        <v>64.17</v>
      </c>
    </row>
    <row r="300" spans="1:6" hidden="1" x14ac:dyDescent="0.25">
      <c r="A300">
        <f t="shared" si="9"/>
        <v>26</v>
      </c>
      <c r="B300" s="37">
        <v>43399</v>
      </c>
      <c r="C300" t="s">
        <v>32</v>
      </c>
      <c r="D300">
        <f t="shared" si="8"/>
        <v>2018</v>
      </c>
      <c r="F300">
        <v>64.17</v>
      </c>
    </row>
    <row r="301" spans="1:6" hidden="1" x14ac:dyDescent="0.25">
      <c r="A301">
        <f t="shared" si="9"/>
        <v>27</v>
      </c>
      <c r="B301" s="37">
        <v>43400</v>
      </c>
      <c r="C301" t="s">
        <v>32</v>
      </c>
      <c r="D301">
        <f t="shared" si="8"/>
        <v>2018</v>
      </c>
    </row>
    <row r="302" spans="1:6" hidden="1" x14ac:dyDescent="0.25">
      <c r="A302">
        <f t="shared" si="9"/>
        <v>28</v>
      </c>
      <c r="B302" s="37">
        <v>43401</v>
      </c>
      <c r="C302" t="s">
        <v>32</v>
      </c>
      <c r="D302">
        <f t="shared" si="8"/>
        <v>2018</v>
      </c>
    </row>
    <row r="303" spans="1:6" hidden="1" x14ac:dyDescent="0.25">
      <c r="A303">
        <f t="shared" si="9"/>
        <v>29</v>
      </c>
      <c r="B303" s="37">
        <v>43402</v>
      </c>
      <c r="C303" t="s">
        <v>32</v>
      </c>
      <c r="D303">
        <f t="shared" si="8"/>
        <v>2018</v>
      </c>
      <c r="F303">
        <v>64.3</v>
      </c>
    </row>
    <row r="304" spans="1:6" hidden="1" x14ac:dyDescent="0.25">
      <c r="A304">
        <f t="shared" si="9"/>
        <v>30</v>
      </c>
      <c r="B304" s="37">
        <v>43403</v>
      </c>
      <c r="C304" t="s">
        <v>32</v>
      </c>
      <c r="D304">
        <f t="shared" si="8"/>
        <v>2018</v>
      </c>
      <c r="F304">
        <v>64.55</v>
      </c>
    </row>
    <row r="305" spans="1:6" hidden="1" x14ac:dyDescent="0.25">
      <c r="A305">
        <f t="shared" si="9"/>
        <v>31</v>
      </c>
      <c r="B305" s="37">
        <v>43404</v>
      </c>
      <c r="C305" t="s">
        <v>32</v>
      </c>
      <c r="D305">
        <f t="shared" si="8"/>
        <v>2018</v>
      </c>
      <c r="F305">
        <v>64.55</v>
      </c>
    </row>
    <row r="306" spans="1:6" hidden="1" x14ac:dyDescent="0.25">
      <c r="A306">
        <f t="shared" si="9"/>
        <v>1</v>
      </c>
      <c r="B306" s="37">
        <v>43405</v>
      </c>
      <c r="C306" t="s">
        <v>33</v>
      </c>
      <c r="D306">
        <f t="shared" si="8"/>
        <v>2018</v>
      </c>
      <c r="F306">
        <v>64.739999999999995</v>
      </c>
    </row>
    <row r="307" spans="1:6" hidden="1" x14ac:dyDescent="0.25">
      <c r="A307">
        <f t="shared" si="9"/>
        <v>2</v>
      </c>
      <c r="B307" s="37">
        <v>43406</v>
      </c>
      <c r="C307" t="s">
        <v>33</v>
      </c>
      <c r="D307">
        <f t="shared" si="8"/>
        <v>2018</v>
      </c>
      <c r="F307">
        <v>64.739999999999995</v>
      </c>
    </row>
    <row r="308" spans="1:6" hidden="1" x14ac:dyDescent="0.25">
      <c r="A308">
        <f t="shared" si="9"/>
        <v>3</v>
      </c>
      <c r="B308" s="37">
        <v>43407</v>
      </c>
      <c r="C308" t="s">
        <v>33</v>
      </c>
      <c r="D308">
        <f t="shared" si="8"/>
        <v>2018</v>
      </c>
    </row>
    <row r="309" spans="1:6" hidden="1" x14ac:dyDescent="0.25">
      <c r="A309">
        <f t="shared" si="9"/>
        <v>4</v>
      </c>
      <c r="B309" s="37">
        <v>43408</v>
      </c>
      <c r="C309" t="s">
        <v>33</v>
      </c>
      <c r="D309">
        <f t="shared" si="8"/>
        <v>2018</v>
      </c>
    </row>
    <row r="310" spans="1:6" hidden="1" x14ac:dyDescent="0.25">
      <c r="A310">
        <f t="shared" si="9"/>
        <v>5</v>
      </c>
      <c r="B310" s="37">
        <v>43409</v>
      </c>
      <c r="C310" t="s">
        <v>33</v>
      </c>
      <c r="D310">
        <f t="shared" si="8"/>
        <v>2018</v>
      </c>
    </row>
    <row r="311" spans="1:6" hidden="1" x14ac:dyDescent="0.25">
      <c r="A311">
        <f t="shared" si="9"/>
        <v>6</v>
      </c>
      <c r="B311" s="37">
        <v>43410</v>
      </c>
      <c r="C311" t="s">
        <v>33</v>
      </c>
      <c r="D311">
        <f t="shared" si="8"/>
        <v>2018</v>
      </c>
      <c r="F311">
        <v>64.89</v>
      </c>
    </row>
    <row r="312" spans="1:6" hidden="1" x14ac:dyDescent="0.25">
      <c r="A312">
        <f t="shared" si="9"/>
        <v>7</v>
      </c>
      <c r="B312" s="37">
        <v>43411</v>
      </c>
      <c r="C312" t="s">
        <v>33</v>
      </c>
      <c r="D312">
        <f t="shared" si="8"/>
        <v>2018</v>
      </c>
      <c r="F312">
        <v>64.89</v>
      </c>
    </row>
    <row r="313" spans="1:6" hidden="1" x14ac:dyDescent="0.25">
      <c r="A313">
        <f t="shared" si="9"/>
        <v>8</v>
      </c>
      <c r="B313" s="37">
        <v>43412</v>
      </c>
      <c r="C313" t="s">
        <v>33</v>
      </c>
      <c r="D313">
        <f t="shared" si="8"/>
        <v>2018</v>
      </c>
      <c r="F313">
        <v>65.099999999999994</v>
      </c>
    </row>
    <row r="314" spans="1:6" hidden="1" x14ac:dyDescent="0.25">
      <c r="A314">
        <f t="shared" si="9"/>
        <v>9</v>
      </c>
      <c r="B314" s="37">
        <v>43413</v>
      </c>
      <c r="C314" t="s">
        <v>33</v>
      </c>
      <c r="D314">
        <f t="shared" si="8"/>
        <v>2018</v>
      </c>
      <c r="F314">
        <v>65.099999999999994</v>
      </c>
    </row>
    <row r="315" spans="1:6" hidden="1" x14ac:dyDescent="0.25">
      <c r="A315">
        <f t="shared" si="9"/>
        <v>10</v>
      </c>
      <c r="B315" s="37">
        <v>43414</v>
      </c>
      <c r="C315" t="s">
        <v>33</v>
      </c>
      <c r="D315">
        <f t="shared" si="8"/>
        <v>2018</v>
      </c>
    </row>
    <row r="316" spans="1:6" hidden="1" x14ac:dyDescent="0.25">
      <c r="A316">
        <f t="shared" si="9"/>
        <v>11</v>
      </c>
      <c r="B316" s="37">
        <v>43415</v>
      </c>
      <c r="C316" t="s">
        <v>33</v>
      </c>
      <c r="D316">
        <f t="shared" si="8"/>
        <v>2018</v>
      </c>
    </row>
    <row r="317" spans="1:6" hidden="1" x14ac:dyDescent="0.25">
      <c r="A317">
        <f t="shared" si="9"/>
        <v>12</v>
      </c>
      <c r="B317" s="37">
        <v>43416</v>
      </c>
      <c r="C317" t="s">
        <v>33</v>
      </c>
      <c r="D317">
        <f t="shared" si="8"/>
        <v>2018</v>
      </c>
      <c r="F317">
        <v>65.22</v>
      </c>
    </row>
    <row r="318" spans="1:6" hidden="1" x14ac:dyDescent="0.25">
      <c r="A318">
        <f t="shared" si="9"/>
        <v>13</v>
      </c>
      <c r="B318" s="37">
        <v>43417</v>
      </c>
      <c r="C318" t="s">
        <v>33</v>
      </c>
      <c r="D318">
        <f t="shared" si="8"/>
        <v>2018</v>
      </c>
      <c r="F318">
        <v>65.430000000000007</v>
      </c>
    </row>
    <row r="319" spans="1:6" hidden="1" x14ac:dyDescent="0.25">
      <c r="A319">
        <f t="shared" si="9"/>
        <v>14</v>
      </c>
      <c r="B319" s="37">
        <v>43418</v>
      </c>
      <c r="C319" t="s">
        <v>33</v>
      </c>
      <c r="D319">
        <f t="shared" si="8"/>
        <v>2018</v>
      </c>
      <c r="F319">
        <v>65.430000000000007</v>
      </c>
    </row>
    <row r="320" spans="1:6" hidden="1" x14ac:dyDescent="0.25">
      <c r="A320">
        <f t="shared" si="9"/>
        <v>15</v>
      </c>
      <c r="B320" s="37">
        <v>43419</v>
      </c>
      <c r="C320" t="s">
        <v>33</v>
      </c>
      <c r="D320">
        <f t="shared" si="8"/>
        <v>2018</v>
      </c>
      <c r="F320">
        <v>67.209999999999994</v>
      </c>
    </row>
    <row r="321" spans="1:6" hidden="1" x14ac:dyDescent="0.25">
      <c r="A321">
        <f t="shared" si="9"/>
        <v>16</v>
      </c>
      <c r="B321" s="37">
        <v>43420</v>
      </c>
      <c r="C321" t="s">
        <v>33</v>
      </c>
      <c r="D321">
        <f t="shared" si="8"/>
        <v>2018</v>
      </c>
      <c r="F321">
        <v>67.209999999999994</v>
      </c>
    </row>
    <row r="322" spans="1:6" hidden="1" x14ac:dyDescent="0.25">
      <c r="A322">
        <f t="shared" si="9"/>
        <v>17</v>
      </c>
      <c r="B322" s="37">
        <v>43421</v>
      </c>
      <c r="C322" t="s">
        <v>33</v>
      </c>
      <c r="D322">
        <f t="shared" si="8"/>
        <v>2018</v>
      </c>
    </row>
    <row r="323" spans="1:6" hidden="1" x14ac:dyDescent="0.25">
      <c r="A323">
        <f t="shared" si="9"/>
        <v>18</v>
      </c>
      <c r="B323" s="37">
        <v>43422</v>
      </c>
      <c r="C323" t="s">
        <v>33</v>
      </c>
      <c r="D323">
        <f t="shared" ref="D323:D386" si="10">YEAR(B323)</f>
        <v>2018</v>
      </c>
    </row>
    <row r="324" spans="1:6" hidden="1" x14ac:dyDescent="0.25">
      <c r="A324">
        <f t="shared" ref="A324:A387" si="11">DAY(B324)</f>
        <v>19</v>
      </c>
      <c r="B324" s="37">
        <v>43423</v>
      </c>
      <c r="C324" t="s">
        <v>33</v>
      </c>
      <c r="D324">
        <f t="shared" si="10"/>
        <v>2018</v>
      </c>
      <c r="F324">
        <v>70.02</v>
      </c>
    </row>
    <row r="325" spans="1:6" hidden="1" x14ac:dyDescent="0.25">
      <c r="A325">
        <f t="shared" si="11"/>
        <v>20</v>
      </c>
      <c r="B325" s="37">
        <v>43424</v>
      </c>
      <c r="C325" t="s">
        <v>33</v>
      </c>
      <c r="D325">
        <f t="shared" si="10"/>
        <v>2018</v>
      </c>
      <c r="F325">
        <v>72.790000000000006</v>
      </c>
    </row>
    <row r="326" spans="1:6" hidden="1" x14ac:dyDescent="0.25">
      <c r="A326">
        <f t="shared" si="11"/>
        <v>21</v>
      </c>
      <c r="B326" s="37">
        <v>43425</v>
      </c>
      <c r="C326" t="s">
        <v>33</v>
      </c>
      <c r="D326">
        <f t="shared" si="10"/>
        <v>2018</v>
      </c>
      <c r="F326">
        <v>72.790000000000006</v>
      </c>
    </row>
    <row r="327" spans="1:6" hidden="1" x14ac:dyDescent="0.25">
      <c r="A327">
        <f t="shared" si="11"/>
        <v>22</v>
      </c>
      <c r="B327" s="37">
        <v>43426</v>
      </c>
      <c r="C327" t="s">
        <v>33</v>
      </c>
      <c r="D327">
        <f t="shared" si="10"/>
        <v>2018</v>
      </c>
      <c r="F327">
        <v>77.209999999999994</v>
      </c>
    </row>
    <row r="328" spans="1:6" hidden="1" x14ac:dyDescent="0.25">
      <c r="A328">
        <f t="shared" si="11"/>
        <v>23</v>
      </c>
      <c r="B328" s="37">
        <v>43427</v>
      </c>
      <c r="C328" t="s">
        <v>33</v>
      </c>
      <c r="D328">
        <f t="shared" si="10"/>
        <v>2018</v>
      </c>
      <c r="F328">
        <v>77.209999999999994</v>
      </c>
    </row>
    <row r="329" spans="1:6" hidden="1" x14ac:dyDescent="0.25">
      <c r="A329">
        <f t="shared" si="11"/>
        <v>24</v>
      </c>
      <c r="B329" s="37">
        <v>43428</v>
      </c>
      <c r="C329" t="s">
        <v>33</v>
      </c>
      <c r="D329">
        <f t="shared" si="10"/>
        <v>2018</v>
      </c>
    </row>
    <row r="330" spans="1:6" hidden="1" x14ac:dyDescent="0.25">
      <c r="A330">
        <f t="shared" si="11"/>
        <v>25</v>
      </c>
      <c r="B330" s="37">
        <v>43429</v>
      </c>
      <c r="C330" t="s">
        <v>33</v>
      </c>
      <c r="D330">
        <f t="shared" si="10"/>
        <v>2018</v>
      </c>
    </row>
    <row r="331" spans="1:6" hidden="1" x14ac:dyDescent="0.25">
      <c r="A331">
        <f t="shared" si="11"/>
        <v>26</v>
      </c>
      <c r="B331" s="37">
        <v>43430</v>
      </c>
      <c r="C331" t="s">
        <v>33</v>
      </c>
      <c r="D331">
        <f t="shared" si="10"/>
        <v>2018</v>
      </c>
      <c r="F331">
        <v>79.56</v>
      </c>
    </row>
    <row r="332" spans="1:6" hidden="1" x14ac:dyDescent="0.25">
      <c r="A332">
        <f t="shared" si="11"/>
        <v>27</v>
      </c>
      <c r="B332" s="37">
        <v>43431</v>
      </c>
      <c r="C332" t="s">
        <v>33</v>
      </c>
      <c r="D332">
        <f t="shared" si="10"/>
        <v>2018</v>
      </c>
      <c r="F332">
        <v>82.26</v>
      </c>
    </row>
    <row r="333" spans="1:6" hidden="1" x14ac:dyDescent="0.25">
      <c r="A333">
        <f t="shared" si="11"/>
        <v>28</v>
      </c>
      <c r="B333" s="37">
        <v>43432</v>
      </c>
      <c r="C333" t="s">
        <v>33</v>
      </c>
      <c r="D333">
        <f t="shared" si="10"/>
        <v>2018</v>
      </c>
      <c r="F333">
        <v>82.26</v>
      </c>
    </row>
    <row r="334" spans="1:6" hidden="1" x14ac:dyDescent="0.25">
      <c r="A334">
        <f t="shared" si="11"/>
        <v>29</v>
      </c>
      <c r="B334" s="37">
        <v>43433</v>
      </c>
      <c r="C334" t="s">
        <v>33</v>
      </c>
      <c r="D334">
        <f t="shared" si="10"/>
        <v>2018</v>
      </c>
      <c r="F334">
        <v>85.87</v>
      </c>
    </row>
    <row r="335" spans="1:6" hidden="1" x14ac:dyDescent="0.25">
      <c r="A335">
        <f t="shared" si="11"/>
        <v>30</v>
      </c>
      <c r="B335" s="37">
        <v>43434</v>
      </c>
      <c r="C335" t="s">
        <v>33</v>
      </c>
      <c r="D335">
        <f t="shared" si="10"/>
        <v>2018</v>
      </c>
      <c r="F335">
        <v>85.87</v>
      </c>
    </row>
    <row r="336" spans="1:6" hidden="1" x14ac:dyDescent="0.25">
      <c r="A336">
        <f t="shared" si="11"/>
        <v>1</v>
      </c>
      <c r="B336" s="37">
        <v>43435</v>
      </c>
      <c r="C336" t="s">
        <v>34</v>
      </c>
      <c r="D336">
        <f t="shared" si="10"/>
        <v>2018</v>
      </c>
    </row>
    <row r="337" spans="1:6" hidden="1" x14ac:dyDescent="0.25">
      <c r="A337">
        <f t="shared" si="11"/>
        <v>2</v>
      </c>
      <c r="B337" s="37">
        <v>43436</v>
      </c>
      <c r="C337" t="s">
        <v>34</v>
      </c>
      <c r="D337">
        <f t="shared" si="10"/>
        <v>2018</v>
      </c>
    </row>
    <row r="338" spans="1:6" hidden="1" x14ac:dyDescent="0.25">
      <c r="A338">
        <f t="shared" si="11"/>
        <v>3</v>
      </c>
      <c r="B338" s="37">
        <v>43437</v>
      </c>
      <c r="C338" t="s">
        <v>34</v>
      </c>
      <c r="D338">
        <f t="shared" si="10"/>
        <v>2018</v>
      </c>
      <c r="F338">
        <v>151.63999999999999</v>
      </c>
    </row>
    <row r="339" spans="1:6" hidden="1" x14ac:dyDescent="0.25">
      <c r="A339">
        <f t="shared" si="11"/>
        <v>4</v>
      </c>
      <c r="B339" s="37">
        <v>43438</v>
      </c>
      <c r="C339" t="s">
        <v>34</v>
      </c>
      <c r="D339">
        <f t="shared" si="10"/>
        <v>2018</v>
      </c>
      <c r="F339">
        <v>157.12</v>
      </c>
    </row>
    <row r="340" spans="1:6" hidden="1" x14ac:dyDescent="0.25">
      <c r="A340">
        <f t="shared" si="11"/>
        <v>5</v>
      </c>
      <c r="B340" s="37">
        <v>43439</v>
      </c>
      <c r="C340" t="s">
        <v>34</v>
      </c>
      <c r="D340">
        <f t="shared" si="10"/>
        <v>2018</v>
      </c>
      <c r="F340">
        <v>157.12</v>
      </c>
    </row>
    <row r="341" spans="1:6" hidden="1" x14ac:dyDescent="0.25">
      <c r="A341">
        <f t="shared" si="11"/>
        <v>6</v>
      </c>
      <c r="B341" s="37">
        <v>43440</v>
      </c>
      <c r="C341" t="s">
        <v>34</v>
      </c>
      <c r="D341">
        <f t="shared" si="10"/>
        <v>2018</v>
      </c>
      <c r="F341">
        <v>188.54</v>
      </c>
    </row>
    <row r="342" spans="1:6" hidden="1" x14ac:dyDescent="0.25">
      <c r="A342">
        <f t="shared" si="11"/>
        <v>7</v>
      </c>
      <c r="B342" s="37">
        <v>43441</v>
      </c>
      <c r="C342" t="s">
        <v>34</v>
      </c>
      <c r="D342">
        <f t="shared" si="10"/>
        <v>2018</v>
      </c>
      <c r="F342">
        <v>188.54</v>
      </c>
    </row>
    <row r="343" spans="1:6" hidden="1" x14ac:dyDescent="0.25">
      <c r="A343">
        <f t="shared" si="11"/>
        <v>8</v>
      </c>
      <c r="B343" s="37">
        <v>43442</v>
      </c>
      <c r="C343" t="s">
        <v>34</v>
      </c>
      <c r="D343">
        <f t="shared" si="10"/>
        <v>2018</v>
      </c>
    </row>
    <row r="344" spans="1:6" hidden="1" x14ac:dyDescent="0.25">
      <c r="A344">
        <f t="shared" si="11"/>
        <v>9</v>
      </c>
      <c r="B344" s="37">
        <v>43443</v>
      </c>
      <c r="C344" t="s">
        <v>34</v>
      </c>
      <c r="D344">
        <f t="shared" si="10"/>
        <v>2018</v>
      </c>
    </row>
    <row r="345" spans="1:6" hidden="1" x14ac:dyDescent="0.25">
      <c r="A345">
        <f t="shared" si="11"/>
        <v>10</v>
      </c>
      <c r="B345" s="37">
        <v>43444</v>
      </c>
      <c r="C345" t="s">
        <v>34</v>
      </c>
      <c r="D345">
        <f t="shared" si="10"/>
        <v>2018</v>
      </c>
      <c r="F345">
        <v>212.69</v>
      </c>
    </row>
    <row r="346" spans="1:6" hidden="1" x14ac:dyDescent="0.25">
      <c r="A346">
        <f t="shared" si="11"/>
        <v>11</v>
      </c>
      <c r="B346" s="37">
        <v>43445</v>
      </c>
      <c r="C346" t="s">
        <v>34</v>
      </c>
      <c r="D346">
        <f t="shared" si="10"/>
        <v>2018</v>
      </c>
      <c r="F346">
        <v>253.73</v>
      </c>
    </row>
    <row r="347" spans="1:6" hidden="1" x14ac:dyDescent="0.25">
      <c r="A347">
        <f t="shared" si="11"/>
        <v>12</v>
      </c>
      <c r="B347" s="37">
        <v>43446</v>
      </c>
      <c r="C347" t="s">
        <v>34</v>
      </c>
      <c r="D347">
        <f t="shared" si="10"/>
        <v>2018</v>
      </c>
      <c r="F347">
        <v>253.73</v>
      </c>
    </row>
    <row r="348" spans="1:6" hidden="1" x14ac:dyDescent="0.25">
      <c r="A348">
        <f t="shared" si="11"/>
        <v>13</v>
      </c>
      <c r="B348" s="37">
        <v>43447</v>
      </c>
      <c r="C348" t="s">
        <v>34</v>
      </c>
      <c r="D348">
        <f t="shared" si="10"/>
        <v>2018</v>
      </c>
      <c r="F348">
        <v>301.37</v>
      </c>
    </row>
    <row r="349" spans="1:6" hidden="1" x14ac:dyDescent="0.25">
      <c r="A349">
        <f t="shared" si="11"/>
        <v>14</v>
      </c>
      <c r="B349" s="37">
        <v>43448</v>
      </c>
      <c r="C349" t="s">
        <v>34</v>
      </c>
      <c r="D349">
        <f t="shared" si="10"/>
        <v>2018</v>
      </c>
      <c r="F349">
        <v>301.37</v>
      </c>
    </row>
    <row r="350" spans="1:6" hidden="1" x14ac:dyDescent="0.25">
      <c r="A350">
        <f t="shared" si="11"/>
        <v>15</v>
      </c>
      <c r="B350" s="37">
        <v>43449</v>
      </c>
      <c r="C350" t="s">
        <v>34</v>
      </c>
      <c r="D350">
        <f t="shared" si="10"/>
        <v>2018</v>
      </c>
    </row>
    <row r="351" spans="1:6" hidden="1" x14ac:dyDescent="0.25">
      <c r="A351">
        <f t="shared" si="11"/>
        <v>16</v>
      </c>
      <c r="B351" s="37">
        <v>43450</v>
      </c>
      <c r="C351" t="s">
        <v>34</v>
      </c>
      <c r="D351">
        <f t="shared" si="10"/>
        <v>2018</v>
      </c>
    </row>
    <row r="352" spans="1:6" hidden="1" x14ac:dyDescent="0.25">
      <c r="A352">
        <f t="shared" si="11"/>
        <v>17</v>
      </c>
      <c r="B352" s="37">
        <v>43451</v>
      </c>
      <c r="C352" t="s">
        <v>34</v>
      </c>
      <c r="D352">
        <f t="shared" si="10"/>
        <v>2018</v>
      </c>
      <c r="F352">
        <v>352.72</v>
      </c>
    </row>
    <row r="353" spans="1:6" hidden="1" x14ac:dyDescent="0.25">
      <c r="A353">
        <f t="shared" si="11"/>
        <v>18</v>
      </c>
      <c r="B353" s="37">
        <v>43452</v>
      </c>
      <c r="C353" t="s">
        <v>34</v>
      </c>
      <c r="D353">
        <f t="shared" si="10"/>
        <v>2018</v>
      </c>
      <c r="F353">
        <v>388.83</v>
      </c>
    </row>
    <row r="354" spans="1:6" hidden="1" x14ac:dyDescent="0.25">
      <c r="A354">
        <f t="shared" si="11"/>
        <v>19</v>
      </c>
      <c r="B354" s="37">
        <v>43453</v>
      </c>
      <c r="C354" t="s">
        <v>34</v>
      </c>
      <c r="D354">
        <f t="shared" si="10"/>
        <v>2018</v>
      </c>
      <c r="F354">
        <v>388.83</v>
      </c>
    </row>
    <row r="355" spans="1:6" hidden="1" x14ac:dyDescent="0.25">
      <c r="A355">
        <f t="shared" si="11"/>
        <v>20</v>
      </c>
      <c r="B355" s="37">
        <v>43454</v>
      </c>
      <c r="C355" t="s">
        <v>34</v>
      </c>
      <c r="D355">
        <f t="shared" si="10"/>
        <v>2018</v>
      </c>
      <c r="F355">
        <v>447.62</v>
      </c>
    </row>
    <row r="356" spans="1:6" hidden="1" x14ac:dyDescent="0.25">
      <c r="A356">
        <f t="shared" si="11"/>
        <v>21</v>
      </c>
      <c r="B356" s="37">
        <v>43455</v>
      </c>
      <c r="C356" t="s">
        <v>34</v>
      </c>
      <c r="D356">
        <f t="shared" si="10"/>
        <v>2018</v>
      </c>
      <c r="F356">
        <v>447.62</v>
      </c>
    </row>
    <row r="357" spans="1:6" hidden="1" x14ac:dyDescent="0.25">
      <c r="A357">
        <f t="shared" si="11"/>
        <v>22</v>
      </c>
      <c r="B357" s="37">
        <v>43456</v>
      </c>
      <c r="C357" t="s">
        <v>34</v>
      </c>
      <c r="D357">
        <f t="shared" si="10"/>
        <v>2018</v>
      </c>
    </row>
    <row r="358" spans="1:6" hidden="1" x14ac:dyDescent="0.25">
      <c r="A358">
        <f t="shared" si="11"/>
        <v>23</v>
      </c>
      <c r="B358" s="37">
        <v>43457</v>
      </c>
      <c r="C358" t="s">
        <v>34</v>
      </c>
      <c r="D358">
        <f t="shared" si="10"/>
        <v>2018</v>
      </c>
    </row>
    <row r="359" spans="1:6" hidden="1" x14ac:dyDescent="0.25">
      <c r="A359">
        <f t="shared" si="11"/>
        <v>24</v>
      </c>
      <c r="B359" s="37">
        <v>43458</v>
      </c>
      <c r="C359" t="s">
        <v>34</v>
      </c>
      <c r="D359">
        <f t="shared" si="10"/>
        <v>2018</v>
      </c>
    </row>
    <row r="360" spans="1:6" hidden="1" x14ac:dyDescent="0.25">
      <c r="A360">
        <f t="shared" si="11"/>
        <v>25</v>
      </c>
      <c r="B360" s="37">
        <v>43459</v>
      </c>
      <c r="C360" t="s">
        <v>34</v>
      </c>
      <c r="D360">
        <f t="shared" si="10"/>
        <v>2018</v>
      </c>
    </row>
    <row r="361" spans="1:6" hidden="1" x14ac:dyDescent="0.25">
      <c r="A361">
        <f t="shared" si="11"/>
        <v>26</v>
      </c>
      <c r="B361" s="37">
        <v>43460</v>
      </c>
      <c r="C361" t="s">
        <v>34</v>
      </c>
      <c r="D361">
        <f t="shared" si="10"/>
        <v>2018</v>
      </c>
      <c r="F361">
        <v>504.37</v>
      </c>
    </row>
    <row r="362" spans="1:6" hidden="1" x14ac:dyDescent="0.25">
      <c r="A362">
        <f t="shared" si="11"/>
        <v>27</v>
      </c>
      <c r="B362" s="37">
        <v>43461</v>
      </c>
      <c r="C362" t="s">
        <v>34</v>
      </c>
      <c r="D362">
        <f t="shared" si="10"/>
        <v>2018</v>
      </c>
      <c r="F362">
        <v>563.98</v>
      </c>
    </row>
    <row r="363" spans="1:6" hidden="1" x14ac:dyDescent="0.25">
      <c r="A363">
        <f t="shared" si="11"/>
        <v>28</v>
      </c>
      <c r="B363" s="37">
        <v>43462</v>
      </c>
      <c r="C363" t="s">
        <v>34</v>
      </c>
      <c r="D363">
        <f t="shared" si="10"/>
        <v>2018</v>
      </c>
      <c r="F363">
        <v>563.98</v>
      </c>
    </row>
    <row r="364" spans="1:6" hidden="1" x14ac:dyDescent="0.25">
      <c r="A364">
        <f t="shared" si="11"/>
        <v>29</v>
      </c>
      <c r="B364" s="37">
        <v>43463</v>
      </c>
      <c r="C364" t="s">
        <v>34</v>
      </c>
      <c r="D364">
        <f t="shared" si="10"/>
        <v>2018</v>
      </c>
    </row>
    <row r="365" spans="1:6" hidden="1" x14ac:dyDescent="0.25">
      <c r="A365">
        <f t="shared" si="11"/>
        <v>30</v>
      </c>
      <c r="B365" s="37">
        <v>43464</v>
      </c>
      <c r="C365" t="s">
        <v>34</v>
      </c>
      <c r="D365">
        <f t="shared" si="10"/>
        <v>2018</v>
      </c>
    </row>
    <row r="366" spans="1:6" hidden="1" x14ac:dyDescent="0.25">
      <c r="A366">
        <f t="shared" si="11"/>
        <v>31</v>
      </c>
      <c r="B366" s="37">
        <v>43465</v>
      </c>
      <c r="C366" t="s">
        <v>34</v>
      </c>
      <c r="D366">
        <f t="shared" si="10"/>
        <v>2018</v>
      </c>
      <c r="F366">
        <v>563.98</v>
      </c>
    </row>
    <row r="367" spans="1:6" hidden="1" x14ac:dyDescent="0.25">
      <c r="A367">
        <f t="shared" si="11"/>
        <v>1</v>
      </c>
      <c r="B367" s="37">
        <v>43466</v>
      </c>
      <c r="C367" t="s">
        <v>23</v>
      </c>
      <c r="D367">
        <f t="shared" si="10"/>
        <v>2019</v>
      </c>
    </row>
    <row r="368" spans="1:6" hidden="1" x14ac:dyDescent="0.25">
      <c r="A368">
        <f t="shared" si="11"/>
        <v>2</v>
      </c>
      <c r="B368" s="37">
        <v>43467</v>
      </c>
      <c r="C368" t="s">
        <v>23</v>
      </c>
      <c r="D368">
        <f t="shared" si="10"/>
        <v>2019</v>
      </c>
      <c r="F368">
        <v>638.17999999999995</v>
      </c>
    </row>
    <row r="369" spans="1:6" hidden="1" x14ac:dyDescent="0.25">
      <c r="A369">
        <f t="shared" si="11"/>
        <v>3</v>
      </c>
      <c r="B369" s="37">
        <v>43468</v>
      </c>
      <c r="C369" t="s">
        <v>23</v>
      </c>
      <c r="D369">
        <f t="shared" si="10"/>
        <v>2019</v>
      </c>
      <c r="F369">
        <v>638.17999999999995</v>
      </c>
    </row>
    <row r="370" spans="1:6" hidden="1" x14ac:dyDescent="0.25">
      <c r="A370">
        <f t="shared" si="11"/>
        <v>4</v>
      </c>
      <c r="B370" s="37">
        <v>43469</v>
      </c>
      <c r="C370" t="s">
        <v>23</v>
      </c>
      <c r="D370">
        <f t="shared" si="10"/>
        <v>2019</v>
      </c>
      <c r="F370">
        <v>638.17999999999995</v>
      </c>
    </row>
    <row r="371" spans="1:6" hidden="1" x14ac:dyDescent="0.25">
      <c r="A371">
        <f t="shared" si="11"/>
        <v>5</v>
      </c>
      <c r="B371" s="37">
        <v>43470</v>
      </c>
      <c r="C371" t="s">
        <v>23</v>
      </c>
      <c r="D371">
        <f t="shared" si="10"/>
        <v>2019</v>
      </c>
    </row>
    <row r="372" spans="1:6" hidden="1" x14ac:dyDescent="0.25">
      <c r="A372">
        <f t="shared" si="11"/>
        <v>6</v>
      </c>
      <c r="B372" s="37">
        <v>43471</v>
      </c>
      <c r="C372" t="s">
        <v>23</v>
      </c>
      <c r="D372">
        <f t="shared" si="10"/>
        <v>2019</v>
      </c>
    </row>
    <row r="373" spans="1:6" hidden="1" x14ac:dyDescent="0.25">
      <c r="A373">
        <f t="shared" si="11"/>
        <v>7</v>
      </c>
      <c r="B373" s="37">
        <v>43472</v>
      </c>
      <c r="C373" t="s">
        <v>23</v>
      </c>
      <c r="D373">
        <f t="shared" si="10"/>
        <v>2019</v>
      </c>
      <c r="F373">
        <v>638.17999999999995</v>
      </c>
    </row>
    <row r="374" spans="1:6" hidden="1" x14ac:dyDescent="0.25">
      <c r="A374">
        <f t="shared" si="11"/>
        <v>8</v>
      </c>
      <c r="B374" s="37">
        <v>43473</v>
      </c>
      <c r="C374" t="s">
        <v>23</v>
      </c>
      <c r="D374">
        <f t="shared" si="10"/>
        <v>2019</v>
      </c>
      <c r="F374">
        <v>704.57</v>
      </c>
    </row>
    <row r="375" spans="1:6" hidden="1" x14ac:dyDescent="0.25">
      <c r="A375">
        <f t="shared" si="11"/>
        <v>9</v>
      </c>
      <c r="B375" s="37">
        <v>43474</v>
      </c>
      <c r="C375" t="s">
        <v>23</v>
      </c>
      <c r="D375">
        <f t="shared" si="10"/>
        <v>2019</v>
      </c>
      <c r="F375">
        <v>704.57</v>
      </c>
    </row>
    <row r="376" spans="1:6" hidden="1" x14ac:dyDescent="0.25">
      <c r="A376">
        <f t="shared" si="11"/>
        <v>10</v>
      </c>
      <c r="B376" s="37">
        <v>43475</v>
      </c>
      <c r="C376" t="s">
        <v>23</v>
      </c>
      <c r="D376">
        <f t="shared" si="10"/>
        <v>2019</v>
      </c>
      <c r="F376">
        <v>795.46</v>
      </c>
    </row>
    <row r="377" spans="1:6" hidden="1" x14ac:dyDescent="0.25">
      <c r="A377">
        <f t="shared" si="11"/>
        <v>11</v>
      </c>
      <c r="B377" s="37">
        <v>43476</v>
      </c>
      <c r="C377" t="s">
        <v>23</v>
      </c>
      <c r="D377">
        <f t="shared" si="10"/>
        <v>2019</v>
      </c>
      <c r="F377">
        <v>795.46</v>
      </c>
    </row>
    <row r="378" spans="1:6" hidden="1" x14ac:dyDescent="0.25">
      <c r="A378">
        <f t="shared" si="11"/>
        <v>12</v>
      </c>
      <c r="B378" s="37">
        <v>43477</v>
      </c>
      <c r="C378" t="s">
        <v>23</v>
      </c>
      <c r="D378">
        <f t="shared" si="10"/>
        <v>2019</v>
      </c>
    </row>
    <row r="379" spans="1:6" hidden="1" x14ac:dyDescent="0.25">
      <c r="A379">
        <f t="shared" si="11"/>
        <v>13</v>
      </c>
      <c r="B379" s="37">
        <v>43478</v>
      </c>
      <c r="C379" t="s">
        <v>23</v>
      </c>
      <c r="D379">
        <f t="shared" si="10"/>
        <v>2019</v>
      </c>
    </row>
    <row r="380" spans="1:6" hidden="1" x14ac:dyDescent="0.25">
      <c r="A380">
        <f t="shared" si="11"/>
        <v>14</v>
      </c>
      <c r="B380" s="37">
        <v>43479</v>
      </c>
      <c r="C380" t="s">
        <v>23</v>
      </c>
      <c r="D380">
        <f t="shared" si="10"/>
        <v>2019</v>
      </c>
      <c r="F380">
        <v>862.32</v>
      </c>
    </row>
    <row r="381" spans="1:6" hidden="1" x14ac:dyDescent="0.25">
      <c r="A381">
        <f t="shared" si="11"/>
        <v>15</v>
      </c>
      <c r="B381" s="37">
        <v>43480</v>
      </c>
      <c r="C381" t="s">
        <v>23</v>
      </c>
      <c r="D381">
        <f t="shared" si="10"/>
        <v>2019</v>
      </c>
      <c r="F381">
        <v>949.47</v>
      </c>
    </row>
    <row r="382" spans="1:6" hidden="1" x14ac:dyDescent="0.25">
      <c r="A382">
        <f t="shared" si="11"/>
        <v>16</v>
      </c>
      <c r="B382" s="37">
        <v>43481</v>
      </c>
      <c r="C382" t="s">
        <v>23</v>
      </c>
      <c r="D382">
        <f t="shared" si="10"/>
        <v>2019</v>
      </c>
      <c r="F382">
        <v>949.47</v>
      </c>
    </row>
    <row r="383" spans="1:6" hidden="1" x14ac:dyDescent="0.25">
      <c r="A383">
        <f t="shared" si="11"/>
        <v>17</v>
      </c>
      <c r="B383" s="37">
        <v>43482</v>
      </c>
      <c r="C383" t="s">
        <v>23</v>
      </c>
      <c r="D383">
        <f t="shared" si="10"/>
        <v>2019</v>
      </c>
      <c r="F383">
        <v>1001.74</v>
      </c>
    </row>
    <row r="384" spans="1:6" hidden="1" x14ac:dyDescent="0.25">
      <c r="A384">
        <f t="shared" si="11"/>
        <v>18</v>
      </c>
      <c r="B384" s="37">
        <v>43483</v>
      </c>
      <c r="C384" t="s">
        <v>23</v>
      </c>
      <c r="D384">
        <f t="shared" si="10"/>
        <v>2019</v>
      </c>
      <c r="F384">
        <v>1001.74</v>
      </c>
    </row>
    <row r="385" spans="1:6" hidden="1" x14ac:dyDescent="0.25">
      <c r="A385">
        <f t="shared" si="11"/>
        <v>19</v>
      </c>
      <c r="B385" s="37">
        <v>43484</v>
      </c>
      <c r="C385" t="s">
        <v>23</v>
      </c>
      <c r="D385">
        <f t="shared" si="10"/>
        <v>2019</v>
      </c>
    </row>
    <row r="386" spans="1:6" hidden="1" x14ac:dyDescent="0.25">
      <c r="A386">
        <f t="shared" si="11"/>
        <v>20</v>
      </c>
      <c r="B386" s="37">
        <v>43485</v>
      </c>
      <c r="C386" t="s">
        <v>23</v>
      </c>
      <c r="D386">
        <f t="shared" si="10"/>
        <v>2019</v>
      </c>
    </row>
    <row r="387" spans="1:6" hidden="1" x14ac:dyDescent="0.25">
      <c r="A387">
        <f t="shared" si="11"/>
        <v>21</v>
      </c>
      <c r="B387" s="37">
        <v>43486</v>
      </c>
      <c r="C387" t="s">
        <v>23</v>
      </c>
      <c r="D387">
        <f t="shared" ref="D387:D450" si="12">YEAR(B387)</f>
        <v>2019</v>
      </c>
      <c r="F387">
        <v>1123.46</v>
      </c>
    </row>
    <row r="388" spans="1:6" hidden="1" x14ac:dyDescent="0.25">
      <c r="A388">
        <f t="shared" ref="A388:A451" si="13">DAY(B388)</f>
        <v>22</v>
      </c>
      <c r="B388" s="37">
        <v>43487</v>
      </c>
      <c r="C388" t="s">
        <v>23</v>
      </c>
      <c r="D388">
        <f t="shared" si="12"/>
        <v>2019</v>
      </c>
      <c r="F388">
        <v>1324.9</v>
      </c>
    </row>
    <row r="389" spans="1:6" hidden="1" x14ac:dyDescent="0.25">
      <c r="A389">
        <f t="shared" si="13"/>
        <v>23</v>
      </c>
      <c r="B389" s="37">
        <v>43488</v>
      </c>
      <c r="C389" t="s">
        <v>23</v>
      </c>
      <c r="D389">
        <f t="shared" si="12"/>
        <v>2019</v>
      </c>
      <c r="F389">
        <v>1324.9</v>
      </c>
    </row>
    <row r="390" spans="1:6" hidden="1" x14ac:dyDescent="0.25">
      <c r="A390">
        <f t="shared" si="13"/>
        <v>24</v>
      </c>
      <c r="B390" s="37">
        <v>43489</v>
      </c>
      <c r="C390" t="s">
        <v>23</v>
      </c>
      <c r="D390">
        <f t="shared" si="12"/>
        <v>2019</v>
      </c>
      <c r="F390">
        <v>1572.55</v>
      </c>
    </row>
    <row r="391" spans="1:6" hidden="1" x14ac:dyDescent="0.25">
      <c r="A391">
        <f t="shared" si="13"/>
        <v>25</v>
      </c>
      <c r="B391" s="37">
        <v>43490</v>
      </c>
      <c r="C391" t="s">
        <v>23</v>
      </c>
      <c r="D391">
        <f t="shared" si="12"/>
        <v>2019</v>
      </c>
      <c r="F391">
        <v>1572.55</v>
      </c>
    </row>
    <row r="392" spans="1:6" hidden="1" x14ac:dyDescent="0.25">
      <c r="A392">
        <f t="shared" si="13"/>
        <v>26</v>
      </c>
      <c r="B392" s="37">
        <v>43491</v>
      </c>
      <c r="C392" t="s">
        <v>23</v>
      </c>
      <c r="D392">
        <f t="shared" si="12"/>
        <v>2019</v>
      </c>
    </row>
    <row r="393" spans="1:6" hidden="1" x14ac:dyDescent="0.25">
      <c r="A393">
        <f t="shared" si="13"/>
        <v>27</v>
      </c>
      <c r="B393" s="37">
        <v>43492</v>
      </c>
      <c r="C393" t="s">
        <v>23</v>
      </c>
      <c r="D393">
        <f t="shared" si="12"/>
        <v>2019</v>
      </c>
    </row>
    <row r="394" spans="1:6" hidden="1" x14ac:dyDescent="0.25">
      <c r="A394">
        <f t="shared" si="13"/>
        <v>28</v>
      </c>
      <c r="B394" s="37">
        <v>43493</v>
      </c>
      <c r="C394" t="s">
        <v>23</v>
      </c>
      <c r="D394">
        <f t="shared" si="12"/>
        <v>2019</v>
      </c>
      <c r="F394">
        <v>2084.39</v>
      </c>
    </row>
    <row r="395" spans="1:6" hidden="1" x14ac:dyDescent="0.25">
      <c r="A395">
        <f t="shared" si="13"/>
        <v>29</v>
      </c>
      <c r="B395" s="37">
        <v>43494</v>
      </c>
      <c r="C395" t="s">
        <v>23</v>
      </c>
      <c r="D395">
        <f t="shared" si="12"/>
        <v>2019</v>
      </c>
      <c r="F395">
        <v>3299.12</v>
      </c>
    </row>
    <row r="396" spans="1:6" hidden="1" x14ac:dyDescent="0.25">
      <c r="A396">
        <f t="shared" si="13"/>
        <v>30</v>
      </c>
      <c r="B396" s="37">
        <v>43495</v>
      </c>
      <c r="C396" t="s">
        <v>23</v>
      </c>
      <c r="D396">
        <f t="shared" si="12"/>
        <v>2019</v>
      </c>
      <c r="F396">
        <v>3299.12</v>
      </c>
    </row>
    <row r="397" spans="1:6" hidden="1" x14ac:dyDescent="0.25">
      <c r="A397">
        <f t="shared" si="13"/>
        <v>31</v>
      </c>
      <c r="B397" s="37">
        <v>43496</v>
      </c>
      <c r="C397" t="s">
        <v>23</v>
      </c>
      <c r="D397">
        <f t="shared" si="12"/>
        <v>2019</v>
      </c>
      <c r="E397">
        <v>2380</v>
      </c>
      <c r="F397">
        <v>3299.12</v>
      </c>
    </row>
    <row r="398" spans="1:6" hidden="1" x14ac:dyDescent="0.25">
      <c r="A398">
        <f t="shared" si="13"/>
        <v>1</v>
      </c>
      <c r="B398" s="37">
        <v>43497</v>
      </c>
      <c r="C398" t="s">
        <v>24</v>
      </c>
      <c r="D398">
        <f t="shared" si="12"/>
        <v>2019</v>
      </c>
      <c r="F398">
        <v>3299.12</v>
      </c>
    </row>
    <row r="399" spans="1:6" hidden="1" x14ac:dyDescent="0.25">
      <c r="A399">
        <f t="shared" si="13"/>
        <v>2</v>
      </c>
      <c r="B399" s="37">
        <v>43498</v>
      </c>
      <c r="C399" t="s">
        <v>24</v>
      </c>
      <c r="D399">
        <f t="shared" si="12"/>
        <v>2019</v>
      </c>
    </row>
    <row r="400" spans="1:6" hidden="1" x14ac:dyDescent="0.25">
      <c r="A400">
        <f t="shared" si="13"/>
        <v>3</v>
      </c>
      <c r="B400" s="37">
        <v>43499</v>
      </c>
      <c r="C400" t="s">
        <v>24</v>
      </c>
      <c r="D400">
        <f t="shared" si="12"/>
        <v>2019</v>
      </c>
    </row>
    <row r="401" spans="1:6" hidden="1" x14ac:dyDescent="0.25">
      <c r="A401">
        <f t="shared" si="13"/>
        <v>4</v>
      </c>
      <c r="B401" s="37">
        <v>43500</v>
      </c>
      <c r="C401" t="s">
        <v>24</v>
      </c>
      <c r="D401">
        <f t="shared" si="12"/>
        <v>2019</v>
      </c>
      <c r="F401">
        <v>3298.2</v>
      </c>
    </row>
    <row r="402" spans="1:6" hidden="1" x14ac:dyDescent="0.25">
      <c r="A402">
        <f t="shared" si="13"/>
        <v>5</v>
      </c>
      <c r="B402" s="37">
        <v>43501</v>
      </c>
      <c r="C402" t="s">
        <v>24</v>
      </c>
      <c r="D402">
        <f t="shared" si="12"/>
        <v>2019</v>
      </c>
      <c r="F402">
        <v>3297.22</v>
      </c>
    </row>
    <row r="403" spans="1:6" hidden="1" x14ac:dyDescent="0.25">
      <c r="A403">
        <f t="shared" si="13"/>
        <v>6</v>
      </c>
      <c r="B403" s="37">
        <v>43502</v>
      </c>
      <c r="C403" t="s">
        <v>24</v>
      </c>
      <c r="D403">
        <f t="shared" si="12"/>
        <v>2019</v>
      </c>
      <c r="F403">
        <v>3297.4</v>
      </c>
    </row>
    <row r="404" spans="1:6" hidden="1" x14ac:dyDescent="0.25">
      <c r="A404">
        <f t="shared" si="13"/>
        <v>7</v>
      </c>
      <c r="B404" s="37">
        <v>43503</v>
      </c>
      <c r="C404" t="s">
        <v>24</v>
      </c>
      <c r="D404">
        <f t="shared" si="12"/>
        <v>2019</v>
      </c>
      <c r="F404">
        <v>3297.62</v>
      </c>
    </row>
    <row r="405" spans="1:6" hidden="1" x14ac:dyDescent="0.25">
      <c r="A405">
        <f t="shared" si="13"/>
        <v>8</v>
      </c>
      <c r="B405" s="37">
        <v>43504</v>
      </c>
      <c r="C405" t="s">
        <v>24</v>
      </c>
      <c r="D405">
        <f t="shared" si="12"/>
        <v>2019</v>
      </c>
      <c r="F405">
        <v>3297.71</v>
      </c>
    </row>
    <row r="406" spans="1:6" hidden="1" x14ac:dyDescent="0.25">
      <c r="A406">
        <f t="shared" si="13"/>
        <v>9</v>
      </c>
      <c r="B406" s="37">
        <v>43505</v>
      </c>
      <c r="C406" t="s">
        <v>24</v>
      </c>
      <c r="D406">
        <f t="shared" si="12"/>
        <v>2019</v>
      </c>
    </row>
    <row r="407" spans="1:6" hidden="1" x14ac:dyDescent="0.25">
      <c r="A407">
        <f t="shared" si="13"/>
        <v>10</v>
      </c>
      <c r="B407" s="37">
        <v>43506</v>
      </c>
      <c r="C407" t="s">
        <v>24</v>
      </c>
      <c r="D407">
        <f t="shared" si="12"/>
        <v>2019</v>
      </c>
    </row>
    <row r="408" spans="1:6" hidden="1" x14ac:dyDescent="0.25">
      <c r="A408">
        <f t="shared" si="13"/>
        <v>11</v>
      </c>
      <c r="B408" s="37">
        <v>43507</v>
      </c>
      <c r="C408" t="s">
        <v>24</v>
      </c>
      <c r="D408">
        <f t="shared" si="12"/>
        <v>2019</v>
      </c>
      <c r="F408">
        <v>3298.02</v>
      </c>
    </row>
    <row r="409" spans="1:6" hidden="1" x14ac:dyDescent="0.25">
      <c r="A409">
        <f t="shared" si="13"/>
        <v>12</v>
      </c>
      <c r="B409" s="37">
        <v>43508</v>
      </c>
      <c r="C409" t="s">
        <v>24</v>
      </c>
      <c r="D409">
        <f t="shared" si="12"/>
        <v>2019</v>
      </c>
      <c r="F409">
        <v>3298.84</v>
      </c>
    </row>
    <row r="410" spans="1:6" hidden="1" x14ac:dyDescent="0.25">
      <c r="A410">
        <f t="shared" si="13"/>
        <v>13</v>
      </c>
      <c r="B410" s="37">
        <v>43509</v>
      </c>
      <c r="C410" t="s">
        <v>24</v>
      </c>
      <c r="D410">
        <f t="shared" si="12"/>
        <v>2019</v>
      </c>
      <c r="F410">
        <v>3298.11</v>
      </c>
    </row>
    <row r="411" spans="1:6" hidden="1" x14ac:dyDescent="0.25">
      <c r="A411">
        <f t="shared" si="13"/>
        <v>14</v>
      </c>
      <c r="B411" s="37">
        <v>43510</v>
      </c>
      <c r="C411" t="s">
        <v>24</v>
      </c>
      <c r="D411">
        <f t="shared" si="12"/>
        <v>2019</v>
      </c>
      <c r="F411">
        <v>3298.23</v>
      </c>
    </row>
    <row r="412" spans="1:6" hidden="1" x14ac:dyDescent="0.25">
      <c r="A412">
        <f t="shared" si="13"/>
        <v>15</v>
      </c>
      <c r="B412" s="37">
        <v>43511</v>
      </c>
      <c r="C412" t="s">
        <v>24</v>
      </c>
      <c r="D412">
        <f t="shared" si="12"/>
        <v>2019</v>
      </c>
      <c r="F412">
        <v>3298.38</v>
      </c>
    </row>
    <row r="413" spans="1:6" hidden="1" x14ac:dyDescent="0.25">
      <c r="A413">
        <f t="shared" si="13"/>
        <v>16</v>
      </c>
      <c r="B413" s="37">
        <v>43512</v>
      </c>
      <c r="C413" t="s">
        <v>24</v>
      </c>
      <c r="D413">
        <f t="shared" si="12"/>
        <v>2019</v>
      </c>
    </row>
    <row r="414" spans="1:6" hidden="1" x14ac:dyDescent="0.25">
      <c r="A414">
        <f t="shared" si="13"/>
        <v>17</v>
      </c>
      <c r="B414" s="37">
        <v>43513</v>
      </c>
      <c r="C414" t="s">
        <v>24</v>
      </c>
      <c r="D414">
        <f t="shared" si="12"/>
        <v>2019</v>
      </c>
    </row>
    <row r="415" spans="1:6" hidden="1" x14ac:dyDescent="0.25">
      <c r="A415">
        <f t="shared" si="13"/>
        <v>18</v>
      </c>
      <c r="B415" s="37">
        <v>43514</v>
      </c>
      <c r="C415" t="s">
        <v>24</v>
      </c>
      <c r="D415">
        <f t="shared" si="12"/>
        <v>2019</v>
      </c>
      <c r="F415">
        <v>3298.45</v>
      </c>
    </row>
    <row r="416" spans="1:6" hidden="1" x14ac:dyDescent="0.25">
      <c r="A416">
        <f t="shared" si="13"/>
        <v>19</v>
      </c>
      <c r="B416" s="37">
        <v>43515</v>
      </c>
      <c r="C416" t="s">
        <v>24</v>
      </c>
      <c r="D416">
        <f t="shared" si="12"/>
        <v>2019</v>
      </c>
      <c r="F416">
        <v>3298.21</v>
      </c>
    </row>
    <row r="417" spans="1:6" hidden="1" x14ac:dyDescent="0.25">
      <c r="A417">
        <f t="shared" si="13"/>
        <v>20</v>
      </c>
      <c r="B417" s="37">
        <v>43516</v>
      </c>
      <c r="C417" t="s">
        <v>24</v>
      </c>
      <c r="D417">
        <f t="shared" si="12"/>
        <v>2019</v>
      </c>
      <c r="F417">
        <v>3298.39</v>
      </c>
    </row>
    <row r="418" spans="1:6" hidden="1" x14ac:dyDescent="0.25">
      <c r="A418">
        <f t="shared" si="13"/>
        <v>21</v>
      </c>
      <c r="B418" s="37">
        <v>43517</v>
      </c>
      <c r="C418" t="s">
        <v>24</v>
      </c>
      <c r="D418">
        <f t="shared" si="12"/>
        <v>2019</v>
      </c>
      <c r="F418">
        <v>3298.64</v>
      </c>
    </row>
    <row r="419" spans="1:6" hidden="1" x14ac:dyDescent="0.25">
      <c r="A419">
        <f t="shared" si="13"/>
        <v>22</v>
      </c>
      <c r="B419" s="37">
        <v>43518</v>
      </c>
      <c r="C419" t="s">
        <v>24</v>
      </c>
      <c r="D419">
        <f t="shared" si="12"/>
        <v>2019</v>
      </c>
      <c r="F419">
        <v>3298.85</v>
      </c>
    </row>
    <row r="420" spans="1:6" hidden="1" x14ac:dyDescent="0.25">
      <c r="A420">
        <f t="shared" si="13"/>
        <v>23</v>
      </c>
      <c r="B420" s="37">
        <v>43519</v>
      </c>
      <c r="C420" t="s">
        <v>24</v>
      </c>
      <c r="D420">
        <f t="shared" si="12"/>
        <v>2019</v>
      </c>
    </row>
    <row r="421" spans="1:6" hidden="1" x14ac:dyDescent="0.25">
      <c r="A421">
        <f t="shared" si="13"/>
        <v>24</v>
      </c>
      <c r="B421" s="37">
        <v>43520</v>
      </c>
      <c r="C421" t="s">
        <v>24</v>
      </c>
      <c r="D421">
        <f t="shared" si="12"/>
        <v>2019</v>
      </c>
    </row>
    <row r="422" spans="1:6" hidden="1" x14ac:dyDescent="0.25">
      <c r="A422">
        <f t="shared" si="13"/>
        <v>25</v>
      </c>
      <c r="B422" s="37">
        <v>43521</v>
      </c>
      <c r="C422" t="s">
        <v>24</v>
      </c>
      <c r="D422">
        <f t="shared" si="12"/>
        <v>2019</v>
      </c>
      <c r="F422">
        <v>3299.53</v>
      </c>
    </row>
    <row r="423" spans="1:6" hidden="1" x14ac:dyDescent="0.25">
      <c r="A423">
        <f t="shared" si="13"/>
        <v>26</v>
      </c>
      <c r="B423" s="37">
        <v>43522</v>
      </c>
      <c r="C423" t="s">
        <v>24</v>
      </c>
      <c r="D423">
        <f t="shared" si="12"/>
        <v>2019</v>
      </c>
      <c r="F423">
        <v>3299.97</v>
      </c>
    </row>
    <row r="424" spans="1:6" hidden="1" x14ac:dyDescent="0.25">
      <c r="A424">
        <f t="shared" si="13"/>
        <v>27</v>
      </c>
      <c r="B424" s="37">
        <v>43523</v>
      </c>
      <c r="C424" t="s">
        <v>24</v>
      </c>
      <c r="D424">
        <f t="shared" si="12"/>
        <v>2019</v>
      </c>
      <c r="F424">
        <v>3301.83</v>
      </c>
    </row>
    <row r="425" spans="1:6" hidden="1" x14ac:dyDescent="0.25">
      <c r="A425">
        <f t="shared" si="13"/>
        <v>28</v>
      </c>
      <c r="B425" s="37">
        <v>43524</v>
      </c>
      <c r="C425" t="s">
        <v>24</v>
      </c>
      <c r="D425">
        <f t="shared" si="12"/>
        <v>2019</v>
      </c>
      <c r="E425">
        <v>3652</v>
      </c>
      <c r="F425">
        <v>3298.32</v>
      </c>
    </row>
    <row r="426" spans="1:6" hidden="1" x14ac:dyDescent="0.25">
      <c r="A426">
        <f t="shared" si="13"/>
        <v>1</v>
      </c>
      <c r="B426" s="37">
        <v>43525</v>
      </c>
      <c r="C426" t="s">
        <v>25</v>
      </c>
      <c r="D426">
        <f t="shared" si="12"/>
        <v>2019</v>
      </c>
      <c r="F426">
        <v>3302.24</v>
      </c>
    </row>
    <row r="427" spans="1:6" hidden="1" x14ac:dyDescent="0.25">
      <c r="A427">
        <f t="shared" si="13"/>
        <v>2</v>
      </c>
      <c r="B427" s="37">
        <v>43526</v>
      </c>
      <c r="C427" t="s">
        <v>25</v>
      </c>
      <c r="D427">
        <f t="shared" si="12"/>
        <v>2019</v>
      </c>
    </row>
    <row r="428" spans="1:6" hidden="1" x14ac:dyDescent="0.25">
      <c r="A428">
        <f t="shared" si="13"/>
        <v>3</v>
      </c>
      <c r="B428" s="37">
        <v>43527</v>
      </c>
      <c r="C428" t="s">
        <v>25</v>
      </c>
      <c r="D428">
        <f t="shared" si="12"/>
        <v>2019</v>
      </c>
    </row>
    <row r="429" spans="1:6" hidden="1" x14ac:dyDescent="0.25">
      <c r="A429">
        <f t="shared" si="13"/>
        <v>4</v>
      </c>
      <c r="B429" s="37">
        <v>43528</v>
      </c>
      <c r="C429" t="s">
        <v>25</v>
      </c>
      <c r="D429">
        <f t="shared" si="12"/>
        <v>2019</v>
      </c>
    </row>
    <row r="430" spans="1:6" hidden="1" x14ac:dyDescent="0.25">
      <c r="A430">
        <f t="shared" si="13"/>
        <v>5</v>
      </c>
      <c r="B430" s="37">
        <v>43529</v>
      </c>
      <c r="C430" t="s">
        <v>25</v>
      </c>
      <c r="D430">
        <f t="shared" si="12"/>
        <v>2019</v>
      </c>
    </row>
    <row r="431" spans="1:6" hidden="1" x14ac:dyDescent="0.25">
      <c r="A431">
        <f t="shared" si="13"/>
        <v>6</v>
      </c>
      <c r="B431" s="37">
        <v>43530</v>
      </c>
      <c r="C431" t="s">
        <v>25</v>
      </c>
      <c r="D431">
        <f t="shared" si="12"/>
        <v>2019</v>
      </c>
      <c r="F431">
        <v>3301.07</v>
      </c>
    </row>
    <row r="432" spans="1:6" hidden="1" x14ac:dyDescent="0.25">
      <c r="A432">
        <f t="shared" si="13"/>
        <v>7</v>
      </c>
      <c r="B432" s="37">
        <v>43531</v>
      </c>
      <c r="C432" t="s">
        <v>25</v>
      </c>
      <c r="D432">
        <f t="shared" si="12"/>
        <v>2019</v>
      </c>
      <c r="F432">
        <v>3298.91</v>
      </c>
    </row>
    <row r="433" spans="1:6" hidden="1" x14ac:dyDescent="0.25">
      <c r="A433">
        <f t="shared" si="13"/>
        <v>8</v>
      </c>
      <c r="B433" s="37">
        <v>43532</v>
      </c>
      <c r="C433" t="s">
        <v>25</v>
      </c>
      <c r="D433">
        <f t="shared" si="12"/>
        <v>2019</v>
      </c>
      <c r="F433">
        <v>3299.59</v>
      </c>
    </row>
    <row r="434" spans="1:6" hidden="1" x14ac:dyDescent="0.25">
      <c r="A434">
        <f t="shared" si="13"/>
        <v>9</v>
      </c>
      <c r="B434" s="37">
        <v>43533</v>
      </c>
      <c r="C434" t="s">
        <v>25</v>
      </c>
      <c r="D434">
        <f t="shared" si="12"/>
        <v>2019</v>
      </c>
    </row>
    <row r="435" spans="1:6" hidden="1" x14ac:dyDescent="0.25">
      <c r="A435">
        <f t="shared" si="13"/>
        <v>10</v>
      </c>
      <c r="B435" s="37">
        <v>43534</v>
      </c>
      <c r="C435" t="s">
        <v>25</v>
      </c>
      <c r="D435">
        <f t="shared" si="12"/>
        <v>2019</v>
      </c>
    </row>
    <row r="436" spans="1:6" hidden="1" x14ac:dyDescent="0.25">
      <c r="A436">
        <f t="shared" si="13"/>
        <v>11</v>
      </c>
      <c r="B436" s="37">
        <v>43535</v>
      </c>
      <c r="C436" t="s">
        <v>25</v>
      </c>
      <c r="D436">
        <f t="shared" si="12"/>
        <v>2019</v>
      </c>
      <c r="F436">
        <v>3299.59</v>
      </c>
    </row>
    <row r="437" spans="1:6" hidden="1" x14ac:dyDescent="0.25">
      <c r="A437">
        <f t="shared" si="13"/>
        <v>12</v>
      </c>
      <c r="B437" s="37">
        <v>43536</v>
      </c>
      <c r="C437" t="s">
        <v>25</v>
      </c>
      <c r="D437">
        <f t="shared" si="12"/>
        <v>2019</v>
      </c>
      <c r="F437">
        <v>3299.59</v>
      </c>
    </row>
    <row r="438" spans="1:6" hidden="1" x14ac:dyDescent="0.25">
      <c r="A438">
        <f t="shared" si="13"/>
        <v>13</v>
      </c>
      <c r="B438" s="37">
        <v>43537</v>
      </c>
      <c r="C438" t="s">
        <v>25</v>
      </c>
      <c r="D438">
        <f t="shared" si="12"/>
        <v>2019</v>
      </c>
      <c r="F438">
        <v>3299.59</v>
      </c>
    </row>
    <row r="439" spans="1:6" hidden="1" x14ac:dyDescent="0.25">
      <c r="A439">
        <f t="shared" si="13"/>
        <v>14</v>
      </c>
      <c r="B439" s="37">
        <v>43538</v>
      </c>
      <c r="C439" t="s">
        <v>25</v>
      </c>
      <c r="D439">
        <f t="shared" si="12"/>
        <v>2019</v>
      </c>
      <c r="F439">
        <v>3299.59</v>
      </c>
    </row>
    <row r="440" spans="1:6" hidden="1" x14ac:dyDescent="0.25">
      <c r="A440">
        <f t="shared" si="13"/>
        <v>15</v>
      </c>
      <c r="B440" s="37">
        <v>43539</v>
      </c>
      <c r="C440" t="s">
        <v>25</v>
      </c>
      <c r="D440">
        <f t="shared" si="12"/>
        <v>2019</v>
      </c>
      <c r="F440">
        <v>3297.93</v>
      </c>
    </row>
    <row r="441" spans="1:6" hidden="1" x14ac:dyDescent="0.25">
      <c r="A441">
        <f t="shared" si="13"/>
        <v>16</v>
      </c>
      <c r="B441" s="37">
        <v>43540</v>
      </c>
      <c r="C441" t="s">
        <v>25</v>
      </c>
      <c r="D441">
        <f t="shared" si="12"/>
        <v>2019</v>
      </c>
    </row>
    <row r="442" spans="1:6" hidden="1" x14ac:dyDescent="0.25">
      <c r="A442">
        <f t="shared" si="13"/>
        <v>17</v>
      </c>
      <c r="B442" s="37">
        <v>43541</v>
      </c>
      <c r="C442" t="s">
        <v>25</v>
      </c>
      <c r="D442">
        <f t="shared" si="12"/>
        <v>2019</v>
      </c>
    </row>
    <row r="443" spans="1:6" hidden="1" x14ac:dyDescent="0.25">
      <c r="A443">
        <f t="shared" si="13"/>
        <v>18</v>
      </c>
      <c r="B443" s="37">
        <v>43542</v>
      </c>
      <c r="C443" t="s">
        <v>25</v>
      </c>
      <c r="D443">
        <f t="shared" si="12"/>
        <v>2019</v>
      </c>
      <c r="F443">
        <v>3296.12</v>
      </c>
    </row>
    <row r="444" spans="1:6" hidden="1" x14ac:dyDescent="0.25">
      <c r="A444">
        <f t="shared" si="13"/>
        <v>19</v>
      </c>
      <c r="B444" s="37">
        <v>43543</v>
      </c>
      <c r="C444" t="s">
        <v>25</v>
      </c>
      <c r="D444">
        <f t="shared" si="12"/>
        <v>2019</v>
      </c>
    </row>
    <row r="445" spans="1:6" hidden="1" x14ac:dyDescent="0.25">
      <c r="A445">
        <f t="shared" si="13"/>
        <v>20</v>
      </c>
      <c r="B445" s="37">
        <v>43544</v>
      </c>
      <c r="C445" t="s">
        <v>25</v>
      </c>
      <c r="D445">
        <f t="shared" si="12"/>
        <v>2019</v>
      </c>
      <c r="F445">
        <v>3297.71</v>
      </c>
    </row>
    <row r="446" spans="1:6" hidden="1" x14ac:dyDescent="0.25">
      <c r="A446">
        <f t="shared" si="13"/>
        <v>21</v>
      </c>
      <c r="B446" s="37">
        <v>43545</v>
      </c>
      <c r="C446" t="s">
        <v>25</v>
      </c>
      <c r="D446">
        <f t="shared" si="12"/>
        <v>2019</v>
      </c>
      <c r="F446">
        <v>3299.02</v>
      </c>
    </row>
    <row r="447" spans="1:6" hidden="1" x14ac:dyDescent="0.25">
      <c r="A447">
        <f t="shared" si="13"/>
        <v>22</v>
      </c>
      <c r="B447" s="37">
        <v>43546</v>
      </c>
      <c r="C447" t="s">
        <v>25</v>
      </c>
      <c r="D447">
        <f t="shared" si="12"/>
        <v>2019</v>
      </c>
      <c r="F447">
        <v>3297.17</v>
      </c>
    </row>
    <row r="448" spans="1:6" hidden="1" x14ac:dyDescent="0.25">
      <c r="A448">
        <f t="shared" si="13"/>
        <v>23</v>
      </c>
      <c r="B448" s="37">
        <v>43547</v>
      </c>
      <c r="C448" t="s">
        <v>25</v>
      </c>
      <c r="D448">
        <f t="shared" si="12"/>
        <v>2019</v>
      </c>
    </row>
    <row r="449" spans="1:6" hidden="1" x14ac:dyDescent="0.25">
      <c r="A449">
        <f t="shared" si="13"/>
        <v>24</v>
      </c>
      <c r="B449" s="37">
        <v>43548</v>
      </c>
      <c r="C449" t="s">
        <v>25</v>
      </c>
      <c r="D449">
        <f t="shared" si="12"/>
        <v>2019</v>
      </c>
    </row>
    <row r="450" spans="1:6" hidden="1" x14ac:dyDescent="0.25">
      <c r="A450">
        <f t="shared" si="13"/>
        <v>25</v>
      </c>
      <c r="B450" s="37">
        <v>43549</v>
      </c>
      <c r="C450" t="s">
        <v>25</v>
      </c>
      <c r="D450">
        <f t="shared" si="12"/>
        <v>2019</v>
      </c>
      <c r="F450">
        <v>3295.01</v>
      </c>
    </row>
    <row r="451" spans="1:6" hidden="1" x14ac:dyDescent="0.25">
      <c r="A451">
        <f t="shared" si="13"/>
        <v>26</v>
      </c>
      <c r="B451" s="37">
        <v>43550</v>
      </c>
      <c r="C451" t="s">
        <v>25</v>
      </c>
      <c r="D451">
        <f t="shared" ref="D451:D514" si="14">YEAR(B451)</f>
        <v>2019</v>
      </c>
      <c r="F451">
        <v>3294.48</v>
      </c>
    </row>
    <row r="452" spans="1:6" hidden="1" x14ac:dyDescent="0.25">
      <c r="A452">
        <f t="shared" ref="A452:A515" si="15">DAY(B452)</f>
        <v>27</v>
      </c>
      <c r="B452" s="37">
        <v>43551</v>
      </c>
      <c r="C452" t="s">
        <v>25</v>
      </c>
      <c r="D452">
        <f t="shared" si="14"/>
        <v>2019</v>
      </c>
      <c r="F452">
        <v>3294.48</v>
      </c>
    </row>
    <row r="453" spans="1:6" hidden="1" x14ac:dyDescent="0.25">
      <c r="A453">
        <f t="shared" si="15"/>
        <v>28</v>
      </c>
      <c r="B453" s="37">
        <v>43552</v>
      </c>
      <c r="C453" t="s">
        <v>25</v>
      </c>
      <c r="D453">
        <f t="shared" si="14"/>
        <v>2019</v>
      </c>
      <c r="F453">
        <v>3294.48</v>
      </c>
    </row>
    <row r="454" spans="1:6" hidden="1" x14ac:dyDescent="0.25">
      <c r="A454">
        <f t="shared" si="15"/>
        <v>29</v>
      </c>
      <c r="B454" s="37">
        <v>43553</v>
      </c>
      <c r="C454" t="s">
        <v>25</v>
      </c>
      <c r="D454">
        <f t="shared" si="14"/>
        <v>2019</v>
      </c>
      <c r="F454">
        <v>3294.48</v>
      </c>
    </row>
    <row r="455" spans="1:6" hidden="1" x14ac:dyDescent="0.25">
      <c r="A455">
        <f t="shared" si="15"/>
        <v>30</v>
      </c>
      <c r="B455" s="37">
        <v>43554</v>
      </c>
      <c r="C455" t="s">
        <v>25</v>
      </c>
      <c r="D455">
        <f t="shared" si="14"/>
        <v>2019</v>
      </c>
    </row>
    <row r="456" spans="1:6" hidden="1" x14ac:dyDescent="0.25">
      <c r="A456">
        <f t="shared" si="15"/>
        <v>31</v>
      </c>
      <c r="B456" s="37">
        <v>43555</v>
      </c>
      <c r="C456" t="s">
        <v>25</v>
      </c>
      <c r="D456">
        <f t="shared" si="14"/>
        <v>2019</v>
      </c>
      <c r="E456">
        <v>3648</v>
      </c>
      <c r="F456">
        <v>3294.48</v>
      </c>
    </row>
    <row r="457" spans="1:6" hidden="1" x14ac:dyDescent="0.25">
      <c r="A457">
        <f t="shared" si="15"/>
        <v>1</v>
      </c>
      <c r="B457" s="37">
        <v>43556</v>
      </c>
      <c r="C457" t="s">
        <v>26</v>
      </c>
      <c r="D457">
        <f t="shared" si="14"/>
        <v>2019</v>
      </c>
      <c r="E457">
        <v>3587.56</v>
      </c>
      <c r="F457">
        <v>3294.48</v>
      </c>
    </row>
    <row r="458" spans="1:6" hidden="1" x14ac:dyDescent="0.25">
      <c r="A458">
        <f t="shared" si="15"/>
        <v>2</v>
      </c>
      <c r="B458" s="37">
        <v>43557</v>
      </c>
      <c r="C458" t="s">
        <v>26</v>
      </c>
      <c r="D458">
        <f t="shared" si="14"/>
        <v>2019</v>
      </c>
      <c r="E458">
        <v>3555.85</v>
      </c>
      <c r="F458">
        <v>3295.92</v>
      </c>
    </row>
    <row r="459" spans="1:6" hidden="1" x14ac:dyDescent="0.25">
      <c r="A459">
        <f t="shared" si="15"/>
        <v>3</v>
      </c>
      <c r="B459" s="37">
        <v>43558</v>
      </c>
      <c r="C459" t="s">
        <v>26</v>
      </c>
      <c r="D459">
        <f t="shared" si="14"/>
        <v>2019</v>
      </c>
      <c r="E459">
        <v>3553.27</v>
      </c>
      <c r="F459">
        <v>3296.15</v>
      </c>
    </row>
    <row r="460" spans="1:6" hidden="1" x14ac:dyDescent="0.25">
      <c r="A460">
        <f t="shared" si="15"/>
        <v>4</v>
      </c>
      <c r="B460" s="37">
        <v>43559</v>
      </c>
      <c r="C460" t="s">
        <v>26</v>
      </c>
      <c r="D460">
        <f t="shared" si="14"/>
        <v>2019</v>
      </c>
      <c r="E460">
        <v>3745.91</v>
      </c>
      <c r="F460">
        <v>3298.46</v>
      </c>
    </row>
    <row r="461" spans="1:6" hidden="1" x14ac:dyDescent="0.25">
      <c r="A461">
        <f t="shared" si="15"/>
        <v>5</v>
      </c>
      <c r="B461" s="37">
        <v>43560</v>
      </c>
      <c r="C461" t="s">
        <v>26</v>
      </c>
      <c r="D461">
        <f t="shared" si="14"/>
        <v>2019</v>
      </c>
      <c r="F461">
        <v>3300.41</v>
      </c>
    </row>
    <row r="462" spans="1:6" hidden="1" x14ac:dyDescent="0.25">
      <c r="A462">
        <f t="shared" si="15"/>
        <v>6</v>
      </c>
      <c r="B462" s="37">
        <v>43561</v>
      </c>
      <c r="C462" t="s">
        <v>26</v>
      </c>
      <c r="D462">
        <f t="shared" si="14"/>
        <v>2019</v>
      </c>
    </row>
    <row r="463" spans="1:6" hidden="1" x14ac:dyDescent="0.25">
      <c r="A463">
        <f t="shared" si="15"/>
        <v>7</v>
      </c>
      <c r="B463" s="37">
        <v>43562</v>
      </c>
      <c r="C463" t="s">
        <v>26</v>
      </c>
      <c r="D463">
        <f t="shared" si="14"/>
        <v>2019</v>
      </c>
    </row>
    <row r="464" spans="1:6" hidden="1" x14ac:dyDescent="0.25">
      <c r="A464">
        <f t="shared" si="15"/>
        <v>8</v>
      </c>
      <c r="B464" s="37">
        <v>43563</v>
      </c>
      <c r="C464" t="s">
        <v>26</v>
      </c>
      <c r="D464">
        <f t="shared" si="14"/>
        <v>2019</v>
      </c>
      <c r="F464">
        <v>3302.24</v>
      </c>
    </row>
    <row r="465" spans="1:6" hidden="1" x14ac:dyDescent="0.25">
      <c r="A465">
        <f t="shared" si="15"/>
        <v>9</v>
      </c>
      <c r="B465" s="37">
        <v>43564</v>
      </c>
      <c r="C465" t="s">
        <v>26</v>
      </c>
      <c r="D465">
        <f t="shared" si="14"/>
        <v>2019</v>
      </c>
      <c r="E465">
        <v>4003.87</v>
      </c>
      <c r="F465">
        <v>3308.27</v>
      </c>
    </row>
    <row r="466" spans="1:6" hidden="1" x14ac:dyDescent="0.25">
      <c r="A466">
        <f t="shared" si="15"/>
        <v>10</v>
      </c>
      <c r="B466" s="37">
        <v>43565</v>
      </c>
      <c r="C466" t="s">
        <v>26</v>
      </c>
      <c r="D466">
        <f t="shared" si="14"/>
        <v>2019</v>
      </c>
      <c r="E466">
        <v>4056.42</v>
      </c>
      <c r="F466">
        <v>3309.3</v>
      </c>
    </row>
    <row r="467" spans="1:6" hidden="1" x14ac:dyDescent="0.25">
      <c r="A467">
        <f t="shared" si="15"/>
        <v>11</v>
      </c>
      <c r="B467" s="37">
        <v>43566</v>
      </c>
      <c r="C467" t="s">
        <v>26</v>
      </c>
      <c r="D467">
        <f t="shared" si="14"/>
        <v>2019</v>
      </c>
      <c r="E467">
        <v>4394.3</v>
      </c>
      <c r="F467">
        <v>3311.82</v>
      </c>
    </row>
    <row r="468" spans="1:6" hidden="1" x14ac:dyDescent="0.25">
      <c r="A468">
        <f t="shared" si="15"/>
        <v>12</v>
      </c>
      <c r="B468" s="37">
        <v>43567</v>
      </c>
      <c r="C468" t="s">
        <v>26</v>
      </c>
      <c r="D468">
        <f t="shared" si="14"/>
        <v>2019</v>
      </c>
      <c r="F468">
        <v>3314.34</v>
      </c>
    </row>
    <row r="469" spans="1:6" hidden="1" x14ac:dyDescent="0.25">
      <c r="A469">
        <f t="shared" si="15"/>
        <v>13</v>
      </c>
      <c r="B469" s="37">
        <v>43568</v>
      </c>
      <c r="C469" t="s">
        <v>26</v>
      </c>
      <c r="D469">
        <f t="shared" si="14"/>
        <v>2019</v>
      </c>
    </row>
    <row r="470" spans="1:6" hidden="1" x14ac:dyDescent="0.25">
      <c r="A470">
        <f t="shared" si="15"/>
        <v>14</v>
      </c>
      <c r="B470" s="37">
        <v>43569</v>
      </c>
      <c r="C470" t="s">
        <v>26</v>
      </c>
      <c r="D470">
        <f t="shared" si="14"/>
        <v>2019</v>
      </c>
    </row>
    <row r="471" spans="1:6" hidden="1" x14ac:dyDescent="0.25">
      <c r="A471">
        <f t="shared" si="15"/>
        <v>15</v>
      </c>
      <c r="B471" s="37">
        <v>43570</v>
      </c>
      <c r="C471" t="s">
        <v>26</v>
      </c>
      <c r="D471">
        <f t="shared" si="14"/>
        <v>2019</v>
      </c>
      <c r="E471">
        <v>4877.3</v>
      </c>
      <c r="F471">
        <v>3318.96</v>
      </c>
    </row>
    <row r="472" spans="1:6" hidden="1" x14ac:dyDescent="0.25">
      <c r="A472">
        <f t="shared" si="15"/>
        <v>16</v>
      </c>
      <c r="B472" s="37">
        <v>43571</v>
      </c>
      <c r="C472" t="s">
        <v>26</v>
      </c>
      <c r="D472">
        <f t="shared" si="14"/>
        <v>2019</v>
      </c>
      <c r="E472">
        <v>5087.7</v>
      </c>
      <c r="F472">
        <v>4100</v>
      </c>
    </row>
    <row r="473" spans="1:6" hidden="1" x14ac:dyDescent="0.25">
      <c r="A473">
        <f t="shared" si="15"/>
        <v>17</v>
      </c>
      <c r="B473" s="37">
        <v>43572</v>
      </c>
      <c r="C473" t="s">
        <v>26</v>
      </c>
      <c r="D473">
        <f t="shared" si="14"/>
        <v>2019</v>
      </c>
      <c r="E473">
        <v>5270.24</v>
      </c>
    </row>
    <row r="474" spans="1:6" hidden="1" x14ac:dyDescent="0.25">
      <c r="A474">
        <f t="shared" si="15"/>
        <v>18</v>
      </c>
      <c r="B474" s="37">
        <v>43573</v>
      </c>
      <c r="C474" t="s">
        <v>26</v>
      </c>
      <c r="D474">
        <f t="shared" si="14"/>
        <v>2019</v>
      </c>
    </row>
    <row r="475" spans="1:6" hidden="1" x14ac:dyDescent="0.25">
      <c r="A475">
        <f t="shared" si="15"/>
        <v>19</v>
      </c>
      <c r="B475" s="37">
        <v>43574</v>
      </c>
      <c r="C475" t="s">
        <v>26</v>
      </c>
      <c r="D475">
        <f t="shared" si="14"/>
        <v>2019</v>
      </c>
    </row>
    <row r="476" spans="1:6" hidden="1" x14ac:dyDescent="0.25">
      <c r="A476">
        <f t="shared" si="15"/>
        <v>20</v>
      </c>
      <c r="B476" s="37">
        <v>43575</v>
      </c>
      <c r="C476" t="s">
        <v>26</v>
      </c>
      <c r="D476">
        <f t="shared" si="14"/>
        <v>2019</v>
      </c>
    </row>
    <row r="477" spans="1:6" hidden="1" x14ac:dyDescent="0.25">
      <c r="A477">
        <f t="shared" si="15"/>
        <v>21</v>
      </c>
      <c r="B477" s="37">
        <v>43576</v>
      </c>
      <c r="C477" t="s">
        <v>26</v>
      </c>
      <c r="D477">
        <f t="shared" si="14"/>
        <v>2019</v>
      </c>
    </row>
    <row r="478" spans="1:6" hidden="1" x14ac:dyDescent="0.25">
      <c r="A478">
        <f t="shared" si="15"/>
        <v>22</v>
      </c>
      <c r="B478" s="37">
        <v>43577</v>
      </c>
      <c r="C478" t="s">
        <v>26</v>
      </c>
      <c r="D478">
        <f t="shared" si="14"/>
        <v>2019</v>
      </c>
      <c r="E478">
        <v>5356.78</v>
      </c>
      <c r="F478">
        <v>4113.3599999999997</v>
      </c>
    </row>
    <row r="479" spans="1:6" hidden="1" x14ac:dyDescent="0.25">
      <c r="A479">
        <f t="shared" si="15"/>
        <v>23</v>
      </c>
      <c r="B479" s="37">
        <v>43578</v>
      </c>
      <c r="C479" t="s">
        <v>26</v>
      </c>
      <c r="D479">
        <f t="shared" si="14"/>
        <v>2019</v>
      </c>
      <c r="E479">
        <v>5444.87</v>
      </c>
      <c r="F479">
        <v>5200</v>
      </c>
    </row>
    <row r="480" spans="1:6" hidden="1" x14ac:dyDescent="0.25">
      <c r="A480">
        <f t="shared" si="15"/>
        <v>24</v>
      </c>
      <c r="B480" s="37">
        <v>43579</v>
      </c>
      <c r="C480" t="s">
        <v>26</v>
      </c>
      <c r="D480">
        <f t="shared" si="14"/>
        <v>2019</v>
      </c>
      <c r="E480">
        <v>5665.57</v>
      </c>
      <c r="F480">
        <v>5201.03</v>
      </c>
    </row>
    <row r="481" spans="1:6" hidden="1" x14ac:dyDescent="0.25">
      <c r="A481">
        <f t="shared" si="15"/>
        <v>25</v>
      </c>
      <c r="B481" s="37">
        <v>43580</v>
      </c>
      <c r="C481" t="s">
        <v>26</v>
      </c>
      <c r="D481">
        <f t="shared" si="14"/>
        <v>2019</v>
      </c>
      <c r="E481">
        <v>5785.29</v>
      </c>
      <c r="F481">
        <v>5201.88</v>
      </c>
    </row>
    <row r="482" spans="1:6" hidden="1" x14ac:dyDescent="0.25">
      <c r="A482">
        <f t="shared" si="15"/>
        <v>26</v>
      </c>
      <c r="B482" s="37">
        <v>43581</v>
      </c>
      <c r="C482" t="s">
        <v>26</v>
      </c>
      <c r="D482">
        <f t="shared" si="14"/>
        <v>2019</v>
      </c>
      <c r="F482">
        <v>5201.97</v>
      </c>
    </row>
    <row r="483" spans="1:6" hidden="1" x14ac:dyDescent="0.25">
      <c r="A483">
        <f t="shared" si="15"/>
        <v>27</v>
      </c>
      <c r="B483" s="37">
        <v>43582</v>
      </c>
      <c r="C483" t="s">
        <v>26</v>
      </c>
      <c r="D483">
        <f t="shared" si="14"/>
        <v>2019</v>
      </c>
    </row>
    <row r="484" spans="1:6" hidden="1" x14ac:dyDescent="0.25">
      <c r="A484">
        <f t="shared" si="15"/>
        <v>28</v>
      </c>
      <c r="B484" s="37">
        <v>43583</v>
      </c>
      <c r="C484" t="s">
        <v>26</v>
      </c>
      <c r="D484">
        <f t="shared" si="14"/>
        <v>2019</v>
      </c>
    </row>
    <row r="485" spans="1:6" hidden="1" x14ac:dyDescent="0.25">
      <c r="A485">
        <f t="shared" si="15"/>
        <v>29</v>
      </c>
      <c r="B485" s="37">
        <v>43584</v>
      </c>
      <c r="C485" t="s">
        <v>26</v>
      </c>
      <c r="D485">
        <f t="shared" si="14"/>
        <v>2019</v>
      </c>
      <c r="E485">
        <v>6192.7</v>
      </c>
      <c r="F485">
        <v>5202.26</v>
      </c>
    </row>
    <row r="486" spans="1:6" hidden="1" x14ac:dyDescent="0.25">
      <c r="A486">
        <f t="shared" si="15"/>
        <v>30</v>
      </c>
      <c r="B486" s="37">
        <v>43585</v>
      </c>
      <c r="C486" t="s">
        <v>26</v>
      </c>
      <c r="D486">
        <f t="shared" si="14"/>
        <v>2019</v>
      </c>
      <c r="E486">
        <v>6192.7</v>
      </c>
      <c r="F486">
        <v>5202.8900000000003</v>
      </c>
    </row>
    <row r="487" spans="1:6" hidden="1" x14ac:dyDescent="0.25">
      <c r="A487">
        <f t="shared" si="15"/>
        <v>1</v>
      </c>
      <c r="B487" s="37">
        <v>43586</v>
      </c>
      <c r="C487" t="s">
        <v>27</v>
      </c>
      <c r="D487">
        <f t="shared" si="14"/>
        <v>2019</v>
      </c>
    </row>
    <row r="488" spans="1:6" hidden="1" x14ac:dyDescent="0.25">
      <c r="A488">
        <f t="shared" si="15"/>
        <v>2</v>
      </c>
      <c r="B488" s="37">
        <v>43587</v>
      </c>
      <c r="C488" t="s">
        <v>27</v>
      </c>
      <c r="D488">
        <f t="shared" si="14"/>
        <v>2019</v>
      </c>
      <c r="E488">
        <v>6366.52</v>
      </c>
      <c r="F488">
        <v>5202.9399999999996</v>
      </c>
    </row>
    <row r="489" spans="1:6" hidden="1" x14ac:dyDescent="0.25">
      <c r="A489">
        <f t="shared" si="15"/>
        <v>3</v>
      </c>
      <c r="B489" s="37">
        <v>43588</v>
      </c>
      <c r="C489" t="s">
        <v>27</v>
      </c>
      <c r="D489">
        <f t="shared" si="14"/>
        <v>2019</v>
      </c>
      <c r="E489">
        <v>6139.06</v>
      </c>
      <c r="F489">
        <v>5203.21</v>
      </c>
    </row>
    <row r="490" spans="1:6" hidden="1" x14ac:dyDescent="0.25">
      <c r="A490">
        <f t="shared" si="15"/>
        <v>4</v>
      </c>
      <c r="B490" s="37">
        <v>43589</v>
      </c>
      <c r="C490" t="s">
        <v>27</v>
      </c>
      <c r="D490">
        <f t="shared" si="14"/>
        <v>2019</v>
      </c>
      <c r="E490">
        <v>6044.7</v>
      </c>
    </row>
    <row r="491" spans="1:6" hidden="1" x14ac:dyDescent="0.25">
      <c r="A491">
        <f t="shared" si="15"/>
        <v>5</v>
      </c>
      <c r="B491" s="37">
        <v>43590</v>
      </c>
      <c r="C491" t="s">
        <v>27</v>
      </c>
      <c r="D491">
        <f t="shared" si="14"/>
        <v>2019</v>
      </c>
    </row>
    <row r="492" spans="1:6" hidden="1" x14ac:dyDescent="0.25">
      <c r="A492">
        <f t="shared" si="15"/>
        <v>6</v>
      </c>
      <c r="B492" s="37">
        <v>43591</v>
      </c>
      <c r="C492" t="s">
        <v>27</v>
      </c>
      <c r="D492">
        <f t="shared" si="14"/>
        <v>2019</v>
      </c>
      <c r="F492">
        <v>5202.8500000000004</v>
      </c>
    </row>
    <row r="493" spans="1:6" hidden="1" x14ac:dyDescent="0.25">
      <c r="A493">
        <f t="shared" si="15"/>
        <v>7</v>
      </c>
      <c r="B493" s="37">
        <v>43592</v>
      </c>
      <c r="C493" t="s">
        <v>27</v>
      </c>
      <c r="D493">
        <f t="shared" si="14"/>
        <v>2019</v>
      </c>
      <c r="F493">
        <v>5202.93</v>
      </c>
    </row>
    <row r="494" spans="1:6" hidden="1" x14ac:dyDescent="0.25">
      <c r="A494">
        <f t="shared" si="15"/>
        <v>8</v>
      </c>
      <c r="B494" s="37">
        <v>43593</v>
      </c>
      <c r="C494" t="s">
        <v>27</v>
      </c>
      <c r="D494">
        <f t="shared" si="14"/>
        <v>2019</v>
      </c>
      <c r="F494">
        <v>5202.8100000000004</v>
      </c>
    </row>
    <row r="495" spans="1:6" hidden="1" x14ac:dyDescent="0.25">
      <c r="A495">
        <f t="shared" si="15"/>
        <v>9</v>
      </c>
      <c r="B495" s="37">
        <v>43594</v>
      </c>
      <c r="C495" t="s">
        <v>27</v>
      </c>
      <c r="D495">
        <f t="shared" si="14"/>
        <v>2019</v>
      </c>
      <c r="F495">
        <v>5202.7700000000004</v>
      </c>
    </row>
    <row r="496" spans="1:6" hidden="1" x14ac:dyDescent="0.25">
      <c r="A496">
        <f t="shared" si="15"/>
        <v>10</v>
      </c>
      <c r="B496" s="37">
        <v>43595</v>
      </c>
      <c r="C496" t="s">
        <v>27</v>
      </c>
      <c r="D496">
        <f t="shared" si="14"/>
        <v>2019</v>
      </c>
      <c r="E496">
        <v>5702.96</v>
      </c>
      <c r="F496">
        <v>5202.62</v>
      </c>
    </row>
    <row r="497" spans="1:6" hidden="1" x14ac:dyDescent="0.25">
      <c r="A497">
        <f t="shared" si="15"/>
        <v>11</v>
      </c>
      <c r="B497" s="37">
        <v>43596</v>
      </c>
      <c r="C497" t="s">
        <v>27</v>
      </c>
      <c r="D497">
        <f t="shared" si="14"/>
        <v>2019</v>
      </c>
    </row>
    <row r="498" spans="1:6" hidden="1" x14ac:dyDescent="0.25">
      <c r="A498">
        <f t="shared" si="15"/>
        <v>12</v>
      </c>
      <c r="B498" s="37">
        <v>43597</v>
      </c>
      <c r="C498" t="s">
        <v>27</v>
      </c>
      <c r="D498">
        <f t="shared" si="14"/>
        <v>2019</v>
      </c>
    </row>
    <row r="499" spans="1:6" hidden="1" x14ac:dyDescent="0.25">
      <c r="A499">
        <f t="shared" si="15"/>
        <v>13</v>
      </c>
      <c r="B499" s="37">
        <v>43598</v>
      </c>
      <c r="C499" t="s">
        <v>27</v>
      </c>
      <c r="D499">
        <f t="shared" si="14"/>
        <v>2019</v>
      </c>
      <c r="F499">
        <v>5202.57</v>
      </c>
    </row>
    <row r="500" spans="1:6" hidden="1" x14ac:dyDescent="0.25">
      <c r="A500">
        <f t="shared" si="15"/>
        <v>14</v>
      </c>
      <c r="B500" s="37">
        <v>43599</v>
      </c>
      <c r="C500" t="s">
        <v>27</v>
      </c>
      <c r="D500">
        <f t="shared" si="14"/>
        <v>2019</v>
      </c>
      <c r="F500">
        <v>5262.5518000000002</v>
      </c>
    </row>
    <row r="501" spans="1:6" hidden="1" x14ac:dyDescent="0.25">
      <c r="A501">
        <f t="shared" si="15"/>
        <v>15</v>
      </c>
      <c r="B501" s="37">
        <v>43600</v>
      </c>
      <c r="C501" t="s">
        <v>27</v>
      </c>
      <c r="D501">
        <f t="shared" si="14"/>
        <v>2019</v>
      </c>
      <c r="F501">
        <v>5256.1241</v>
      </c>
    </row>
    <row r="502" spans="1:6" hidden="1" x14ac:dyDescent="0.25">
      <c r="A502">
        <f t="shared" si="15"/>
        <v>16</v>
      </c>
      <c r="B502" s="37">
        <v>43601</v>
      </c>
      <c r="C502" t="s">
        <v>27</v>
      </c>
      <c r="D502">
        <f t="shared" si="14"/>
        <v>2019</v>
      </c>
      <c r="F502">
        <v>5368.9281000000001</v>
      </c>
    </row>
    <row r="503" spans="1:6" hidden="1" x14ac:dyDescent="0.25">
      <c r="A503">
        <f t="shared" si="15"/>
        <v>17</v>
      </c>
      <c r="B503" s="37">
        <v>43602</v>
      </c>
      <c r="C503" t="s">
        <v>27</v>
      </c>
      <c r="D503">
        <f t="shared" si="14"/>
        <v>2019</v>
      </c>
      <c r="F503">
        <v>5402.1854999999996</v>
      </c>
    </row>
    <row r="504" spans="1:6" hidden="1" x14ac:dyDescent="0.25">
      <c r="A504">
        <f t="shared" si="15"/>
        <v>18</v>
      </c>
      <c r="B504" s="37">
        <v>43603</v>
      </c>
      <c r="C504" t="s">
        <v>27</v>
      </c>
      <c r="D504">
        <f t="shared" si="14"/>
        <v>2019</v>
      </c>
    </row>
    <row r="505" spans="1:6" hidden="1" x14ac:dyDescent="0.25">
      <c r="A505">
        <f t="shared" si="15"/>
        <v>19</v>
      </c>
      <c r="B505" s="37">
        <v>43604</v>
      </c>
      <c r="C505" t="s">
        <v>27</v>
      </c>
      <c r="D505">
        <f t="shared" si="14"/>
        <v>2019</v>
      </c>
    </row>
    <row r="506" spans="1:6" hidden="1" x14ac:dyDescent="0.25">
      <c r="A506">
        <f t="shared" si="15"/>
        <v>20</v>
      </c>
      <c r="B506" s="37">
        <v>43605</v>
      </c>
      <c r="C506" t="s">
        <v>27</v>
      </c>
      <c r="D506">
        <f t="shared" si="14"/>
        <v>2019</v>
      </c>
      <c r="F506">
        <v>5556.9597000000003</v>
      </c>
    </row>
    <row r="507" spans="1:6" hidden="1" x14ac:dyDescent="0.25">
      <c r="A507">
        <f t="shared" si="15"/>
        <v>21</v>
      </c>
      <c r="B507" s="37">
        <v>43606</v>
      </c>
      <c r="C507" t="s">
        <v>27</v>
      </c>
      <c r="D507">
        <f t="shared" si="14"/>
        <v>2019</v>
      </c>
      <c r="F507">
        <v>5545.7514000000001</v>
      </c>
    </row>
    <row r="508" spans="1:6" hidden="1" x14ac:dyDescent="0.25">
      <c r="A508">
        <f t="shared" si="15"/>
        <v>22</v>
      </c>
      <c r="B508" s="37">
        <v>43607</v>
      </c>
      <c r="C508" t="s">
        <v>27</v>
      </c>
      <c r="D508">
        <f t="shared" si="14"/>
        <v>2019</v>
      </c>
      <c r="F508">
        <v>5633.6277</v>
      </c>
    </row>
    <row r="509" spans="1:6" hidden="1" x14ac:dyDescent="0.25">
      <c r="A509">
        <f t="shared" si="15"/>
        <v>23</v>
      </c>
      <c r="B509" s="37">
        <v>43608</v>
      </c>
      <c r="C509" t="s">
        <v>27</v>
      </c>
      <c r="D509">
        <f t="shared" si="14"/>
        <v>2019</v>
      </c>
      <c r="F509">
        <v>5638.4452000000001</v>
      </c>
    </row>
    <row r="510" spans="1:6" hidden="1" x14ac:dyDescent="0.25">
      <c r="A510">
        <f t="shared" si="15"/>
        <v>24</v>
      </c>
      <c r="B510" s="37">
        <v>43609</v>
      </c>
      <c r="C510" t="s">
        <v>27</v>
      </c>
      <c r="D510">
        <f t="shared" si="14"/>
        <v>2019</v>
      </c>
      <c r="F510">
        <v>5641.4970000000003</v>
      </c>
    </row>
    <row r="511" spans="1:6" hidden="1" x14ac:dyDescent="0.25">
      <c r="A511">
        <f t="shared" si="15"/>
        <v>25</v>
      </c>
      <c r="B511" s="37">
        <v>43610</v>
      </c>
      <c r="C511" t="s">
        <v>27</v>
      </c>
      <c r="D511">
        <f t="shared" si="14"/>
        <v>2019</v>
      </c>
    </row>
    <row r="512" spans="1:6" hidden="1" x14ac:dyDescent="0.25">
      <c r="A512">
        <f t="shared" si="15"/>
        <v>26</v>
      </c>
      <c r="B512" s="37">
        <v>43611</v>
      </c>
      <c r="C512" t="s">
        <v>27</v>
      </c>
      <c r="D512">
        <f t="shared" si="14"/>
        <v>2019</v>
      </c>
    </row>
    <row r="513" spans="1:6" hidden="1" x14ac:dyDescent="0.25">
      <c r="A513">
        <f t="shared" si="15"/>
        <v>27</v>
      </c>
      <c r="B513" s="37">
        <v>43612</v>
      </c>
      <c r="C513" t="s">
        <v>27</v>
      </c>
      <c r="D513">
        <f t="shared" si="14"/>
        <v>2019</v>
      </c>
      <c r="F513">
        <v>5738.2644</v>
      </c>
    </row>
    <row r="514" spans="1:6" hidden="1" x14ac:dyDescent="0.25">
      <c r="A514">
        <f t="shared" si="15"/>
        <v>28</v>
      </c>
      <c r="B514" s="37">
        <v>43613</v>
      </c>
      <c r="C514" t="s">
        <v>27</v>
      </c>
      <c r="D514">
        <f t="shared" si="14"/>
        <v>2019</v>
      </c>
      <c r="F514">
        <v>5769.8235999999997</v>
      </c>
    </row>
    <row r="515" spans="1:6" hidden="1" x14ac:dyDescent="0.25">
      <c r="A515">
        <f t="shared" si="15"/>
        <v>29</v>
      </c>
      <c r="B515" s="37">
        <v>43614</v>
      </c>
      <c r="C515" t="s">
        <v>27</v>
      </c>
      <c r="D515">
        <f t="shared" ref="D515:D578" si="16">YEAR(B515)</f>
        <v>2019</v>
      </c>
      <c r="F515">
        <v>5835.2482</v>
      </c>
    </row>
    <row r="516" spans="1:6" hidden="1" x14ac:dyDescent="0.25">
      <c r="A516">
        <f t="shared" ref="A516:A579" si="17">DAY(B516)</f>
        <v>30</v>
      </c>
      <c r="B516" s="37">
        <v>43615</v>
      </c>
      <c r="C516" t="s">
        <v>27</v>
      </c>
      <c r="D516">
        <f t="shared" si="16"/>
        <v>2019</v>
      </c>
      <c r="F516">
        <v>5829.6499000000003</v>
      </c>
    </row>
    <row r="517" spans="1:6" hidden="1" x14ac:dyDescent="0.25">
      <c r="A517">
        <f t="shared" si="17"/>
        <v>31</v>
      </c>
      <c r="B517" s="37">
        <v>43616</v>
      </c>
      <c r="C517" t="s">
        <v>27</v>
      </c>
      <c r="D517">
        <f t="shared" si="16"/>
        <v>2019</v>
      </c>
      <c r="E517">
        <v>6600.82</v>
      </c>
      <c r="F517">
        <v>5730.8941000000004</v>
      </c>
    </row>
    <row r="518" spans="1:6" hidden="1" x14ac:dyDescent="0.25">
      <c r="A518">
        <f t="shared" si="17"/>
        <v>1</v>
      </c>
      <c r="B518" s="37">
        <v>43617</v>
      </c>
      <c r="C518" t="s">
        <v>28</v>
      </c>
      <c r="D518">
        <f t="shared" si="16"/>
        <v>2019</v>
      </c>
    </row>
    <row r="519" spans="1:6" hidden="1" x14ac:dyDescent="0.25">
      <c r="A519">
        <f t="shared" si="17"/>
        <v>2</v>
      </c>
      <c r="B519" s="37">
        <v>43618</v>
      </c>
      <c r="C519" t="s">
        <v>28</v>
      </c>
      <c r="D519">
        <f t="shared" si="16"/>
        <v>2019</v>
      </c>
    </row>
    <row r="520" spans="1:6" hidden="1" x14ac:dyDescent="0.25">
      <c r="A520">
        <f t="shared" si="17"/>
        <v>3</v>
      </c>
      <c r="B520" s="37">
        <v>43619</v>
      </c>
      <c r="C520" t="s">
        <v>28</v>
      </c>
      <c r="D520">
        <f t="shared" si="16"/>
        <v>2019</v>
      </c>
    </row>
    <row r="521" spans="1:6" hidden="1" x14ac:dyDescent="0.25">
      <c r="A521">
        <f t="shared" si="17"/>
        <v>4</v>
      </c>
      <c r="B521" s="37">
        <v>43620</v>
      </c>
      <c r="C521" t="s">
        <v>28</v>
      </c>
      <c r="D521">
        <f t="shared" si="16"/>
        <v>2019</v>
      </c>
      <c r="F521">
        <v>5887.9647000000004</v>
      </c>
    </row>
    <row r="522" spans="1:6" hidden="1" x14ac:dyDescent="0.25">
      <c r="A522">
        <f t="shared" si="17"/>
        <v>5</v>
      </c>
      <c r="B522" s="37">
        <v>43621</v>
      </c>
      <c r="C522" t="s">
        <v>28</v>
      </c>
      <c r="D522">
        <f t="shared" si="16"/>
        <v>2019</v>
      </c>
      <c r="F522">
        <v>5903.7969999999996</v>
      </c>
    </row>
    <row r="523" spans="1:6" hidden="1" x14ac:dyDescent="0.25">
      <c r="A523">
        <f t="shared" si="17"/>
        <v>6</v>
      </c>
      <c r="B523" s="37">
        <v>43622</v>
      </c>
      <c r="C523" t="s">
        <v>28</v>
      </c>
      <c r="D523">
        <f t="shared" si="16"/>
        <v>2019</v>
      </c>
      <c r="E523">
        <v>6509.23</v>
      </c>
      <c r="F523">
        <v>5919.2368999999999</v>
      </c>
    </row>
    <row r="524" spans="1:6" hidden="1" x14ac:dyDescent="0.25">
      <c r="A524">
        <f t="shared" si="17"/>
        <v>7</v>
      </c>
      <c r="B524" s="37">
        <v>43623</v>
      </c>
      <c r="C524" t="s">
        <v>28</v>
      </c>
      <c r="D524">
        <f t="shared" si="16"/>
        <v>2019</v>
      </c>
      <c r="F524">
        <v>6033.7511999999997</v>
      </c>
    </row>
    <row r="525" spans="1:6" hidden="1" x14ac:dyDescent="0.25">
      <c r="A525">
        <f t="shared" si="17"/>
        <v>8</v>
      </c>
      <c r="B525" s="37">
        <v>43624</v>
      </c>
      <c r="C525" t="s">
        <v>28</v>
      </c>
      <c r="D525">
        <f t="shared" si="16"/>
        <v>2019</v>
      </c>
    </row>
    <row r="526" spans="1:6" hidden="1" x14ac:dyDescent="0.25">
      <c r="A526">
        <f t="shared" si="17"/>
        <v>9</v>
      </c>
      <c r="B526" s="37">
        <v>43625</v>
      </c>
      <c r="C526" t="s">
        <v>28</v>
      </c>
      <c r="D526">
        <f t="shared" si="16"/>
        <v>2019</v>
      </c>
    </row>
    <row r="527" spans="1:6" hidden="1" x14ac:dyDescent="0.25">
      <c r="A527">
        <f t="shared" si="17"/>
        <v>10</v>
      </c>
      <c r="B527" s="37">
        <v>43626</v>
      </c>
      <c r="C527" t="s">
        <v>28</v>
      </c>
      <c r="D527">
        <f t="shared" si="16"/>
        <v>2019</v>
      </c>
      <c r="F527">
        <v>6049.2070000000003</v>
      </c>
    </row>
    <row r="528" spans="1:6" hidden="1" x14ac:dyDescent="0.25">
      <c r="A528">
        <f t="shared" si="17"/>
        <v>11</v>
      </c>
      <c r="B528" s="37">
        <v>43627</v>
      </c>
      <c r="C528" t="s">
        <v>28</v>
      </c>
      <c r="D528">
        <f t="shared" si="16"/>
        <v>2019</v>
      </c>
      <c r="F528">
        <v>6086.7509</v>
      </c>
    </row>
    <row r="529" spans="1:6" hidden="1" x14ac:dyDescent="0.25">
      <c r="A529">
        <f t="shared" si="17"/>
        <v>12</v>
      </c>
      <c r="B529" s="37">
        <v>43628</v>
      </c>
      <c r="C529" t="s">
        <v>28</v>
      </c>
      <c r="D529">
        <f t="shared" si="16"/>
        <v>2019</v>
      </c>
      <c r="F529">
        <v>6139.1066000000001</v>
      </c>
    </row>
    <row r="530" spans="1:6" hidden="1" x14ac:dyDescent="0.25">
      <c r="A530">
        <f t="shared" si="17"/>
        <v>13</v>
      </c>
      <c r="B530" s="37">
        <v>43629</v>
      </c>
      <c r="C530" t="s">
        <v>28</v>
      </c>
      <c r="D530">
        <f t="shared" si="16"/>
        <v>2019</v>
      </c>
      <c r="F530">
        <v>6159.7057000000004</v>
      </c>
    </row>
    <row r="531" spans="1:6" hidden="1" x14ac:dyDescent="0.25">
      <c r="A531">
        <f t="shared" si="17"/>
        <v>14</v>
      </c>
      <c r="B531" s="37">
        <v>43630</v>
      </c>
      <c r="C531" t="s">
        <v>28</v>
      </c>
      <c r="D531">
        <f t="shared" si="16"/>
        <v>2019</v>
      </c>
      <c r="F531">
        <v>6177.0297</v>
      </c>
    </row>
    <row r="532" spans="1:6" hidden="1" x14ac:dyDescent="0.25">
      <c r="A532">
        <f t="shared" si="17"/>
        <v>15</v>
      </c>
      <c r="B532" s="37">
        <v>43631</v>
      </c>
      <c r="C532" t="s">
        <v>28</v>
      </c>
      <c r="D532">
        <f t="shared" si="16"/>
        <v>2019</v>
      </c>
    </row>
    <row r="533" spans="1:6" hidden="1" x14ac:dyDescent="0.25">
      <c r="A533">
        <f t="shared" si="17"/>
        <v>16</v>
      </c>
      <c r="B533" s="37">
        <v>43632</v>
      </c>
      <c r="C533" t="s">
        <v>28</v>
      </c>
      <c r="D533">
        <f t="shared" si="16"/>
        <v>2019</v>
      </c>
    </row>
    <row r="534" spans="1:6" hidden="1" x14ac:dyDescent="0.25">
      <c r="A534">
        <f t="shared" si="17"/>
        <v>17</v>
      </c>
      <c r="B534" s="37">
        <v>43633</v>
      </c>
      <c r="C534" t="s">
        <v>28</v>
      </c>
      <c r="D534">
        <f t="shared" si="16"/>
        <v>2019</v>
      </c>
    </row>
    <row r="535" spans="1:6" hidden="1" x14ac:dyDescent="0.25">
      <c r="A535">
        <f t="shared" si="17"/>
        <v>18</v>
      </c>
      <c r="B535" s="37">
        <v>43634</v>
      </c>
      <c r="C535" t="s">
        <v>28</v>
      </c>
      <c r="D535">
        <f t="shared" si="16"/>
        <v>2019</v>
      </c>
      <c r="F535">
        <v>6244.3319000000001</v>
      </c>
    </row>
    <row r="536" spans="1:6" hidden="1" x14ac:dyDescent="0.25">
      <c r="A536">
        <f t="shared" si="17"/>
        <v>19</v>
      </c>
      <c r="B536" s="37">
        <v>43635</v>
      </c>
      <c r="C536" t="s">
        <v>28</v>
      </c>
      <c r="D536">
        <f t="shared" si="16"/>
        <v>2019</v>
      </c>
      <c r="F536">
        <v>6218.3585000000003</v>
      </c>
    </row>
    <row r="537" spans="1:6" hidden="1" x14ac:dyDescent="0.25">
      <c r="A537">
        <f t="shared" si="17"/>
        <v>20</v>
      </c>
      <c r="B537" s="37">
        <v>43636</v>
      </c>
      <c r="C537" t="s">
        <v>28</v>
      </c>
      <c r="D537">
        <f t="shared" si="16"/>
        <v>2019</v>
      </c>
      <c r="F537">
        <v>6273.2518</v>
      </c>
    </row>
    <row r="538" spans="1:6" hidden="1" x14ac:dyDescent="0.25">
      <c r="A538">
        <f t="shared" si="17"/>
        <v>21</v>
      </c>
      <c r="B538" s="37">
        <v>43637</v>
      </c>
      <c r="C538" t="s">
        <v>28</v>
      </c>
      <c r="D538">
        <f t="shared" si="16"/>
        <v>2019</v>
      </c>
      <c r="F538">
        <v>6291.9567999999999</v>
      </c>
    </row>
    <row r="539" spans="1:6" hidden="1" x14ac:dyDescent="0.25">
      <c r="A539">
        <f t="shared" si="17"/>
        <v>22</v>
      </c>
      <c r="B539" s="37">
        <v>43638</v>
      </c>
      <c r="C539" t="s">
        <v>28</v>
      </c>
      <c r="D539">
        <f t="shared" si="16"/>
        <v>2019</v>
      </c>
    </row>
    <row r="540" spans="1:6" hidden="1" x14ac:dyDescent="0.25">
      <c r="A540">
        <f t="shared" si="17"/>
        <v>23</v>
      </c>
      <c r="B540" s="37">
        <v>43639</v>
      </c>
      <c r="C540" t="s">
        <v>28</v>
      </c>
      <c r="D540">
        <f t="shared" si="16"/>
        <v>2019</v>
      </c>
    </row>
    <row r="541" spans="1:6" hidden="1" x14ac:dyDescent="0.25">
      <c r="A541">
        <f t="shared" si="17"/>
        <v>24</v>
      </c>
      <c r="B541" s="37">
        <v>43640</v>
      </c>
      <c r="C541" t="s">
        <v>28</v>
      </c>
      <c r="D541">
        <f t="shared" si="16"/>
        <v>2019</v>
      </c>
    </row>
    <row r="542" spans="1:6" hidden="1" x14ac:dyDescent="0.25">
      <c r="A542">
        <f t="shared" si="17"/>
        <v>25</v>
      </c>
      <c r="B542" s="37">
        <v>43641</v>
      </c>
      <c r="C542" t="s">
        <v>28</v>
      </c>
      <c r="D542">
        <f t="shared" si="16"/>
        <v>2019</v>
      </c>
      <c r="E542">
        <v>7658.81</v>
      </c>
      <c r="F542">
        <v>6522.6917000000003</v>
      </c>
    </row>
    <row r="543" spans="1:6" hidden="1" x14ac:dyDescent="0.25">
      <c r="A543">
        <f t="shared" si="17"/>
        <v>26</v>
      </c>
      <c r="B543" s="37">
        <v>43642</v>
      </c>
      <c r="C543" t="s">
        <v>28</v>
      </c>
      <c r="D543">
        <f t="shared" si="16"/>
        <v>2019</v>
      </c>
      <c r="E543">
        <v>7844.26</v>
      </c>
      <c r="F543">
        <v>6359.165</v>
      </c>
    </row>
    <row r="544" spans="1:6" hidden="1" x14ac:dyDescent="0.25">
      <c r="A544">
        <f t="shared" si="17"/>
        <v>27</v>
      </c>
      <c r="B544" s="37">
        <v>43643</v>
      </c>
      <c r="C544" t="s">
        <v>28</v>
      </c>
      <c r="D544">
        <f t="shared" si="16"/>
        <v>2019</v>
      </c>
      <c r="E544">
        <v>7966.25</v>
      </c>
      <c r="F544">
        <v>6479.1511</v>
      </c>
    </row>
    <row r="545" spans="1:6" hidden="1" x14ac:dyDescent="0.25">
      <c r="A545">
        <f t="shared" si="17"/>
        <v>28</v>
      </c>
      <c r="B545" s="37">
        <v>43644</v>
      </c>
      <c r="C545" t="s">
        <v>28</v>
      </c>
      <c r="D545">
        <f t="shared" si="16"/>
        <v>2019</v>
      </c>
      <c r="E545">
        <v>8001.01</v>
      </c>
      <c r="F545">
        <v>6566.4638000000004</v>
      </c>
    </row>
    <row r="546" spans="1:6" hidden="1" x14ac:dyDescent="0.25">
      <c r="A546">
        <f t="shared" si="17"/>
        <v>29</v>
      </c>
      <c r="B546" s="37">
        <v>43645</v>
      </c>
      <c r="C546" t="s">
        <v>28</v>
      </c>
      <c r="D546">
        <f t="shared" si="16"/>
        <v>2019</v>
      </c>
    </row>
    <row r="547" spans="1:6" hidden="1" x14ac:dyDescent="0.25">
      <c r="A547">
        <f t="shared" si="17"/>
        <v>30</v>
      </c>
      <c r="B547" s="37">
        <v>43646</v>
      </c>
      <c r="C547" t="s">
        <v>28</v>
      </c>
      <c r="D547">
        <f t="shared" si="16"/>
        <v>2019</v>
      </c>
      <c r="E547">
        <v>7879.54</v>
      </c>
      <c r="F547">
        <v>6566.4638000000004</v>
      </c>
    </row>
    <row r="548" spans="1:6" hidden="1" x14ac:dyDescent="0.25">
      <c r="A548">
        <f t="shared" si="17"/>
        <v>1</v>
      </c>
      <c r="B548" s="37">
        <v>43647</v>
      </c>
      <c r="C548" t="s">
        <v>29</v>
      </c>
      <c r="D548">
        <f t="shared" si="16"/>
        <v>2019</v>
      </c>
      <c r="E548">
        <v>7994.23</v>
      </c>
      <c r="F548">
        <v>6733.2884999999997</v>
      </c>
    </row>
    <row r="549" spans="1:6" hidden="1" x14ac:dyDescent="0.25">
      <c r="A549">
        <f t="shared" si="17"/>
        <v>2</v>
      </c>
      <c r="B549" s="37">
        <v>43648</v>
      </c>
      <c r="C549" t="s">
        <v>29</v>
      </c>
      <c r="D549">
        <f t="shared" si="16"/>
        <v>2019</v>
      </c>
      <c r="E549">
        <v>8078.7</v>
      </c>
      <c r="F549">
        <v>6738.4069</v>
      </c>
    </row>
    <row r="550" spans="1:6" hidden="1" x14ac:dyDescent="0.25">
      <c r="A550">
        <f t="shared" si="17"/>
        <v>3</v>
      </c>
      <c r="B550" s="37">
        <v>43649</v>
      </c>
      <c r="C550" t="s">
        <v>29</v>
      </c>
      <c r="D550">
        <f t="shared" si="16"/>
        <v>2019</v>
      </c>
      <c r="E550">
        <v>8007.02</v>
      </c>
      <c r="F550">
        <v>6684.9215999999997</v>
      </c>
    </row>
    <row r="551" spans="1:6" hidden="1" x14ac:dyDescent="0.25">
      <c r="A551">
        <f t="shared" si="17"/>
        <v>4</v>
      </c>
      <c r="B551" s="37">
        <v>43650</v>
      </c>
      <c r="C551" t="s">
        <v>29</v>
      </c>
      <c r="D551">
        <f t="shared" si="16"/>
        <v>2019</v>
      </c>
      <c r="E551">
        <v>8007.63</v>
      </c>
      <c r="F551">
        <v>6922.2352000000001</v>
      </c>
    </row>
    <row r="552" spans="1:6" hidden="1" x14ac:dyDescent="0.25">
      <c r="A552">
        <f t="shared" si="17"/>
        <v>5</v>
      </c>
      <c r="B552" s="37">
        <v>43651</v>
      </c>
      <c r="C552" t="s">
        <v>29</v>
      </c>
      <c r="D552">
        <f t="shared" si="16"/>
        <v>2019</v>
      </c>
      <c r="E552">
        <v>8007.63</v>
      </c>
    </row>
    <row r="553" spans="1:6" hidden="1" x14ac:dyDescent="0.25">
      <c r="A553">
        <f t="shared" si="17"/>
        <v>6</v>
      </c>
      <c r="B553" s="37">
        <v>43652</v>
      </c>
      <c r="C553" t="s">
        <v>29</v>
      </c>
      <c r="D553">
        <f t="shared" si="16"/>
        <v>2019</v>
      </c>
      <c r="E553">
        <v>8007.63</v>
      </c>
    </row>
    <row r="554" spans="1:6" hidden="1" x14ac:dyDescent="0.25">
      <c r="A554">
        <f t="shared" si="17"/>
        <v>7</v>
      </c>
      <c r="B554" s="37">
        <v>43653</v>
      </c>
      <c r="C554" t="s">
        <v>29</v>
      </c>
      <c r="D554">
        <f t="shared" si="16"/>
        <v>2019</v>
      </c>
      <c r="E554">
        <v>8007.63</v>
      </c>
    </row>
    <row r="555" spans="1:6" hidden="1" x14ac:dyDescent="0.25">
      <c r="A555">
        <f t="shared" si="17"/>
        <v>8</v>
      </c>
      <c r="B555" s="37">
        <v>43654</v>
      </c>
      <c r="C555" t="s">
        <v>29</v>
      </c>
      <c r="D555">
        <f t="shared" si="16"/>
        <v>2019</v>
      </c>
      <c r="E555">
        <v>7989.7</v>
      </c>
      <c r="F555">
        <v>7205.0689000000002</v>
      </c>
    </row>
    <row r="556" spans="1:6" hidden="1" x14ac:dyDescent="0.25">
      <c r="A556">
        <f t="shared" si="17"/>
        <v>9</v>
      </c>
      <c r="B556" s="37">
        <v>43655</v>
      </c>
      <c r="C556" t="s">
        <v>29</v>
      </c>
      <c r="D556">
        <f t="shared" si="16"/>
        <v>2019</v>
      </c>
      <c r="E556">
        <v>8043</v>
      </c>
      <c r="F556">
        <v>6977.1944999999996</v>
      </c>
    </row>
    <row r="557" spans="1:6" hidden="1" x14ac:dyDescent="0.25">
      <c r="A557">
        <f t="shared" si="17"/>
        <v>10</v>
      </c>
      <c r="B557" s="37">
        <v>43656</v>
      </c>
      <c r="C557" t="s">
        <v>29</v>
      </c>
      <c r="D557">
        <f t="shared" si="16"/>
        <v>2019</v>
      </c>
      <c r="E557">
        <v>8099.15</v>
      </c>
      <c r="F557">
        <v>7103.3653000000004</v>
      </c>
    </row>
    <row r="558" spans="1:6" hidden="1" x14ac:dyDescent="0.25">
      <c r="A558">
        <f t="shared" si="17"/>
        <v>11</v>
      </c>
      <c r="B558" s="37">
        <v>43657</v>
      </c>
      <c r="C558" t="s">
        <v>29</v>
      </c>
      <c r="D558">
        <f t="shared" si="16"/>
        <v>2019</v>
      </c>
      <c r="E558">
        <v>8314.7999999999993</v>
      </c>
      <c r="F558">
        <v>7144.4832999999999</v>
      </c>
    </row>
    <row r="559" spans="1:6" hidden="1" x14ac:dyDescent="0.25">
      <c r="A559">
        <f t="shared" si="17"/>
        <v>12</v>
      </c>
      <c r="B559" s="37">
        <v>43658</v>
      </c>
      <c r="C559" t="s">
        <v>29</v>
      </c>
      <c r="D559">
        <f t="shared" si="16"/>
        <v>2019</v>
      </c>
      <c r="E559">
        <v>8388.08</v>
      </c>
      <c r="F559">
        <v>7156.4898000000003</v>
      </c>
    </row>
    <row r="560" spans="1:6" hidden="1" x14ac:dyDescent="0.25">
      <c r="A560">
        <f t="shared" si="17"/>
        <v>13</v>
      </c>
      <c r="B560" s="37">
        <v>43659</v>
      </c>
      <c r="C560" t="s">
        <v>29</v>
      </c>
      <c r="D560">
        <f t="shared" si="16"/>
        <v>2019</v>
      </c>
      <c r="E560">
        <v>8388.08</v>
      </c>
    </row>
    <row r="561" spans="1:6" hidden="1" x14ac:dyDescent="0.25">
      <c r="A561">
        <f t="shared" si="17"/>
        <v>14</v>
      </c>
      <c r="B561" s="37">
        <v>43660</v>
      </c>
      <c r="C561" t="s">
        <v>29</v>
      </c>
      <c r="D561">
        <f t="shared" si="16"/>
        <v>2019</v>
      </c>
      <c r="E561">
        <v>8388.08</v>
      </c>
    </row>
    <row r="562" spans="1:6" hidden="1" x14ac:dyDescent="0.25">
      <c r="A562">
        <f t="shared" si="17"/>
        <v>15</v>
      </c>
      <c r="B562" s="37">
        <v>43661</v>
      </c>
      <c r="C562" t="s">
        <v>29</v>
      </c>
      <c r="D562">
        <f t="shared" si="16"/>
        <v>2019</v>
      </c>
      <c r="E562">
        <v>8874.31</v>
      </c>
      <c r="F562">
        <v>7204.7284</v>
      </c>
    </row>
    <row r="563" spans="1:6" hidden="1" x14ac:dyDescent="0.25">
      <c r="A563">
        <f t="shared" si="17"/>
        <v>16</v>
      </c>
      <c r="B563" s="37">
        <v>43662</v>
      </c>
      <c r="C563" t="s">
        <v>29</v>
      </c>
      <c r="D563">
        <f t="shared" si="16"/>
        <v>2019</v>
      </c>
      <c r="E563">
        <v>9401.81</v>
      </c>
      <c r="F563">
        <v>7246.0407999999998</v>
      </c>
    </row>
    <row r="564" spans="1:6" hidden="1" x14ac:dyDescent="0.25">
      <c r="A564">
        <f t="shared" si="17"/>
        <v>17</v>
      </c>
      <c r="B564" s="37">
        <v>43663</v>
      </c>
      <c r="C564" t="s">
        <v>29</v>
      </c>
      <c r="D564">
        <f t="shared" si="16"/>
        <v>2019</v>
      </c>
      <c r="E564">
        <v>9768.48</v>
      </c>
      <c r="F564">
        <v>7245.8509000000004</v>
      </c>
    </row>
    <row r="565" spans="1:6" hidden="1" x14ac:dyDescent="0.25">
      <c r="A565">
        <f t="shared" si="17"/>
        <v>18</v>
      </c>
      <c r="B565" s="37">
        <v>43664</v>
      </c>
      <c r="C565" t="s">
        <v>29</v>
      </c>
      <c r="D565">
        <f t="shared" si="16"/>
        <v>2019</v>
      </c>
      <c r="E565">
        <v>10426.959999999999</v>
      </c>
      <c r="F565">
        <v>7344.7718999999997</v>
      </c>
    </row>
    <row r="566" spans="1:6" hidden="1" x14ac:dyDescent="0.25">
      <c r="A566">
        <f t="shared" si="17"/>
        <v>19</v>
      </c>
      <c r="B566" s="37">
        <v>43665</v>
      </c>
      <c r="C566" t="s">
        <v>29</v>
      </c>
      <c r="D566">
        <f t="shared" si="16"/>
        <v>2019</v>
      </c>
      <c r="E566">
        <v>10836.15</v>
      </c>
      <c r="F566">
        <v>7475.7385999999997</v>
      </c>
    </row>
    <row r="567" spans="1:6" hidden="1" x14ac:dyDescent="0.25">
      <c r="A567">
        <f t="shared" si="17"/>
        <v>20</v>
      </c>
      <c r="B567" s="37">
        <v>43666</v>
      </c>
      <c r="C567" t="s">
        <v>29</v>
      </c>
      <c r="D567">
        <f t="shared" si="16"/>
        <v>2019</v>
      </c>
      <c r="E567">
        <v>10836.15</v>
      </c>
    </row>
    <row r="568" spans="1:6" hidden="1" x14ac:dyDescent="0.25">
      <c r="A568">
        <f t="shared" si="17"/>
        <v>21</v>
      </c>
      <c r="B568" s="37">
        <v>43667</v>
      </c>
      <c r="C568" t="s">
        <v>29</v>
      </c>
      <c r="D568">
        <f t="shared" si="16"/>
        <v>2019</v>
      </c>
      <c r="E568">
        <v>10836.15</v>
      </c>
    </row>
    <row r="569" spans="1:6" hidden="1" x14ac:dyDescent="0.25">
      <c r="A569">
        <f t="shared" si="17"/>
        <v>22</v>
      </c>
      <c r="B569" s="37">
        <v>43668</v>
      </c>
      <c r="C569" t="s">
        <v>29</v>
      </c>
      <c r="D569">
        <f t="shared" si="16"/>
        <v>2019</v>
      </c>
      <c r="E569">
        <v>11350.38</v>
      </c>
      <c r="F569">
        <v>7503.9057000000003</v>
      </c>
    </row>
    <row r="570" spans="1:6" hidden="1" x14ac:dyDescent="0.25">
      <c r="A570">
        <f t="shared" si="17"/>
        <v>23</v>
      </c>
      <c r="B570" s="37">
        <v>43669</v>
      </c>
      <c r="C570" t="s">
        <v>29</v>
      </c>
      <c r="D570">
        <f t="shared" si="16"/>
        <v>2019</v>
      </c>
      <c r="E570">
        <v>11350.38</v>
      </c>
      <c r="F570">
        <v>7609.4799000000003</v>
      </c>
    </row>
    <row r="571" spans="1:6" hidden="1" x14ac:dyDescent="0.25">
      <c r="A571">
        <f t="shared" si="17"/>
        <v>24</v>
      </c>
      <c r="B571" s="37">
        <v>43670</v>
      </c>
      <c r="C571" t="s">
        <v>29</v>
      </c>
      <c r="D571">
        <f t="shared" si="16"/>
        <v>2019</v>
      </c>
      <c r="E571">
        <v>11350.38</v>
      </c>
    </row>
    <row r="572" spans="1:6" hidden="1" x14ac:dyDescent="0.25">
      <c r="A572">
        <f t="shared" si="17"/>
        <v>25</v>
      </c>
      <c r="B572" s="37">
        <v>43671</v>
      </c>
      <c r="C572" t="s">
        <v>29</v>
      </c>
      <c r="D572">
        <f t="shared" si="16"/>
        <v>2019</v>
      </c>
      <c r="E572">
        <v>11578.71</v>
      </c>
      <c r="F572">
        <v>8067.8618999999999</v>
      </c>
    </row>
    <row r="573" spans="1:6" hidden="1" x14ac:dyDescent="0.25">
      <c r="A573">
        <f t="shared" si="17"/>
        <v>26</v>
      </c>
      <c r="B573" s="37">
        <v>43672</v>
      </c>
      <c r="C573" t="s">
        <v>29</v>
      </c>
      <c r="D573">
        <f t="shared" si="16"/>
        <v>2019</v>
      </c>
      <c r="E573">
        <v>11731.28</v>
      </c>
      <c r="F573">
        <v>8557.2927</v>
      </c>
    </row>
    <row r="574" spans="1:6" hidden="1" x14ac:dyDescent="0.25">
      <c r="A574">
        <f t="shared" si="17"/>
        <v>27</v>
      </c>
      <c r="B574" s="37">
        <v>43673</v>
      </c>
      <c r="C574" t="s">
        <v>29</v>
      </c>
      <c r="D574">
        <f t="shared" si="16"/>
        <v>2019</v>
      </c>
      <c r="E574">
        <v>11731.28</v>
      </c>
    </row>
    <row r="575" spans="1:6" hidden="1" x14ac:dyDescent="0.25">
      <c r="A575">
        <f t="shared" si="17"/>
        <v>28</v>
      </c>
      <c r="B575" s="37">
        <v>43674</v>
      </c>
      <c r="C575" t="s">
        <v>29</v>
      </c>
      <c r="D575">
        <f t="shared" si="16"/>
        <v>2019</v>
      </c>
      <c r="E575">
        <v>11731.28</v>
      </c>
    </row>
    <row r="576" spans="1:6" hidden="1" x14ac:dyDescent="0.25">
      <c r="A576">
        <f t="shared" si="17"/>
        <v>29</v>
      </c>
      <c r="B576" s="37">
        <v>43675</v>
      </c>
      <c r="C576" t="s">
        <v>29</v>
      </c>
      <c r="D576">
        <f t="shared" si="16"/>
        <v>2019</v>
      </c>
      <c r="E576">
        <v>12070.72</v>
      </c>
      <c r="F576">
        <v>8838.4079000000002</v>
      </c>
    </row>
    <row r="577" spans="1:6" hidden="1" x14ac:dyDescent="0.25">
      <c r="A577">
        <f t="shared" si="17"/>
        <v>30</v>
      </c>
      <c r="B577" s="37">
        <v>43676</v>
      </c>
      <c r="C577" t="s">
        <v>29</v>
      </c>
      <c r="D577">
        <f t="shared" si="16"/>
        <v>2019</v>
      </c>
      <c r="E577">
        <v>12197.2</v>
      </c>
      <c r="F577">
        <v>9830.9441000000006</v>
      </c>
    </row>
    <row r="578" spans="1:6" hidden="1" x14ac:dyDescent="0.25">
      <c r="A578">
        <f t="shared" si="17"/>
        <v>31</v>
      </c>
      <c r="B578" s="37">
        <v>43677</v>
      </c>
      <c r="C578" t="s">
        <v>29</v>
      </c>
      <c r="D578">
        <f t="shared" si="16"/>
        <v>2019</v>
      </c>
      <c r="E578">
        <v>12406.8</v>
      </c>
      <c r="F578">
        <v>10731.1109</v>
      </c>
    </row>
    <row r="579" spans="1:6" hidden="1" x14ac:dyDescent="0.25">
      <c r="A579">
        <f t="shared" si="17"/>
        <v>1</v>
      </c>
      <c r="B579" s="37">
        <v>43678</v>
      </c>
      <c r="C579" t="s">
        <v>30</v>
      </c>
      <c r="D579">
        <f t="shared" ref="D579:D642" si="18">YEAR(B579)</f>
        <v>2019</v>
      </c>
      <c r="E579">
        <v>12495.41</v>
      </c>
      <c r="F579">
        <v>11264.481100000001</v>
      </c>
    </row>
    <row r="580" spans="1:6" hidden="1" x14ac:dyDescent="0.25">
      <c r="A580">
        <f t="shared" ref="A580:A643" si="19">DAY(B580)</f>
        <v>2</v>
      </c>
      <c r="B580" s="37">
        <v>43679</v>
      </c>
      <c r="C580" t="s">
        <v>30</v>
      </c>
      <c r="D580">
        <f t="shared" si="18"/>
        <v>2019</v>
      </c>
      <c r="E580">
        <v>12482.24</v>
      </c>
      <c r="F580">
        <v>11909.215200000001</v>
      </c>
    </row>
    <row r="581" spans="1:6" hidden="1" x14ac:dyDescent="0.25">
      <c r="A581">
        <f t="shared" si="19"/>
        <v>3</v>
      </c>
      <c r="B581" s="37">
        <v>43680</v>
      </c>
      <c r="C581" t="s">
        <v>30</v>
      </c>
      <c r="D581">
        <f t="shared" si="18"/>
        <v>2019</v>
      </c>
      <c r="E581">
        <v>12482.24</v>
      </c>
    </row>
    <row r="582" spans="1:6" hidden="1" x14ac:dyDescent="0.25">
      <c r="A582">
        <f t="shared" si="19"/>
        <v>4</v>
      </c>
      <c r="B582" s="37">
        <v>43681</v>
      </c>
      <c r="C582" t="s">
        <v>30</v>
      </c>
      <c r="D582">
        <f t="shared" si="18"/>
        <v>2019</v>
      </c>
      <c r="E582">
        <v>12482.24</v>
      </c>
    </row>
    <row r="583" spans="1:6" hidden="1" x14ac:dyDescent="0.25">
      <c r="A583">
        <f t="shared" si="19"/>
        <v>5</v>
      </c>
      <c r="B583" s="37">
        <v>43682</v>
      </c>
      <c r="C583" t="s">
        <v>30</v>
      </c>
      <c r="D583">
        <f t="shared" si="18"/>
        <v>2019</v>
      </c>
      <c r="E583">
        <v>13312.19</v>
      </c>
      <c r="F583">
        <v>11939.712600000001</v>
      </c>
    </row>
    <row r="584" spans="1:6" hidden="1" x14ac:dyDescent="0.25">
      <c r="A584">
        <f t="shared" si="19"/>
        <v>6</v>
      </c>
      <c r="B584" s="37">
        <v>43683</v>
      </c>
      <c r="C584" t="s">
        <v>30</v>
      </c>
      <c r="D584">
        <f t="shared" si="18"/>
        <v>2019</v>
      </c>
      <c r="E584">
        <v>13541.75</v>
      </c>
      <c r="F584">
        <v>12041.580400000001</v>
      </c>
    </row>
    <row r="585" spans="1:6" hidden="1" x14ac:dyDescent="0.25">
      <c r="A585">
        <f t="shared" si="19"/>
        <v>7</v>
      </c>
      <c r="B585" s="37">
        <v>43684</v>
      </c>
      <c r="C585" t="s">
        <v>30</v>
      </c>
      <c r="D585">
        <f t="shared" si="18"/>
        <v>2019</v>
      </c>
      <c r="E585">
        <v>13588.94</v>
      </c>
      <c r="F585">
        <v>12559.4581</v>
      </c>
    </row>
    <row r="586" spans="1:6" hidden="1" x14ac:dyDescent="0.25">
      <c r="A586">
        <f t="shared" si="19"/>
        <v>8</v>
      </c>
      <c r="B586" s="37">
        <v>43685</v>
      </c>
      <c r="C586" t="s">
        <v>30</v>
      </c>
      <c r="D586">
        <f t="shared" si="18"/>
        <v>2019</v>
      </c>
      <c r="E586">
        <v>13762.52</v>
      </c>
      <c r="F586">
        <v>12808.544400000001</v>
      </c>
    </row>
    <row r="587" spans="1:6" hidden="1" x14ac:dyDescent="0.25">
      <c r="A587">
        <f t="shared" si="19"/>
        <v>9</v>
      </c>
      <c r="B587" s="37">
        <v>43686</v>
      </c>
      <c r="C587" t="s">
        <v>30</v>
      </c>
      <c r="D587">
        <f t="shared" si="18"/>
        <v>2019</v>
      </c>
      <c r="E587">
        <v>13918.69</v>
      </c>
      <c r="F587">
        <v>13004.4437</v>
      </c>
    </row>
    <row r="588" spans="1:6" hidden="1" x14ac:dyDescent="0.25">
      <c r="A588">
        <f t="shared" si="19"/>
        <v>10</v>
      </c>
      <c r="B588" s="37">
        <v>43687</v>
      </c>
      <c r="C588" t="s">
        <v>30</v>
      </c>
      <c r="D588">
        <f t="shared" si="18"/>
        <v>2019</v>
      </c>
      <c r="E588">
        <v>13918.69</v>
      </c>
    </row>
    <row r="589" spans="1:6" hidden="1" x14ac:dyDescent="0.25">
      <c r="A589">
        <f t="shared" si="19"/>
        <v>11</v>
      </c>
      <c r="B589" s="37">
        <v>43688</v>
      </c>
      <c r="C589" t="s">
        <v>30</v>
      </c>
      <c r="D589">
        <f t="shared" si="18"/>
        <v>2019</v>
      </c>
      <c r="E589">
        <v>13918.69</v>
      </c>
    </row>
    <row r="590" spans="1:6" hidden="1" x14ac:dyDescent="0.25">
      <c r="A590">
        <f t="shared" si="19"/>
        <v>12</v>
      </c>
      <c r="B590" s="37">
        <v>43689</v>
      </c>
      <c r="C590" t="s">
        <v>30</v>
      </c>
      <c r="D590">
        <f t="shared" si="18"/>
        <v>2019</v>
      </c>
      <c r="E590">
        <v>14180.28</v>
      </c>
      <c r="F590">
        <v>13225.1898</v>
      </c>
    </row>
    <row r="591" spans="1:6" hidden="1" x14ac:dyDescent="0.25">
      <c r="A591">
        <f t="shared" si="19"/>
        <v>13</v>
      </c>
      <c r="B591" s="37">
        <v>43690</v>
      </c>
      <c r="C591" t="s">
        <v>30</v>
      </c>
      <c r="D591">
        <f t="shared" si="18"/>
        <v>2019</v>
      </c>
      <c r="E591">
        <v>14304.63</v>
      </c>
      <c r="F591">
        <v>13613.315699999999</v>
      </c>
    </row>
    <row r="592" spans="1:6" hidden="1" x14ac:dyDescent="0.25">
      <c r="A592">
        <f t="shared" si="19"/>
        <v>14</v>
      </c>
      <c r="B592" s="37">
        <v>43691</v>
      </c>
      <c r="C592" t="s">
        <v>30</v>
      </c>
      <c r="D592">
        <f t="shared" si="18"/>
        <v>2019</v>
      </c>
      <c r="E592">
        <v>14705.39</v>
      </c>
      <c r="F592">
        <v>13763.0797</v>
      </c>
    </row>
    <row r="593" spans="1:6" hidden="1" x14ac:dyDescent="0.25">
      <c r="A593">
        <f t="shared" si="19"/>
        <v>15</v>
      </c>
      <c r="B593" s="37">
        <v>43692</v>
      </c>
      <c r="C593" t="s">
        <v>30</v>
      </c>
      <c r="D593">
        <f t="shared" si="18"/>
        <v>2019</v>
      </c>
      <c r="E593">
        <v>15001.59</v>
      </c>
      <c r="F593">
        <v>13921.465700000001</v>
      </c>
    </row>
    <row r="594" spans="1:6" hidden="1" x14ac:dyDescent="0.25">
      <c r="A594">
        <f t="shared" si="19"/>
        <v>16</v>
      </c>
      <c r="B594" s="37">
        <v>43693</v>
      </c>
      <c r="C594" t="s">
        <v>30</v>
      </c>
      <c r="D594">
        <f t="shared" si="18"/>
        <v>2019</v>
      </c>
      <c r="E594">
        <v>15259.22</v>
      </c>
      <c r="F594">
        <v>14071.634400000001</v>
      </c>
    </row>
    <row r="595" spans="1:6" hidden="1" x14ac:dyDescent="0.25">
      <c r="A595">
        <f t="shared" si="19"/>
        <v>17</v>
      </c>
      <c r="B595" s="37">
        <v>43694</v>
      </c>
      <c r="C595" t="s">
        <v>30</v>
      </c>
      <c r="D595">
        <f t="shared" si="18"/>
        <v>2019</v>
      </c>
      <c r="E595">
        <v>15259.22</v>
      </c>
    </row>
    <row r="596" spans="1:6" hidden="1" x14ac:dyDescent="0.25">
      <c r="A596">
        <f t="shared" si="19"/>
        <v>18</v>
      </c>
      <c r="B596" s="37">
        <v>43695</v>
      </c>
      <c r="C596" t="s">
        <v>30</v>
      </c>
      <c r="D596">
        <f t="shared" si="18"/>
        <v>2019</v>
      </c>
      <c r="E596">
        <v>15259.22</v>
      </c>
    </row>
    <row r="597" spans="1:6" hidden="1" x14ac:dyDescent="0.25">
      <c r="A597">
        <f t="shared" si="19"/>
        <v>19</v>
      </c>
      <c r="B597" s="37">
        <v>43696</v>
      </c>
      <c r="C597" t="s">
        <v>30</v>
      </c>
      <c r="D597">
        <f t="shared" si="18"/>
        <v>2019</v>
      </c>
      <c r="E597">
        <v>15806.51</v>
      </c>
    </row>
    <row r="598" spans="1:6" hidden="1" x14ac:dyDescent="0.25">
      <c r="A598">
        <f t="shared" si="19"/>
        <v>20</v>
      </c>
      <c r="B598" s="37">
        <v>43697</v>
      </c>
      <c r="C598" t="s">
        <v>30</v>
      </c>
      <c r="D598">
        <f t="shared" si="18"/>
        <v>2019</v>
      </c>
      <c r="E598">
        <v>15833.59</v>
      </c>
      <c r="F598">
        <v>14483.537200000001</v>
      </c>
    </row>
    <row r="599" spans="1:6" hidden="1" x14ac:dyDescent="0.25">
      <c r="A599">
        <f t="shared" si="19"/>
        <v>21</v>
      </c>
      <c r="B599" s="37">
        <v>43698</v>
      </c>
      <c r="C599" t="s">
        <v>30</v>
      </c>
      <c r="D599">
        <f t="shared" si="18"/>
        <v>2019</v>
      </c>
      <c r="E599">
        <v>16269.42</v>
      </c>
      <c r="F599">
        <v>14642.8622</v>
      </c>
    </row>
    <row r="600" spans="1:6" hidden="1" x14ac:dyDescent="0.25">
      <c r="A600">
        <f t="shared" si="19"/>
        <v>22</v>
      </c>
      <c r="B600" s="37">
        <v>43699</v>
      </c>
      <c r="C600" t="s">
        <v>30</v>
      </c>
      <c r="D600">
        <f t="shared" si="18"/>
        <v>2019</v>
      </c>
      <c r="E600">
        <v>16554.93</v>
      </c>
      <c r="F600">
        <v>15684.7796</v>
      </c>
    </row>
    <row r="601" spans="1:6" hidden="1" x14ac:dyDescent="0.25">
      <c r="A601">
        <f t="shared" si="19"/>
        <v>23</v>
      </c>
      <c r="B601" s="37">
        <v>43700</v>
      </c>
      <c r="C601" t="s">
        <v>30</v>
      </c>
      <c r="D601">
        <f t="shared" si="18"/>
        <v>2019</v>
      </c>
      <c r="E601">
        <v>16701.259999999998</v>
      </c>
      <c r="F601">
        <v>15883.7024</v>
      </c>
    </row>
    <row r="602" spans="1:6" hidden="1" x14ac:dyDescent="0.25">
      <c r="A602">
        <f t="shared" si="19"/>
        <v>24</v>
      </c>
      <c r="B602" s="37">
        <v>43701</v>
      </c>
      <c r="C602" t="s">
        <v>30</v>
      </c>
      <c r="D602">
        <f t="shared" si="18"/>
        <v>2019</v>
      </c>
      <c r="E602">
        <v>16701.259999999998</v>
      </c>
    </row>
    <row r="603" spans="1:6" hidden="1" x14ac:dyDescent="0.25">
      <c r="A603">
        <f t="shared" si="19"/>
        <v>25</v>
      </c>
      <c r="B603" s="37">
        <v>43702</v>
      </c>
      <c r="C603" t="s">
        <v>30</v>
      </c>
      <c r="D603">
        <f t="shared" si="18"/>
        <v>2019</v>
      </c>
      <c r="E603">
        <v>16701.259999999998</v>
      </c>
    </row>
    <row r="604" spans="1:6" hidden="1" x14ac:dyDescent="0.25">
      <c r="A604">
        <f t="shared" si="19"/>
        <v>26</v>
      </c>
      <c r="B604" s="37">
        <v>43703</v>
      </c>
      <c r="C604" t="s">
        <v>30</v>
      </c>
      <c r="D604">
        <f t="shared" si="18"/>
        <v>2019</v>
      </c>
      <c r="E604">
        <v>18333.740000000002</v>
      </c>
      <c r="F604">
        <v>16075.602500000001</v>
      </c>
    </row>
    <row r="605" spans="1:6" hidden="1" x14ac:dyDescent="0.25">
      <c r="A605">
        <f t="shared" si="19"/>
        <v>27</v>
      </c>
      <c r="B605" s="37">
        <v>43704</v>
      </c>
      <c r="C605" t="s">
        <v>30</v>
      </c>
      <c r="D605">
        <f t="shared" si="18"/>
        <v>2019</v>
      </c>
      <c r="E605">
        <v>20244.689999999999</v>
      </c>
      <c r="F605">
        <v>16516.009300000002</v>
      </c>
    </row>
    <row r="606" spans="1:6" hidden="1" x14ac:dyDescent="0.25">
      <c r="A606">
        <f t="shared" si="19"/>
        <v>28</v>
      </c>
      <c r="B606" s="37">
        <v>43705</v>
      </c>
      <c r="C606" t="s">
        <v>30</v>
      </c>
      <c r="D606">
        <f t="shared" si="18"/>
        <v>2019</v>
      </c>
      <c r="E606">
        <v>22905.08</v>
      </c>
      <c r="F606">
        <v>17651.734100000001</v>
      </c>
    </row>
    <row r="607" spans="1:6" hidden="1" x14ac:dyDescent="0.25">
      <c r="A607">
        <f t="shared" si="19"/>
        <v>29</v>
      </c>
      <c r="B607" s="37">
        <v>43706</v>
      </c>
      <c r="C607" t="s">
        <v>30</v>
      </c>
      <c r="D607">
        <f t="shared" si="18"/>
        <v>2019</v>
      </c>
      <c r="E607">
        <v>24106.13</v>
      </c>
      <c r="F607">
        <v>18410.098600000001</v>
      </c>
    </row>
    <row r="608" spans="1:6" hidden="1" x14ac:dyDescent="0.25">
      <c r="A608">
        <f t="shared" si="19"/>
        <v>30</v>
      </c>
      <c r="B608" s="37">
        <v>43707</v>
      </c>
      <c r="C608" t="s">
        <v>30</v>
      </c>
      <c r="D608">
        <f t="shared" si="18"/>
        <v>2019</v>
      </c>
      <c r="E608">
        <v>24638.39</v>
      </c>
      <c r="F608">
        <v>20511.051599999999</v>
      </c>
    </row>
    <row r="609" spans="1:6" hidden="1" x14ac:dyDescent="0.25">
      <c r="A609">
        <f t="shared" si="19"/>
        <v>31</v>
      </c>
      <c r="B609" s="37">
        <v>43708</v>
      </c>
      <c r="C609" t="s">
        <v>30</v>
      </c>
      <c r="D609">
        <f t="shared" si="18"/>
        <v>2019</v>
      </c>
      <c r="E609">
        <v>24638.39</v>
      </c>
      <c r="F609">
        <v>20511.051599999999</v>
      </c>
    </row>
    <row r="610" spans="1:6" hidden="1" x14ac:dyDescent="0.25">
      <c r="A610">
        <f t="shared" si="19"/>
        <v>1</v>
      </c>
      <c r="B610" s="37">
        <v>43709</v>
      </c>
      <c r="C610" t="s">
        <v>31</v>
      </c>
      <c r="D610">
        <f t="shared" si="18"/>
        <v>2019</v>
      </c>
      <c r="E610">
        <v>24638.39</v>
      </c>
    </row>
    <row r="611" spans="1:6" hidden="1" x14ac:dyDescent="0.25">
      <c r="A611">
        <f t="shared" si="19"/>
        <v>2</v>
      </c>
      <c r="B611" s="37">
        <v>43710</v>
      </c>
      <c r="C611" t="s">
        <v>31</v>
      </c>
      <c r="D611">
        <f t="shared" si="18"/>
        <v>2019</v>
      </c>
      <c r="E611">
        <v>24748.69</v>
      </c>
      <c r="F611">
        <v>22186.8904</v>
      </c>
    </row>
    <row r="612" spans="1:6" hidden="1" x14ac:dyDescent="0.25">
      <c r="A612">
        <f t="shared" si="19"/>
        <v>3</v>
      </c>
      <c r="B612" s="37">
        <v>43711</v>
      </c>
      <c r="C612" t="s">
        <v>31</v>
      </c>
      <c r="D612">
        <f t="shared" si="18"/>
        <v>2019</v>
      </c>
      <c r="E612">
        <v>23933.599999999999</v>
      </c>
      <c r="F612">
        <v>23330.142599999999</v>
      </c>
    </row>
    <row r="613" spans="1:6" hidden="1" x14ac:dyDescent="0.25">
      <c r="A613">
        <f t="shared" si="19"/>
        <v>4</v>
      </c>
      <c r="B613" s="37">
        <v>43712</v>
      </c>
      <c r="C613" t="s">
        <v>31</v>
      </c>
      <c r="D613">
        <f t="shared" si="18"/>
        <v>2019</v>
      </c>
      <c r="E613">
        <v>21870.13</v>
      </c>
      <c r="F613">
        <v>23840.7912</v>
      </c>
    </row>
    <row r="614" spans="1:6" hidden="1" x14ac:dyDescent="0.25">
      <c r="A614">
        <f t="shared" si="19"/>
        <v>5</v>
      </c>
      <c r="B614" s="37">
        <v>43713</v>
      </c>
      <c r="C614" t="s">
        <v>31</v>
      </c>
      <c r="D614">
        <f t="shared" si="18"/>
        <v>2019</v>
      </c>
      <c r="E614">
        <v>20346.57</v>
      </c>
      <c r="F614">
        <v>23675.603200000001</v>
      </c>
    </row>
    <row r="615" spans="1:6" hidden="1" x14ac:dyDescent="0.25">
      <c r="A615">
        <f t="shared" si="19"/>
        <v>6</v>
      </c>
      <c r="B615" s="37">
        <v>43714</v>
      </c>
      <c r="C615" t="s">
        <v>31</v>
      </c>
      <c r="D615">
        <f t="shared" si="18"/>
        <v>2019</v>
      </c>
      <c r="E615">
        <v>20639.09</v>
      </c>
      <c r="F615">
        <v>20959.917399999998</v>
      </c>
    </row>
    <row r="616" spans="1:6" hidden="1" x14ac:dyDescent="0.25">
      <c r="A616">
        <f t="shared" si="19"/>
        <v>7</v>
      </c>
      <c r="B616" s="37">
        <v>43715</v>
      </c>
      <c r="C616" t="s">
        <v>31</v>
      </c>
      <c r="D616">
        <f t="shared" si="18"/>
        <v>2019</v>
      </c>
      <c r="E616">
        <v>20639.09</v>
      </c>
    </row>
    <row r="617" spans="1:6" hidden="1" x14ac:dyDescent="0.25">
      <c r="A617">
        <f t="shared" si="19"/>
        <v>8</v>
      </c>
      <c r="B617" s="37">
        <v>43716</v>
      </c>
      <c r="C617" t="s">
        <v>31</v>
      </c>
      <c r="D617">
        <f t="shared" si="18"/>
        <v>2019</v>
      </c>
      <c r="E617">
        <v>20639.09</v>
      </c>
    </row>
    <row r="618" spans="1:6" hidden="1" x14ac:dyDescent="0.25">
      <c r="A618">
        <f t="shared" si="19"/>
        <v>9</v>
      </c>
      <c r="B618" s="37">
        <v>43717</v>
      </c>
      <c r="C618" t="s">
        <v>31</v>
      </c>
      <c r="D618">
        <f t="shared" si="18"/>
        <v>2019</v>
      </c>
      <c r="E618">
        <v>21737.94</v>
      </c>
      <c r="F618">
        <v>20430.110199999999</v>
      </c>
    </row>
    <row r="619" spans="1:6" hidden="1" x14ac:dyDescent="0.25">
      <c r="A619">
        <f t="shared" si="19"/>
        <v>10</v>
      </c>
      <c r="B619" s="37">
        <v>43718</v>
      </c>
      <c r="C619" t="s">
        <v>31</v>
      </c>
      <c r="D619">
        <f t="shared" si="18"/>
        <v>2019</v>
      </c>
      <c r="E619">
        <v>22213.3</v>
      </c>
      <c r="F619">
        <v>20506.344799999999</v>
      </c>
    </row>
    <row r="620" spans="1:6" hidden="1" x14ac:dyDescent="0.25">
      <c r="A620">
        <f t="shared" si="19"/>
        <v>11</v>
      </c>
      <c r="B620" s="37">
        <v>43719</v>
      </c>
      <c r="C620" t="s">
        <v>31</v>
      </c>
      <c r="D620">
        <f t="shared" si="18"/>
        <v>2019</v>
      </c>
      <c r="E620">
        <v>22215.91</v>
      </c>
      <c r="F620">
        <v>21181.8946</v>
      </c>
    </row>
    <row r="621" spans="1:6" hidden="1" x14ac:dyDescent="0.25">
      <c r="A621">
        <f t="shared" si="19"/>
        <v>12</v>
      </c>
      <c r="B621" s="37">
        <v>43720</v>
      </c>
      <c r="C621" t="s">
        <v>31</v>
      </c>
      <c r="D621">
        <f t="shared" si="18"/>
        <v>2019</v>
      </c>
      <c r="E621">
        <v>21846.16</v>
      </c>
      <c r="F621">
        <v>21228.478599999999</v>
      </c>
    </row>
    <row r="622" spans="1:6" hidden="1" x14ac:dyDescent="0.25">
      <c r="A622">
        <f t="shared" si="19"/>
        <v>13</v>
      </c>
      <c r="B622" s="37">
        <v>43721</v>
      </c>
      <c r="C622" t="s">
        <v>31</v>
      </c>
      <c r="D622">
        <f t="shared" si="18"/>
        <v>2019</v>
      </c>
      <c r="E622">
        <v>21133.040000000001</v>
      </c>
      <c r="F622">
        <v>21444.646499999999</v>
      </c>
    </row>
    <row r="623" spans="1:6" hidden="1" x14ac:dyDescent="0.25">
      <c r="A623">
        <f t="shared" si="19"/>
        <v>14</v>
      </c>
      <c r="B623" s="37">
        <v>43722</v>
      </c>
      <c r="C623" t="s">
        <v>31</v>
      </c>
      <c r="D623">
        <f t="shared" si="18"/>
        <v>2019</v>
      </c>
      <c r="E623">
        <v>21133.040000000001</v>
      </c>
    </row>
    <row r="624" spans="1:6" hidden="1" x14ac:dyDescent="0.25">
      <c r="A624">
        <f t="shared" si="19"/>
        <v>15</v>
      </c>
      <c r="B624" s="37">
        <v>43723</v>
      </c>
      <c r="C624" t="s">
        <v>31</v>
      </c>
      <c r="D624">
        <f t="shared" si="18"/>
        <v>2019</v>
      </c>
      <c r="E624">
        <v>21133.040000000001</v>
      </c>
    </row>
    <row r="625" spans="1:6" hidden="1" x14ac:dyDescent="0.25">
      <c r="A625">
        <f t="shared" si="19"/>
        <v>16</v>
      </c>
      <c r="B625" s="37">
        <v>43724</v>
      </c>
      <c r="C625" t="s">
        <v>31</v>
      </c>
      <c r="D625">
        <f t="shared" si="18"/>
        <v>2019</v>
      </c>
      <c r="E625">
        <v>20850.34</v>
      </c>
    </row>
    <row r="626" spans="1:6" hidden="1" x14ac:dyDescent="0.25">
      <c r="A626">
        <f t="shared" si="19"/>
        <v>17</v>
      </c>
      <c r="B626" s="37">
        <v>43725</v>
      </c>
      <c r="C626" t="s">
        <v>31</v>
      </c>
      <c r="D626">
        <f t="shared" si="18"/>
        <v>2019</v>
      </c>
      <c r="E626">
        <v>20179.62</v>
      </c>
      <c r="F626">
        <v>21555.413400000001</v>
      </c>
    </row>
    <row r="627" spans="1:6" hidden="1" x14ac:dyDescent="0.25">
      <c r="A627">
        <f t="shared" si="19"/>
        <v>18</v>
      </c>
      <c r="B627" s="37">
        <v>43726</v>
      </c>
      <c r="C627" t="s">
        <v>31</v>
      </c>
      <c r="D627">
        <f t="shared" si="18"/>
        <v>2019</v>
      </c>
      <c r="E627">
        <v>19506.45</v>
      </c>
      <c r="F627">
        <v>19889.290300000001</v>
      </c>
    </row>
    <row r="628" spans="1:6" hidden="1" x14ac:dyDescent="0.25">
      <c r="A628">
        <f t="shared" si="19"/>
        <v>19</v>
      </c>
      <c r="B628" s="37">
        <v>43727</v>
      </c>
      <c r="C628" t="s">
        <v>31</v>
      </c>
      <c r="D628">
        <f t="shared" si="18"/>
        <v>2019</v>
      </c>
      <c r="E628">
        <v>19085.759999999998</v>
      </c>
      <c r="F628">
        <v>19839.670099999999</v>
      </c>
    </row>
    <row r="629" spans="1:6" hidden="1" x14ac:dyDescent="0.25">
      <c r="A629">
        <f t="shared" si="19"/>
        <v>20</v>
      </c>
      <c r="B629" s="37">
        <v>43728</v>
      </c>
      <c r="C629" t="s">
        <v>31</v>
      </c>
      <c r="D629">
        <f t="shared" si="18"/>
        <v>2019</v>
      </c>
      <c r="E629">
        <v>19580.41</v>
      </c>
      <c r="F629">
        <v>19871.7356</v>
      </c>
    </row>
    <row r="630" spans="1:6" hidden="1" x14ac:dyDescent="0.25">
      <c r="A630">
        <f t="shared" si="19"/>
        <v>21</v>
      </c>
      <c r="B630" s="37">
        <v>43729</v>
      </c>
      <c r="C630" t="s">
        <v>31</v>
      </c>
      <c r="D630">
        <f t="shared" si="18"/>
        <v>2019</v>
      </c>
      <c r="E630">
        <v>19580.41</v>
      </c>
    </row>
    <row r="631" spans="1:6" hidden="1" x14ac:dyDescent="0.25">
      <c r="A631">
        <f t="shared" si="19"/>
        <v>22</v>
      </c>
      <c r="B631" s="37">
        <v>43730</v>
      </c>
      <c r="C631" t="s">
        <v>31</v>
      </c>
      <c r="D631">
        <f t="shared" si="18"/>
        <v>2019</v>
      </c>
      <c r="E631">
        <v>19580.41</v>
      </c>
    </row>
    <row r="632" spans="1:6" hidden="1" x14ac:dyDescent="0.25">
      <c r="A632">
        <f t="shared" si="19"/>
        <v>23</v>
      </c>
      <c r="B632" s="37">
        <v>43731</v>
      </c>
      <c r="C632" t="s">
        <v>31</v>
      </c>
      <c r="D632">
        <f t="shared" si="18"/>
        <v>2019</v>
      </c>
      <c r="E632">
        <v>20262.990000000002</v>
      </c>
      <c r="F632">
        <v>19715.313699999999</v>
      </c>
    </row>
    <row r="633" spans="1:6" hidden="1" x14ac:dyDescent="0.25">
      <c r="A633">
        <f t="shared" si="19"/>
        <v>24</v>
      </c>
      <c r="B633" s="37">
        <v>43732</v>
      </c>
      <c r="C633" t="s">
        <v>31</v>
      </c>
      <c r="D633">
        <f t="shared" si="18"/>
        <v>2019</v>
      </c>
      <c r="E633">
        <v>21079.61</v>
      </c>
      <c r="F633">
        <v>19770.199700000001</v>
      </c>
    </row>
    <row r="634" spans="1:6" hidden="1" x14ac:dyDescent="0.25">
      <c r="A634">
        <f t="shared" si="19"/>
        <v>25</v>
      </c>
      <c r="B634" s="37">
        <v>43733</v>
      </c>
      <c r="C634" t="s">
        <v>31</v>
      </c>
      <c r="D634">
        <f t="shared" si="18"/>
        <v>2019</v>
      </c>
      <c r="E634">
        <v>21844.38</v>
      </c>
      <c r="F634">
        <v>19988.5674</v>
      </c>
    </row>
    <row r="635" spans="1:6" hidden="1" x14ac:dyDescent="0.25">
      <c r="A635">
        <f t="shared" si="19"/>
        <v>26</v>
      </c>
      <c r="B635" s="37">
        <v>43734</v>
      </c>
      <c r="C635" t="s">
        <v>31</v>
      </c>
      <c r="D635">
        <f t="shared" si="18"/>
        <v>2019</v>
      </c>
      <c r="E635">
        <v>21584.18</v>
      </c>
      <c r="F635">
        <v>20708.1705</v>
      </c>
    </row>
    <row r="636" spans="1:6" hidden="1" x14ac:dyDescent="0.25">
      <c r="A636">
        <f t="shared" si="19"/>
        <v>27</v>
      </c>
      <c r="B636" s="37">
        <v>43735</v>
      </c>
      <c r="C636" t="s">
        <v>31</v>
      </c>
      <c r="D636">
        <f t="shared" si="18"/>
        <v>2019</v>
      </c>
      <c r="E636">
        <v>21390.79</v>
      </c>
      <c r="F636">
        <v>20903.6751</v>
      </c>
    </row>
    <row r="637" spans="1:6" hidden="1" x14ac:dyDescent="0.25">
      <c r="A637">
        <f t="shared" si="19"/>
        <v>28</v>
      </c>
      <c r="B637" s="37">
        <v>43736</v>
      </c>
      <c r="C637" t="s">
        <v>31</v>
      </c>
      <c r="D637">
        <f t="shared" si="18"/>
        <v>2019</v>
      </c>
      <c r="E637">
        <v>21390.79</v>
      </c>
    </row>
    <row r="638" spans="1:6" hidden="1" x14ac:dyDescent="0.25">
      <c r="A638">
        <f t="shared" si="19"/>
        <v>29</v>
      </c>
      <c r="B638" s="37">
        <v>43737</v>
      </c>
      <c r="C638" t="s">
        <v>31</v>
      </c>
      <c r="D638">
        <f t="shared" si="18"/>
        <v>2019</v>
      </c>
      <c r="E638">
        <v>21390.79</v>
      </c>
    </row>
    <row r="639" spans="1:6" hidden="1" x14ac:dyDescent="0.25">
      <c r="A639">
        <f t="shared" si="19"/>
        <v>30</v>
      </c>
      <c r="B639" s="37">
        <v>43738</v>
      </c>
      <c r="C639" t="s">
        <v>31</v>
      </c>
      <c r="D639">
        <f t="shared" si="18"/>
        <v>2019</v>
      </c>
      <c r="E639">
        <v>20572.669999999998</v>
      </c>
      <c r="F639">
        <v>21028.079900000001</v>
      </c>
    </row>
    <row r="640" spans="1:6" hidden="1" x14ac:dyDescent="0.25">
      <c r="A640">
        <f t="shared" si="19"/>
        <v>1</v>
      </c>
      <c r="B640" s="37">
        <v>43739</v>
      </c>
      <c r="C640" t="s">
        <v>32</v>
      </c>
      <c r="D640">
        <f t="shared" si="18"/>
        <v>2019</v>
      </c>
      <c r="E640">
        <v>19976.84</v>
      </c>
      <c r="F640">
        <v>20746.391899999999</v>
      </c>
    </row>
    <row r="641" spans="1:6" hidden="1" x14ac:dyDescent="0.25">
      <c r="A641">
        <f t="shared" si="19"/>
        <v>2</v>
      </c>
      <c r="B641" s="37">
        <v>43740</v>
      </c>
      <c r="C641" t="s">
        <v>32</v>
      </c>
      <c r="D641">
        <f t="shared" si="18"/>
        <v>2019</v>
      </c>
      <c r="E641">
        <v>20003.310000000001</v>
      </c>
      <c r="F641">
        <v>20425.638599999998</v>
      </c>
    </row>
    <row r="642" spans="1:6" hidden="1" x14ac:dyDescent="0.25">
      <c r="A642">
        <f t="shared" si="19"/>
        <v>3</v>
      </c>
      <c r="B642" s="37">
        <v>43741</v>
      </c>
      <c r="C642" t="s">
        <v>32</v>
      </c>
      <c r="D642">
        <f t="shared" si="18"/>
        <v>2019</v>
      </c>
      <c r="E642">
        <v>19866.490000000002</v>
      </c>
      <c r="F642">
        <v>20254.590199999999</v>
      </c>
    </row>
    <row r="643" spans="1:6" hidden="1" x14ac:dyDescent="0.25">
      <c r="A643">
        <f t="shared" si="19"/>
        <v>4</v>
      </c>
      <c r="B643" s="37">
        <v>43742</v>
      </c>
      <c r="C643" t="s">
        <v>32</v>
      </c>
      <c r="D643">
        <f t="shared" ref="D643:D706" si="20">YEAR(B643)</f>
        <v>2019</v>
      </c>
      <c r="E643">
        <v>20051.2</v>
      </c>
      <c r="F643">
        <v>20163.357</v>
      </c>
    </row>
    <row r="644" spans="1:6" hidden="1" x14ac:dyDescent="0.25">
      <c r="A644">
        <f t="shared" ref="A644:A707" si="21">DAY(B644)</f>
        <v>5</v>
      </c>
      <c r="B644" s="37">
        <v>43743</v>
      </c>
      <c r="C644" t="s">
        <v>32</v>
      </c>
      <c r="D644">
        <f t="shared" si="20"/>
        <v>2019</v>
      </c>
      <c r="E644">
        <v>20051.2</v>
      </c>
    </row>
    <row r="645" spans="1:6" hidden="1" x14ac:dyDescent="0.25">
      <c r="A645">
        <f t="shared" si="21"/>
        <v>6</v>
      </c>
      <c r="B645" s="37">
        <v>43744</v>
      </c>
      <c r="C645" t="s">
        <v>32</v>
      </c>
      <c r="D645">
        <f t="shared" si="20"/>
        <v>2019</v>
      </c>
      <c r="E645">
        <v>20051.2</v>
      </c>
    </row>
    <row r="646" spans="1:6" hidden="1" x14ac:dyDescent="0.25">
      <c r="A646">
        <f t="shared" si="21"/>
        <v>7</v>
      </c>
      <c r="B646" s="37">
        <v>43745</v>
      </c>
      <c r="C646" t="s">
        <v>32</v>
      </c>
      <c r="D646">
        <f t="shared" si="20"/>
        <v>2019</v>
      </c>
      <c r="E646">
        <v>19993.47</v>
      </c>
      <c r="F646">
        <v>20218.026300000001</v>
      </c>
    </row>
    <row r="647" spans="1:6" hidden="1" x14ac:dyDescent="0.25">
      <c r="A647">
        <f t="shared" si="21"/>
        <v>8</v>
      </c>
      <c r="B647" s="37">
        <v>43746</v>
      </c>
      <c r="C647" t="s">
        <v>32</v>
      </c>
      <c r="D647">
        <f t="shared" si="20"/>
        <v>2019</v>
      </c>
      <c r="E647">
        <v>19924.330000000002</v>
      </c>
      <c r="F647">
        <v>20112.8809</v>
      </c>
    </row>
    <row r="648" spans="1:6" hidden="1" x14ac:dyDescent="0.25">
      <c r="A648">
        <f t="shared" si="21"/>
        <v>9</v>
      </c>
      <c r="B648" s="37">
        <v>43747</v>
      </c>
      <c r="C648" t="s">
        <v>32</v>
      </c>
      <c r="D648">
        <f t="shared" si="20"/>
        <v>2019</v>
      </c>
      <c r="E648">
        <v>19443.490000000002</v>
      </c>
      <c r="F648">
        <v>19663.798900000002</v>
      </c>
    </row>
    <row r="649" spans="1:6" hidden="1" x14ac:dyDescent="0.25">
      <c r="A649">
        <f t="shared" si="21"/>
        <v>10</v>
      </c>
      <c r="B649" s="37">
        <v>43748</v>
      </c>
      <c r="C649" t="s">
        <v>32</v>
      </c>
      <c r="D649">
        <f t="shared" si="20"/>
        <v>2019</v>
      </c>
      <c r="E649">
        <v>19232.77</v>
      </c>
      <c r="F649">
        <v>19758.2791</v>
      </c>
    </row>
    <row r="650" spans="1:6" hidden="1" x14ac:dyDescent="0.25">
      <c r="A650">
        <f t="shared" si="21"/>
        <v>11</v>
      </c>
      <c r="B650" s="37">
        <v>43749</v>
      </c>
      <c r="C650" t="s">
        <v>32</v>
      </c>
      <c r="D650">
        <f t="shared" si="20"/>
        <v>2019</v>
      </c>
      <c r="E650">
        <v>19285.009999999998</v>
      </c>
      <c r="F650">
        <v>19413.651600000001</v>
      </c>
    </row>
    <row r="651" spans="1:6" hidden="1" x14ac:dyDescent="0.25">
      <c r="A651">
        <f t="shared" si="21"/>
        <v>12</v>
      </c>
      <c r="B651" s="37">
        <v>43750</v>
      </c>
      <c r="C651" t="s">
        <v>32</v>
      </c>
      <c r="D651">
        <f t="shared" si="20"/>
        <v>2019</v>
      </c>
      <c r="E651">
        <v>19285.009999999998</v>
      </c>
    </row>
    <row r="652" spans="1:6" hidden="1" x14ac:dyDescent="0.25">
      <c r="A652">
        <f t="shared" si="21"/>
        <v>13</v>
      </c>
      <c r="B652" s="37">
        <v>43751</v>
      </c>
      <c r="C652" t="s">
        <v>32</v>
      </c>
      <c r="D652">
        <f t="shared" si="20"/>
        <v>2019</v>
      </c>
      <c r="E652">
        <v>19285.009999999998</v>
      </c>
    </row>
    <row r="653" spans="1:6" hidden="1" x14ac:dyDescent="0.25">
      <c r="A653">
        <f t="shared" si="21"/>
        <v>14</v>
      </c>
      <c r="B653" s="37">
        <v>43752</v>
      </c>
      <c r="C653" t="s">
        <v>32</v>
      </c>
      <c r="D653">
        <f t="shared" si="20"/>
        <v>2019</v>
      </c>
      <c r="E653">
        <v>19121.259999999998</v>
      </c>
      <c r="F653">
        <v>19733.405299999999</v>
      </c>
    </row>
    <row r="654" spans="1:6" hidden="1" x14ac:dyDescent="0.25">
      <c r="A654">
        <f t="shared" si="21"/>
        <v>15</v>
      </c>
      <c r="B654" s="37">
        <v>43753</v>
      </c>
      <c r="C654" t="s">
        <v>32</v>
      </c>
      <c r="D654">
        <f t="shared" si="20"/>
        <v>2019</v>
      </c>
      <c r="E654">
        <v>19223.68</v>
      </c>
      <c r="F654">
        <v>19025.394</v>
      </c>
    </row>
    <row r="655" spans="1:6" hidden="1" x14ac:dyDescent="0.25">
      <c r="A655">
        <f t="shared" si="21"/>
        <v>16</v>
      </c>
      <c r="B655" s="37">
        <v>43754</v>
      </c>
      <c r="C655" t="s">
        <v>32</v>
      </c>
      <c r="D655">
        <f t="shared" si="20"/>
        <v>2019</v>
      </c>
      <c r="E655">
        <v>18995.79</v>
      </c>
      <c r="F655">
        <v>18955.03</v>
      </c>
    </row>
    <row r="656" spans="1:6" hidden="1" x14ac:dyDescent="0.25">
      <c r="A656">
        <f t="shared" si="21"/>
        <v>17</v>
      </c>
      <c r="B656" s="37">
        <v>43755</v>
      </c>
      <c r="C656" t="s">
        <v>32</v>
      </c>
      <c r="D656">
        <f t="shared" si="20"/>
        <v>2019</v>
      </c>
      <c r="E656">
        <v>18762.86</v>
      </c>
      <c r="F656">
        <v>18854.22</v>
      </c>
    </row>
    <row r="657" spans="1:6" hidden="1" x14ac:dyDescent="0.25">
      <c r="A657">
        <f t="shared" si="21"/>
        <v>18</v>
      </c>
      <c r="B657" s="37">
        <v>43756</v>
      </c>
      <c r="C657" t="s">
        <v>32</v>
      </c>
      <c r="D657">
        <f t="shared" si="20"/>
        <v>2019</v>
      </c>
      <c r="E657">
        <v>18306.509999999998</v>
      </c>
      <c r="F657">
        <v>19173.68</v>
      </c>
    </row>
    <row r="658" spans="1:6" hidden="1" x14ac:dyDescent="0.25">
      <c r="A658">
        <f t="shared" si="21"/>
        <v>19</v>
      </c>
      <c r="B658" s="37">
        <v>43757</v>
      </c>
      <c r="C658" t="s">
        <v>32</v>
      </c>
      <c r="D658">
        <f t="shared" si="20"/>
        <v>2019</v>
      </c>
      <c r="E658">
        <v>18306.509999999998</v>
      </c>
    </row>
    <row r="659" spans="1:6" hidden="1" x14ac:dyDescent="0.25">
      <c r="A659">
        <f t="shared" si="21"/>
        <v>20</v>
      </c>
      <c r="B659" s="37">
        <v>43758</v>
      </c>
      <c r="C659" t="s">
        <v>32</v>
      </c>
      <c r="D659">
        <f t="shared" si="20"/>
        <v>2019</v>
      </c>
      <c r="E659">
        <v>18306.509999999998</v>
      </c>
    </row>
    <row r="660" spans="1:6" hidden="1" x14ac:dyDescent="0.25">
      <c r="A660">
        <f t="shared" si="21"/>
        <v>21</v>
      </c>
      <c r="B660" s="37">
        <v>43759</v>
      </c>
      <c r="C660" t="s">
        <v>32</v>
      </c>
      <c r="D660">
        <f t="shared" si="20"/>
        <v>2019</v>
      </c>
      <c r="E660">
        <v>18096.310000000001</v>
      </c>
      <c r="F660">
        <v>18710.560000000001</v>
      </c>
    </row>
    <row r="661" spans="1:6" hidden="1" x14ac:dyDescent="0.25">
      <c r="A661">
        <f t="shared" si="21"/>
        <v>22</v>
      </c>
      <c r="B661" s="37">
        <v>43760</v>
      </c>
      <c r="C661" t="s">
        <v>32</v>
      </c>
      <c r="D661">
        <f t="shared" si="20"/>
        <v>2019</v>
      </c>
      <c r="E661">
        <v>18782.5</v>
      </c>
      <c r="F661">
        <v>18380.41</v>
      </c>
    </row>
    <row r="662" spans="1:6" hidden="1" x14ac:dyDescent="0.25">
      <c r="A662">
        <f t="shared" si="21"/>
        <v>23</v>
      </c>
      <c r="B662" s="37">
        <v>43761</v>
      </c>
      <c r="C662" t="s">
        <v>32</v>
      </c>
      <c r="D662">
        <f t="shared" si="20"/>
        <v>2019</v>
      </c>
      <c r="E662">
        <v>20014.38</v>
      </c>
      <c r="F662">
        <v>18587.150000000001</v>
      </c>
    </row>
    <row r="663" spans="1:6" hidden="1" x14ac:dyDescent="0.25">
      <c r="A663">
        <f t="shared" si="21"/>
        <v>24</v>
      </c>
      <c r="B663" s="37">
        <v>43762</v>
      </c>
      <c r="C663" t="s">
        <v>32</v>
      </c>
      <c r="D663">
        <f t="shared" si="20"/>
        <v>2019</v>
      </c>
      <c r="E663">
        <v>21742.07</v>
      </c>
      <c r="F663">
        <v>19758.07</v>
      </c>
    </row>
    <row r="664" spans="1:6" hidden="1" x14ac:dyDescent="0.25">
      <c r="A664">
        <f t="shared" si="21"/>
        <v>25</v>
      </c>
      <c r="B664" s="37">
        <v>43763</v>
      </c>
      <c r="C664" t="s">
        <v>32</v>
      </c>
      <c r="D664">
        <f t="shared" si="20"/>
        <v>2019</v>
      </c>
      <c r="E664">
        <v>23067.87</v>
      </c>
      <c r="F664">
        <v>20454.310000000001</v>
      </c>
    </row>
    <row r="665" spans="1:6" hidden="1" x14ac:dyDescent="0.25">
      <c r="A665">
        <f t="shared" si="21"/>
        <v>26</v>
      </c>
      <c r="B665" s="37">
        <v>43764</v>
      </c>
      <c r="C665" t="s">
        <v>32</v>
      </c>
      <c r="D665">
        <f t="shared" si="20"/>
        <v>2019</v>
      </c>
      <c r="E665">
        <v>23067.87</v>
      </c>
    </row>
    <row r="666" spans="1:6" hidden="1" x14ac:dyDescent="0.25">
      <c r="A666">
        <f t="shared" si="21"/>
        <v>27</v>
      </c>
      <c r="B666" s="37">
        <v>43765</v>
      </c>
      <c r="C666" t="s">
        <v>32</v>
      </c>
      <c r="D666">
        <f t="shared" si="20"/>
        <v>2019</v>
      </c>
      <c r="E666">
        <v>23067.87</v>
      </c>
    </row>
    <row r="667" spans="1:6" hidden="1" x14ac:dyDescent="0.25">
      <c r="A667">
        <f t="shared" si="21"/>
        <v>28</v>
      </c>
      <c r="B667" s="37">
        <v>43766</v>
      </c>
      <c r="C667" t="s">
        <v>32</v>
      </c>
      <c r="D667">
        <f t="shared" si="20"/>
        <v>2019</v>
      </c>
      <c r="E667">
        <v>26102.2</v>
      </c>
      <c r="F667">
        <v>21659.919999999998</v>
      </c>
    </row>
    <row r="668" spans="1:6" hidden="1" x14ac:dyDescent="0.25">
      <c r="A668">
        <f t="shared" si="21"/>
        <v>29</v>
      </c>
      <c r="B668" s="37">
        <v>43767</v>
      </c>
      <c r="C668" t="s">
        <v>32</v>
      </c>
      <c r="D668">
        <f t="shared" si="20"/>
        <v>2019</v>
      </c>
      <c r="E668">
        <v>26505.01</v>
      </c>
      <c r="F668">
        <v>23605</v>
      </c>
    </row>
    <row r="669" spans="1:6" hidden="1" x14ac:dyDescent="0.25">
      <c r="A669">
        <f t="shared" si="21"/>
        <v>30</v>
      </c>
      <c r="B669" s="37">
        <v>43768</v>
      </c>
      <c r="C669" t="s">
        <v>32</v>
      </c>
      <c r="D669">
        <f t="shared" si="20"/>
        <v>2019</v>
      </c>
      <c r="E669">
        <v>24399.75</v>
      </c>
      <c r="F669">
        <v>24415.07</v>
      </c>
    </row>
    <row r="670" spans="1:6" hidden="1" x14ac:dyDescent="0.25">
      <c r="A670">
        <f t="shared" si="21"/>
        <v>31</v>
      </c>
      <c r="B670" s="37">
        <v>43769</v>
      </c>
      <c r="C670" t="s">
        <v>32</v>
      </c>
      <c r="D670">
        <f t="shared" si="20"/>
        <v>2019</v>
      </c>
      <c r="E670">
        <v>20959.689999999999</v>
      </c>
      <c r="F670">
        <v>23402.91</v>
      </c>
    </row>
    <row r="671" spans="1:6" hidden="1" x14ac:dyDescent="0.25">
      <c r="A671">
        <f t="shared" si="21"/>
        <v>1</v>
      </c>
      <c r="B671" s="37">
        <v>43770</v>
      </c>
      <c r="C671" t="s">
        <v>33</v>
      </c>
      <c r="D671">
        <f t="shared" si="20"/>
        <v>2019</v>
      </c>
      <c r="E671">
        <v>21494.98</v>
      </c>
      <c r="F671">
        <v>22493.31</v>
      </c>
    </row>
    <row r="672" spans="1:6" hidden="1" x14ac:dyDescent="0.25">
      <c r="A672">
        <f t="shared" si="21"/>
        <v>2</v>
      </c>
      <c r="B672" s="37">
        <v>43771</v>
      </c>
      <c r="C672" t="s">
        <v>33</v>
      </c>
      <c r="D672">
        <f t="shared" si="20"/>
        <v>2019</v>
      </c>
      <c r="E672">
        <v>21494.98</v>
      </c>
    </row>
    <row r="673" spans="1:6" hidden="1" x14ac:dyDescent="0.25">
      <c r="A673">
        <f t="shared" si="21"/>
        <v>3</v>
      </c>
      <c r="B673" s="37">
        <v>43772</v>
      </c>
      <c r="C673" t="s">
        <v>33</v>
      </c>
      <c r="D673">
        <f t="shared" si="20"/>
        <v>2019</v>
      </c>
      <c r="E673">
        <v>21494.98</v>
      </c>
    </row>
    <row r="674" spans="1:6" hidden="1" x14ac:dyDescent="0.25">
      <c r="A674">
        <f t="shared" si="21"/>
        <v>4</v>
      </c>
      <c r="B674" s="37">
        <v>43773</v>
      </c>
      <c r="C674" t="s">
        <v>33</v>
      </c>
      <c r="D674">
        <f t="shared" si="20"/>
        <v>2019</v>
      </c>
      <c r="E674">
        <v>23922.400000000001</v>
      </c>
    </row>
    <row r="675" spans="1:6" hidden="1" x14ac:dyDescent="0.25">
      <c r="A675">
        <f t="shared" si="21"/>
        <v>5</v>
      </c>
      <c r="B675" s="37">
        <v>43774</v>
      </c>
      <c r="C675" t="s">
        <v>33</v>
      </c>
      <c r="D675">
        <f t="shared" si="20"/>
        <v>2019</v>
      </c>
      <c r="E675">
        <v>23857.58</v>
      </c>
      <c r="F675">
        <v>22715.94</v>
      </c>
    </row>
    <row r="676" spans="1:6" hidden="1" x14ac:dyDescent="0.25">
      <c r="A676">
        <f t="shared" si="21"/>
        <v>6</v>
      </c>
      <c r="B676" s="37">
        <v>43775</v>
      </c>
      <c r="C676" t="s">
        <v>33</v>
      </c>
      <c r="D676">
        <f t="shared" si="20"/>
        <v>2019</v>
      </c>
      <c r="E676">
        <v>24776.9</v>
      </c>
      <c r="F676">
        <v>23533.38</v>
      </c>
    </row>
    <row r="677" spans="1:6" hidden="1" x14ac:dyDescent="0.25">
      <c r="A677">
        <f t="shared" si="21"/>
        <v>7</v>
      </c>
      <c r="B677" s="37">
        <v>43776</v>
      </c>
      <c r="C677" t="s">
        <v>33</v>
      </c>
      <c r="D677">
        <f t="shared" si="20"/>
        <v>2019</v>
      </c>
      <c r="E677">
        <v>26734.15</v>
      </c>
      <c r="F677">
        <v>24228.33</v>
      </c>
    </row>
    <row r="678" spans="1:6" hidden="1" x14ac:dyDescent="0.25">
      <c r="A678">
        <f t="shared" si="21"/>
        <v>8</v>
      </c>
      <c r="B678" s="37">
        <v>43777</v>
      </c>
      <c r="C678" t="s">
        <v>33</v>
      </c>
      <c r="D678">
        <f t="shared" si="20"/>
        <v>2019</v>
      </c>
      <c r="E678">
        <v>28086.63</v>
      </c>
      <c r="F678">
        <v>25734.28</v>
      </c>
    </row>
    <row r="679" spans="1:6" hidden="1" x14ac:dyDescent="0.25">
      <c r="A679">
        <f t="shared" si="21"/>
        <v>9</v>
      </c>
      <c r="B679" s="37">
        <v>43778</v>
      </c>
      <c r="C679" t="s">
        <v>33</v>
      </c>
      <c r="D679">
        <f t="shared" si="20"/>
        <v>2019</v>
      </c>
      <c r="E679">
        <v>28086.63</v>
      </c>
    </row>
    <row r="680" spans="1:6" hidden="1" x14ac:dyDescent="0.25">
      <c r="A680">
        <f t="shared" si="21"/>
        <v>10</v>
      </c>
      <c r="B680" s="37">
        <v>43779</v>
      </c>
      <c r="C680" t="s">
        <v>33</v>
      </c>
      <c r="D680">
        <f t="shared" si="20"/>
        <v>2019</v>
      </c>
      <c r="E680">
        <v>28086.63</v>
      </c>
    </row>
    <row r="681" spans="1:6" hidden="1" x14ac:dyDescent="0.25">
      <c r="A681">
        <f t="shared" si="21"/>
        <v>11</v>
      </c>
      <c r="B681" s="37">
        <v>43780</v>
      </c>
      <c r="C681" t="s">
        <v>33</v>
      </c>
      <c r="D681">
        <f t="shared" si="20"/>
        <v>2019</v>
      </c>
      <c r="E681">
        <v>29154.45</v>
      </c>
      <c r="F681">
        <v>26781.57</v>
      </c>
    </row>
    <row r="682" spans="1:6" hidden="1" x14ac:dyDescent="0.25">
      <c r="A682">
        <f t="shared" si="21"/>
        <v>12</v>
      </c>
      <c r="B682" s="37">
        <v>43781</v>
      </c>
      <c r="C682" t="s">
        <v>33</v>
      </c>
      <c r="D682">
        <f t="shared" si="20"/>
        <v>2019</v>
      </c>
      <c r="E682">
        <v>31001.38</v>
      </c>
      <c r="F682">
        <v>27962.02</v>
      </c>
    </row>
    <row r="683" spans="1:6" hidden="1" x14ac:dyDescent="0.25">
      <c r="A683">
        <f t="shared" si="21"/>
        <v>13</v>
      </c>
      <c r="B683" s="37">
        <v>43782</v>
      </c>
      <c r="C683" t="s">
        <v>33</v>
      </c>
      <c r="D683">
        <f t="shared" si="20"/>
        <v>2019</v>
      </c>
      <c r="E683">
        <v>29937.62</v>
      </c>
      <c r="F683">
        <v>30085.86</v>
      </c>
    </row>
    <row r="684" spans="1:6" hidden="1" x14ac:dyDescent="0.25">
      <c r="A684">
        <f t="shared" si="21"/>
        <v>14</v>
      </c>
      <c r="B684" s="37">
        <v>43783</v>
      </c>
      <c r="C684" t="s">
        <v>33</v>
      </c>
      <c r="D684">
        <f t="shared" si="20"/>
        <v>2019</v>
      </c>
      <c r="E684">
        <v>29937.62</v>
      </c>
      <c r="F684">
        <v>30085.86</v>
      </c>
    </row>
    <row r="685" spans="1:6" hidden="1" x14ac:dyDescent="0.25">
      <c r="A685">
        <f t="shared" si="21"/>
        <v>15</v>
      </c>
      <c r="B685" s="37">
        <v>43784</v>
      </c>
      <c r="C685" t="s">
        <v>33</v>
      </c>
      <c r="D685">
        <f t="shared" si="20"/>
        <v>2019</v>
      </c>
      <c r="E685">
        <v>28959.49</v>
      </c>
      <c r="F685">
        <v>29383.24</v>
      </c>
    </row>
    <row r="686" spans="1:6" hidden="1" x14ac:dyDescent="0.25">
      <c r="A686">
        <f t="shared" si="21"/>
        <v>16</v>
      </c>
      <c r="B686" s="37">
        <v>43785</v>
      </c>
      <c r="C686" t="s">
        <v>33</v>
      </c>
      <c r="D686">
        <f t="shared" si="20"/>
        <v>2019</v>
      </c>
      <c r="E686">
        <v>28959.49</v>
      </c>
    </row>
    <row r="687" spans="1:6" hidden="1" x14ac:dyDescent="0.25">
      <c r="A687">
        <f t="shared" si="21"/>
        <v>17</v>
      </c>
      <c r="B687" s="37">
        <v>43786</v>
      </c>
      <c r="C687" t="s">
        <v>33</v>
      </c>
      <c r="D687">
        <f t="shared" si="20"/>
        <v>2019</v>
      </c>
      <c r="E687">
        <v>28959.49</v>
      </c>
    </row>
    <row r="688" spans="1:6" hidden="1" x14ac:dyDescent="0.25">
      <c r="A688">
        <f t="shared" si="21"/>
        <v>18</v>
      </c>
      <c r="B688" s="37">
        <v>43787</v>
      </c>
      <c r="C688" t="s">
        <v>33</v>
      </c>
      <c r="D688">
        <f t="shared" si="20"/>
        <v>2019</v>
      </c>
      <c r="E688">
        <v>30755.83</v>
      </c>
      <c r="F688">
        <v>28954.71</v>
      </c>
    </row>
    <row r="689" spans="1:6" hidden="1" x14ac:dyDescent="0.25">
      <c r="A689">
        <f t="shared" si="21"/>
        <v>19</v>
      </c>
      <c r="B689" s="37">
        <v>43788</v>
      </c>
      <c r="C689" t="s">
        <v>33</v>
      </c>
      <c r="D689">
        <f t="shared" si="20"/>
        <v>2019</v>
      </c>
      <c r="E689">
        <v>32614.71</v>
      </c>
      <c r="F689">
        <v>30435.05</v>
      </c>
    </row>
    <row r="690" spans="1:6" hidden="1" x14ac:dyDescent="0.25">
      <c r="A690">
        <f t="shared" si="21"/>
        <v>20</v>
      </c>
      <c r="B690" s="37">
        <v>43789</v>
      </c>
      <c r="C690" t="s">
        <v>33</v>
      </c>
      <c r="D690">
        <f t="shared" si="20"/>
        <v>2019</v>
      </c>
      <c r="E690">
        <v>33492.19</v>
      </c>
      <c r="F690">
        <v>32096.080000000002</v>
      </c>
    </row>
    <row r="691" spans="1:6" hidden="1" x14ac:dyDescent="0.25">
      <c r="A691">
        <f t="shared" si="21"/>
        <v>21</v>
      </c>
      <c r="B691" s="37">
        <v>43790</v>
      </c>
      <c r="C691" t="s">
        <v>33</v>
      </c>
      <c r="D691">
        <f t="shared" si="20"/>
        <v>2019</v>
      </c>
      <c r="E691">
        <v>33358.81</v>
      </c>
      <c r="F691">
        <v>32190.46</v>
      </c>
    </row>
    <row r="692" spans="1:6" hidden="1" x14ac:dyDescent="0.25">
      <c r="A692">
        <f t="shared" si="21"/>
        <v>22</v>
      </c>
      <c r="B692" s="37">
        <v>43791</v>
      </c>
      <c r="C692" t="s">
        <v>33</v>
      </c>
      <c r="D692">
        <f t="shared" si="20"/>
        <v>2019</v>
      </c>
      <c r="E692">
        <v>34016.14</v>
      </c>
      <c r="F692">
        <v>32368.74</v>
      </c>
    </row>
    <row r="693" spans="1:6" hidden="1" x14ac:dyDescent="0.25">
      <c r="A693">
        <f t="shared" si="21"/>
        <v>23</v>
      </c>
      <c r="B693" s="37">
        <v>43792</v>
      </c>
      <c r="C693" t="s">
        <v>33</v>
      </c>
      <c r="D693">
        <f t="shared" si="20"/>
        <v>2019</v>
      </c>
      <c r="E693">
        <v>34016.14</v>
      </c>
    </row>
    <row r="694" spans="1:6" hidden="1" x14ac:dyDescent="0.25">
      <c r="A694">
        <f t="shared" si="21"/>
        <v>24</v>
      </c>
      <c r="B694" s="37">
        <v>43793</v>
      </c>
      <c r="C694" t="s">
        <v>33</v>
      </c>
      <c r="D694">
        <f t="shared" si="20"/>
        <v>2019</v>
      </c>
      <c r="E694">
        <v>34016.14</v>
      </c>
    </row>
    <row r="695" spans="1:6" hidden="1" x14ac:dyDescent="0.25">
      <c r="A695">
        <f t="shared" si="21"/>
        <v>25</v>
      </c>
      <c r="B695" s="37">
        <v>43794</v>
      </c>
      <c r="C695" t="s">
        <v>33</v>
      </c>
      <c r="D695">
        <f t="shared" si="20"/>
        <v>2019</v>
      </c>
      <c r="E695">
        <v>35383.65</v>
      </c>
      <c r="F695">
        <v>33370.239999999998</v>
      </c>
    </row>
    <row r="696" spans="1:6" hidden="1" x14ac:dyDescent="0.25">
      <c r="A696">
        <f t="shared" si="21"/>
        <v>26</v>
      </c>
      <c r="B696" s="37">
        <v>43795</v>
      </c>
      <c r="C696" t="s">
        <v>33</v>
      </c>
      <c r="D696">
        <f t="shared" si="20"/>
        <v>2019</v>
      </c>
      <c r="E696">
        <v>38365.370000000003</v>
      </c>
      <c r="F696">
        <v>35470.61</v>
      </c>
    </row>
    <row r="697" spans="1:6" hidden="1" x14ac:dyDescent="0.25">
      <c r="A697">
        <f t="shared" si="21"/>
        <v>27</v>
      </c>
      <c r="B697" s="37">
        <v>43796</v>
      </c>
      <c r="C697" t="s">
        <v>33</v>
      </c>
      <c r="D697">
        <f t="shared" si="20"/>
        <v>2019</v>
      </c>
      <c r="E697">
        <v>39857.29</v>
      </c>
      <c r="F697">
        <v>36733.800000000003</v>
      </c>
    </row>
    <row r="698" spans="1:6" hidden="1" x14ac:dyDescent="0.25">
      <c r="A698">
        <f t="shared" si="21"/>
        <v>28</v>
      </c>
      <c r="B698" s="37">
        <v>43797</v>
      </c>
      <c r="C698" t="s">
        <v>33</v>
      </c>
      <c r="D698">
        <f t="shared" si="20"/>
        <v>2019</v>
      </c>
      <c r="E698">
        <v>40482.639999999999</v>
      </c>
      <c r="F698">
        <v>38204.22</v>
      </c>
    </row>
    <row r="699" spans="1:6" hidden="1" x14ac:dyDescent="0.25">
      <c r="A699">
        <f t="shared" si="21"/>
        <v>29</v>
      </c>
      <c r="B699" s="37">
        <v>43798</v>
      </c>
      <c r="C699" t="s">
        <v>33</v>
      </c>
      <c r="D699">
        <f t="shared" si="20"/>
        <v>2019</v>
      </c>
      <c r="E699">
        <v>38395.699999999997</v>
      </c>
      <c r="F699">
        <v>38980.83</v>
      </c>
    </row>
    <row r="700" spans="1:6" hidden="1" x14ac:dyDescent="0.25">
      <c r="A700">
        <f t="shared" si="21"/>
        <v>30</v>
      </c>
      <c r="B700" s="37">
        <v>43799</v>
      </c>
      <c r="C700" t="s">
        <v>33</v>
      </c>
      <c r="D700">
        <f t="shared" si="20"/>
        <v>2019</v>
      </c>
      <c r="E700">
        <v>38395.699999999997</v>
      </c>
      <c r="F700">
        <v>38980.83</v>
      </c>
    </row>
    <row r="701" spans="1:6" hidden="1" x14ac:dyDescent="0.25">
      <c r="A701">
        <f t="shared" si="21"/>
        <v>1</v>
      </c>
      <c r="B701" s="37">
        <v>43800</v>
      </c>
      <c r="C701" t="s">
        <v>34</v>
      </c>
      <c r="D701">
        <f t="shared" si="20"/>
        <v>2019</v>
      </c>
      <c r="E701">
        <v>38395.699999999997</v>
      </c>
    </row>
    <row r="702" spans="1:6" hidden="1" x14ac:dyDescent="0.25">
      <c r="A702">
        <f t="shared" si="21"/>
        <v>2</v>
      </c>
      <c r="B702" s="37">
        <v>43801</v>
      </c>
      <c r="C702" t="s">
        <v>34</v>
      </c>
      <c r="D702">
        <f t="shared" si="20"/>
        <v>2019</v>
      </c>
      <c r="E702">
        <v>39557.379999999997</v>
      </c>
      <c r="F702">
        <v>37606.160000000003</v>
      </c>
    </row>
    <row r="703" spans="1:6" hidden="1" x14ac:dyDescent="0.25">
      <c r="A703">
        <f t="shared" si="21"/>
        <v>3</v>
      </c>
      <c r="B703" s="37">
        <v>43802</v>
      </c>
      <c r="C703" t="s">
        <v>34</v>
      </c>
      <c r="D703">
        <f t="shared" si="20"/>
        <v>2019</v>
      </c>
      <c r="E703">
        <v>41521.54</v>
      </c>
      <c r="F703">
        <v>38455.75</v>
      </c>
    </row>
    <row r="704" spans="1:6" hidden="1" x14ac:dyDescent="0.25">
      <c r="A704">
        <f t="shared" si="21"/>
        <v>4</v>
      </c>
      <c r="B704" s="37">
        <v>43803</v>
      </c>
      <c r="C704" t="s">
        <v>34</v>
      </c>
      <c r="D704">
        <f t="shared" si="20"/>
        <v>2019</v>
      </c>
      <c r="E704">
        <v>43129.440000000002</v>
      </c>
      <c r="F704">
        <v>39947.599999999999</v>
      </c>
    </row>
    <row r="705" spans="1:6" hidden="1" x14ac:dyDescent="0.25">
      <c r="A705">
        <f t="shared" si="21"/>
        <v>5</v>
      </c>
      <c r="B705" s="37">
        <v>43804</v>
      </c>
      <c r="C705" t="s">
        <v>34</v>
      </c>
      <c r="D705">
        <f t="shared" si="20"/>
        <v>2019</v>
      </c>
      <c r="E705">
        <v>43756.56</v>
      </c>
      <c r="F705">
        <v>41675.269999999997</v>
      </c>
    </row>
    <row r="706" spans="1:6" hidden="1" x14ac:dyDescent="0.25">
      <c r="A706">
        <f t="shared" si="21"/>
        <v>6</v>
      </c>
      <c r="B706" s="37">
        <v>43805</v>
      </c>
      <c r="C706" t="s">
        <v>34</v>
      </c>
      <c r="D706">
        <f t="shared" si="20"/>
        <v>2019</v>
      </c>
      <c r="E706">
        <v>44044.32</v>
      </c>
      <c r="F706">
        <v>42087.68</v>
      </c>
    </row>
    <row r="707" spans="1:6" hidden="1" x14ac:dyDescent="0.25">
      <c r="A707">
        <f t="shared" si="21"/>
        <v>7</v>
      </c>
      <c r="B707" s="37">
        <v>43806</v>
      </c>
      <c r="C707" t="s">
        <v>34</v>
      </c>
      <c r="D707">
        <f t="shared" ref="D707:D730" si="22">YEAR(B707)</f>
        <v>2019</v>
      </c>
      <c r="E707">
        <v>44044.32</v>
      </c>
    </row>
    <row r="708" spans="1:6" hidden="1" x14ac:dyDescent="0.25">
      <c r="A708">
        <f t="shared" ref="A708:A730" si="23">DAY(B708)</f>
        <v>8</v>
      </c>
      <c r="B708" s="37">
        <v>43807</v>
      </c>
      <c r="C708" t="s">
        <v>34</v>
      </c>
      <c r="D708">
        <f t="shared" si="22"/>
        <v>2019</v>
      </c>
      <c r="E708">
        <v>44044.32</v>
      </c>
    </row>
    <row r="709" spans="1:6" hidden="1" x14ac:dyDescent="0.25">
      <c r="A709">
        <f t="shared" si="23"/>
        <v>9</v>
      </c>
      <c r="B709" s="37">
        <v>43808</v>
      </c>
      <c r="C709" t="s">
        <v>34</v>
      </c>
      <c r="D709">
        <f t="shared" si="22"/>
        <v>2019</v>
      </c>
      <c r="E709">
        <v>45761.31</v>
      </c>
      <c r="F709">
        <v>43651.16</v>
      </c>
    </row>
    <row r="710" spans="1:6" hidden="1" x14ac:dyDescent="0.25">
      <c r="A710">
        <f t="shared" si="23"/>
        <v>10</v>
      </c>
      <c r="B710" s="37">
        <v>43809</v>
      </c>
      <c r="C710" t="s">
        <v>34</v>
      </c>
      <c r="D710">
        <f t="shared" si="22"/>
        <v>2019</v>
      </c>
      <c r="E710">
        <v>46326.97</v>
      </c>
      <c r="F710">
        <v>44610.46</v>
      </c>
    </row>
    <row r="711" spans="1:6" hidden="1" x14ac:dyDescent="0.25">
      <c r="A711">
        <f t="shared" si="23"/>
        <v>11</v>
      </c>
      <c r="B711" s="37">
        <v>43810</v>
      </c>
      <c r="C711" t="s">
        <v>34</v>
      </c>
      <c r="D711">
        <f t="shared" si="22"/>
        <v>2019</v>
      </c>
      <c r="E711">
        <v>47598.879999999997</v>
      </c>
      <c r="F711">
        <v>46134.44</v>
      </c>
    </row>
    <row r="712" spans="1:6" hidden="1" x14ac:dyDescent="0.25">
      <c r="A712">
        <f t="shared" si="23"/>
        <v>12</v>
      </c>
      <c r="B712" s="37">
        <v>43811</v>
      </c>
      <c r="C712" t="s">
        <v>34</v>
      </c>
      <c r="D712">
        <f t="shared" si="22"/>
        <v>2019</v>
      </c>
      <c r="E712">
        <v>47422.64</v>
      </c>
      <c r="F712">
        <v>46291.62</v>
      </c>
    </row>
    <row r="713" spans="1:6" hidden="1" x14ac:dyDescent="0.25">
      <c r="A713">
        <f t="shared" si="23"/>
        <v>13</v>
      </c>
      <c r="B713" s="37">
        <v>43812</v>
      </c>
      <c r="C713" t="s">
        <v>34</v>
      </c>
      <c r="D713">
        <f t="shared" si="22"/>
        <v>2019</v>
      </c>
      <c r="E713">
        <v>47706.99</v>
      </c>
      <c r="F713">
        <v>46304.26</v>
      </c>
    </row>
    <row r="714" spans="1:6" hidden="1" x14ac:dyDescent="0.25">
      <c r="A714">
        <f t="shared" si="23"/>
        <v>14</v>
      </c>
      <c r="B714" s="37">
        <v>43813</v>
      </c>
      <c r="C714" t="s">
        <v>34</v>
      </c>
      <c r="D714">
        <f t="shared" si="22"/>
        <v>2019</v>
      </c>
      <c r="E714">
        <v>47706.99</v>
      </c>
    </row>
    <row r="715" spans="1:6" hidden="1" x14ac:dyDescent="0.25">
      <c r="A715">
        <f t="shared" si="23"/>
        <v>15</v>
      </c>
      <c r="B715" s="37">
        <v>43814</v>
      </c>
      <c r="C715" t="s">
        <v>34</v>
      </c>
      <c r="D715">
        <f t="shared" si="22"/>
        <v>2019</v>
      </c>
      <c r="E715">
        <v>47706.99</v>
      </c>
    </row>
    <row r="716" spans="1:6" hidden="1" x14ac:dyDescent="0.25">
      <c r="A716">
        <f t="shared" si="23"/>
        <v>16</v>
      </c>
      <c r="B716" s="37">
        <v>43815</v>
      </c>
      <c r="C716" t="s">
        <v>34</v>
      </c>
      <c r="D716">
        <f t="shared" si="22"/>
        <v>2019</v>
      </c>
      <c r="E716">
        <v>48713.58</v>
      </c>
      <c r="F716">
        <v>46336.58</v>
      </c>
    </row>
    <row r="717" spans="1:6" hidden="1" x14ac:dyDescent="0.25">
      <c r="A717">
        <f t="shared" si="23"/>
        <v>17</v>
      </c>
      <c r="B717" s="37">
        <v>43816</v>
      </c>
      <c r="C717" t="s">
        <v>34</v>
      </c>
      <c r="D717">
        <f t="shared" si="22"/>
        <v>2019</v>
      </c>
      <c r="E717">
        <v>49186.04</v>
      </c>
      <c r="F717">
        <v>46366.58</v>
      </c>
    </row>
    <row r="718" spans="1:6" hidden="1" x14ac:dyDescent="0.25">
      <c r="A718">
        <f t="shared" si="23"/>
        <v>18</v>
      </c>
      <c r="B718" s="37">
        <v>43817</v>
      </c>
      <c r="C718" t="s">
        <v>34</v>
      </c>
      <c r="D718">
        <f t="shared" si="22"/>
        <v>2019</v>
      </c>
      <c r="E718">
        <v>48632.52</v>
      </c>
      <c r="F718">
        <v>46946.27</v>
      </c>
    </row>
    <row r="719" spans="1:6" hidden="1" x14ac:dyDescent="0.25">
      <c r="A719">
        <f t="shared" si="23"/>
        <v>19</v>
      </c>
      <c r="B719" s="37">
        <v>43818</v>
      </c>
      <c r="C719" t="s">
        <v>34</v>
      </c>
      <c r="D719">
        <f t="shared" si="22"/>
        <v>2019</v>
      </c>
      <c r="E719">
        <v>47445.279999999999</v>
      </c>
      <c r="F719">
        <v>47942.86</v>
      </c>
    </row>
    <row r="720" spans="1:6" hidden="1" x14ac:dyDescent="0.25">
      <c r="A720">
        <f t="shared" si="23"/>
        <v>20</v>
      </c>
      <c r="B720" s="37">
        <v>43819</v>
      </c>
      <c r="C720" t="s">
        <v>34</v>
      </c>
      <c r="D720">
        <f t="shared" si="22"/>
        <v>2019</v>
      </c>
      <c r="E720">
        <v>46160.08</v>
      </c>
      <c r="F720">
        <v>47167.49</v>
      </c>
    </row>
    <row r="721" spans="1:6" hidden="1" x14ac:dyDescent="0.25">
      <c r="A721">
        <f t="shared" si="23"/>
        <v>21</v>
      </c>
      <c r="B721" s="37">
        <v>43820</v>
      </c>
      <c r="C721" t="s">
        <v>34</v>
      </c>
      <c r="D721">
        <f t="shared" si="22"/>
        <v>2019</v>
      </c>
      <c r="E721">
        <v>46160.08</v>
      </c>
    </row>
    <row r="722" spans="1:6" hidden="1" x14ac:dyDescent="0.25">
      <c r="A722">
        <f t="shared" si="23"/>
        <v>22</v>
      </c>
      <c r="B722" s="37">
        <v>43821</v>
      </c>
      <c r="C722" t="s">
        <v>34</v>
      </c>
      <c r="D722">
        <f t="shared" si="22"/>
        <v>2019</v>
      </c>
      <c r="E722">
        <v>46160.08</v>
      </c>
    </row>
    <row r="723" spans="1:6" hidden="1" x14ac:dyDescent="0.25">
      <c r="A723">
        <f t="shared" si="23"/>
        <v>23</v>
      </c>
      <c r="B723" s="37">
        <v>43822</v>
      </c>
      <c r="C723" t="s">
        <v>34</v>
      </c>
      <c r="D723">
        <f t="shared" si="22"/>
        <v>2019</v>
      </c>
      <c r="E723">
        <v>45348.09</v>
      </c>
      <c r="F723">
        <v>46667.199999999997</v>
      </c>
    </row>
    <row r="724" spans="1:6" hidden="1" x14ac:dyDescent="0.25">
      <c r="A724">
        <f t="shared" si="23"/>
        <v>24</v>
      </c>
      <c r="B724" s="37">
        <v>43823</v>
      </c>
      <c r="C724" t="s">
        <v>34</v>
      </c>
      <c r="D724">
        <f t="shared" si="22"/>
        <v>2019</v>
      </c>
      <c r="E724">
        <v>45348.09</v>
      </c>
    </row>
    <row r="725" spans="1:6" hidden="1" x14ac:dyDescent="0.25">
      <c r="A725">
        <f t="shared" si="23"/>
        <v>25</v>
      </c>
      <c r="B725" s="37">
        <v>43824</v>
      </c>
      <c r="C725" t="s">
        <v>34</v>
      </c>
      <c r="D725">
        <f t="shared" si="22"/>
        <v>2019</v>
      </c>
      <c r="E725">
        <v>45348.09</v>
      </c>
    </row>
    <row r="726" spans="1:6" hidden="1" x14ac:dyDescent="0.25">
      <c r="A726">
        <f t="shared" si="23"/>
        <v>26</v>
      </c>
      <c r="B726" s="37">
        <v>43825</v>
      </c>
      <c r="C726" t="s">
        <v>34</v>
      </c>
      <c r="D726">
        <f t="shared" si="22"/>
        <v>2019</v>
      </c>
      <c r="E726">
        <v>46927.63</v>
      </c>
      <c r="F726">
        <v>45553.21</v>
      </c>
    </row>
    <row r="727" spans="1:6" hidden="1" x14ac:dyDescent="0.25">
      <c r="A727">
        <f t="shared" si="23"/>
        <v>27</v>
      </c>
      <c r="B727" s="37">
        <v>43826</v>
      </c>
      <c r="C727" t="s">
        <v>34</v>
      </c>
      <c r="D727">
        <f t="shared" si="22"/>
        <v>2019</v>
      </c>
      <c r="E727">
        <v>50005.94</v>
      </c>
      <c r="F727">
        <v>45257.38</v>
      </c>
    </row>
    <row r="728" spans="1:6" hidden="1" x14ac:dyDescent="0.25">
      <c r="A728">
        <f t="shared" si="23"/>
        <v>28</v>
      </c>
      <c r="B728" s="37">
        <v>43827</v>
      </c>
      <c r="C728" t="s">
        <v>34</v>
      </c>
      <c r="D728">
        <f t="shared" si="22"/>
        <v>2019</v>
      </c>
      <c r="E728">
        <v>50005.94</v>
      </c>
    </row>
    <row r="729" spans="1:6" hidden="1" x14ac:dyDescent="0.25">
      <c r="A729">
        <f t="shared" si="23"/>
        <v>29</v>
      </c>
      <c r="B729" s="37">
        <v>43828</v>
      </c>
      <c r="C729" t="s">
        <v>34</v>
      </c>
      <c r="D729">
        <f t="shared" si="22"/>
        <v>2019</v>
      </c>
      <c r="E729">
        <v>50005.94</v>
      </c>
    </row>
    <row r="730" spans="1:6" hidden="1" x14ac:dyDescent="0.25">
      <c r="A730">
        <f t="shared" si="23"/>
        <v>30</v>
      </c>
      <c r="B730" s="37">
        <v>43829</v>
      </c>
      <c r="C730" t="s">
        <v>34</v>
      </c>
      <c r="D730">
        <f t="shared" si="22"/>
        <v>2019</v>
      </c>
      <c r="E730">
        <v>56122.06</v>
      </c>
      <c r="F730">
        <v>45874.81</v>
      </c>
    </row>
    <row r="731" spans="1:6" hidden="1" x14ac:dyDescent="0.25">
      <c r="A731">
        <f>DAY(B731)</f>
        <v>31</v>
      </c>
      <c r="B731" s="37">
        <v>43830</v>
      </c>
      <c r="C731" t="s">
        <v>34</v>
      </c>
      <c r="D731">
        <f>YEAR(B731)</f>
        <v>2019</v>
      </c>
      <c r="E731">
        <v>56122.06</v>
      </c>
      <c r="F731">
        <v>45874.81</v>
      </c>
    </row>
    <row r="732" spans="1:6" hidden="1" x14ac:dyDescent="0.25">
      <c r="A732">
        <f t="shared" ref="A732:A795" si="24">DAY(B732)</f>
        <v>1</v>
      </c>
      <c r="B732" s="37">
        <v>43831</v>
      </c>
      <c r="C732" t="s">
        <v>23</v>
      </c>
      <c r="D732">
        <f t="shared" ref="D732:D795" si="25">YEAR(B732)</f>
        <v>2020</v>
      </c>
      <c r="E732">
        <v>56122.06</v>
      </c>
    </row>
    <row r="733" spans="1:6" hidden="1" x14ac:dyDescent="0.25">
      <c r="A733">
        <f t="shared" si="24"/>
        <v>2</v>
      </c>
      <c r="B733" s="37">
        <v>43832</v>
      </c>
      <c r="C733" t="s">
        <v>23</v>
      </c>
      <c r="D733">
        <f t="shared" si="25"/>
        <v>2020</v>
      </c>
      <c r="E733">
        <v>60171.72</v>
      </c>
      <c r="F733">
        <v>46504.278523499997</v>
      </c>
    </row>
    <row r="734" spans="1:6" hidden="1" x14ac:dyDescent="0.25">
      <c r="A734">
        <f t="shared" si="24"/>
        <v>3</v>
      </c>
      <c r="B734" s="37">
        <v>43833</v>
      </c>
      <c r="C734" t="s">
        <v>23</v>
      </c>
      <c r="D734">
        <f t="shared" si="25"/>
        <v>2020</v>
      </c>
      <c r="E734">
        <v>64896.56</v>
      </c>
      <c r="F734">
        <v>48587.589393000002</v>
      </c>
    </row>
    <row r="735" spans="1:6" hidden="1" x14ac:dyDescent="0.25">
      <c r="A735">
        <f t="shared" si="24"/>
        <v>4</v>
      </c>
      <c r="B735" s="37">
        <v>43834</v>
      </c>
      <c r="C735" t="s">
        <v>23</v>
      </c>
      <c r="D735">
        <f t="shared" si="25"/>
        <v>2020</v>
      </c>
      <c r="E735">
        <v>64896.56</v>
      </c>
      <c r="F735">
        <v>48587.589393000002</v>
      </c>
    </row>
    <row r="736" spans="1:6" hidden="1" x14ac:dyDescent="0.25">
      <c r="A736">
        <f t="shared" si="24"/>
        <v>5</v>
      </c>
      <c r="B736" s="37">
        <v>43835</v>
      </c>
      <c r="C736" t="s">
        <v>23</v>
      </c>
      <c r="D736">
        <f t="shared" si="25"/>
        <v>2020</v>
      </c>
      <c r="E736">
        <v>64896.56</v>
      </c>
      <c r="F736">
        <v>48587.589393000002</v>
      </c>
    </row>
    <row r="737" spans="1:6" hidden="1" x14ac:dyDescent="0.25">
      <c r="A737">
        <f t="shared" si="24"/>
        <v>6</v>
      </c>
      <c r="B737" s="37">
        <v>43836</v>
      </c>
      <c r="C737" t="s">
        <v>23</v>
      </c>
      <c r="D737">
        <f t="shared" si="25"/>
        <v>2020</v>
      </c>
      <c r="E737">
        <v>79103</v>
      </c>
      <c r="F737">
        <v>48587.589393000002</v>
      </c>
    </row>
    <row r="738" spans="1:6" hidden="1" x14ac:dyDescent="0.25">
      <c r="A738">
        <f t="shared" si="24"/>
        <v>7</v>
      </c>
      <c r="B738" s="37">
        <v>43837</v>
      </c>
      <c r="C738" t="s">
        <v>23</v>
      </c>
      <c r="D738">
        <f t="shared" si="25"/>
        <v>2020</v>
      </c>
      <c r="E738">
        <v>71158.33</v>
      </c>
      <c r="F738">
        <v>54441.926299999999</v>
      </c>
    </row>
    <row r="739" spans="1:6" hidden="1" x14ac:dyDescent="0.25">
      <c r="A739">
        <f t="shared" si="24"/>
        <v>8</v>
      </c>
      <c r="B739" s="37">
        <v>43838</v>
      </c>
      <c r="C739" t="s">
        <v>23</v>
      </c>
      <c r="D739">
        <f t="shared" si="25"/>
        <v>2020</v>
      </c>
      <c r="E739">
        <v>61377.71</v>
      </c>
      <c r="F739">
        <v>56741.09</v>
      </c>
    </row>
    <row r="740" spans="1:6" hidden="1" x14ac:dyDescent="0.25">
      <c r="A740">
        <f t="shared" si="24"/>
        <v>9</v>
      </c>
      <c r="B740" s="37">
        <v>43839</v>
      </c>
      <c r="C740" t="s">
        <v>23</v>
      </c>
      <c r="D740">
        <f t="shared" si="25"/>
        <v>2020</v>
      </c>
      <c r="E740">
        <v>70480.58</v>
      </c>
      <c r="F740">
        <v>60990.466800000002</v>
      </c>
    </row>
    <row r="741" spans="1:6" hidden="1" x14ac:dyDescent="0.25">
      <c r="A741">
        <f t="shared" si="24"/>
        <v>10</v>
      </c>
      <c r="B741" s="37">
        <v>43840</v>
      </c>
      <c r="C741" t="s">
        <v>23</v>
      </c>
      <c r="D741">
        <f t="shared" si="25"/>
        <v>2020</v>
      </c>
      <c r="E741">
        <v>81578.06</v>
      </c>
      <c r="F741">
        <v>62299.037700000001</v>
      </c>
    </row>
    <row r="742" spans="1:6" hidden="1" x14ac:dyDescent="0.25">
      <c r="A742">
        <f t="shared" si="24"/>
        <v>11</v>
      </c>
      <c r="B742" s="37">
        <v>43841</v>
      </c>
      <c r="C742" t="s">
        <v>23</v>
      </c>
      <c r="D742">
        <f t="shared" si="25"/>
        <v>2020</v>
      </c>
      <c r="E742">
        <v>81578.06</v>
      </c>
      <c r="F742">
        <v>62299.037700000001</v>
      </c>
    </row>
    <row r="743" spans="1:6" hidden="1" x14ac:dyDescent="0.25">
      <c r="A743">
        <f t="shared" si="24"/>
        <v>12</v>
      </c>
      <c r="B743" s="37">
        <v>43842</v>
      </c>
      <c r="C743" t="s">
        <v>23</v>
      </c>
      <c r="D743">
        <f t="shared" si="25"/>
        <v>2020</v>
      </c>
      <c r="E743">
        <v>81578.06</v>
      </c>
      <c r="F743">
        <v>62299.037700000001</v>
      </c>
    </row>
    <row r="744" spans="1:6" hidden="1" x14ac:dyDescent="0.25">
      <c r="A744">
        <f t="shared" si="24"/>
        <v>13</v>
      </c>
      <c r="B744" s="37">
        <v>43843</v>
      </c>
      <c r="C744" t="s">
        <v>23</v>
      </c>
      <c r="D744">
        <f t="shared" si="25"/>
        <v>2020</v>
      </c>
      <c r="E744">
        <v>82868.22</v>
      </c>
      <c r="F744">
        <v>67213.989799999996</v>
      </c>
    </row>
    <row r="745" spans="1:6" hidden="1" x14ac:dyDescent="0.25">
      <c r="A745">
        <f t="shared" si="24"/>
        <v>14</v>
      </c>
      <c r="B745" s="37">
        <v>43844</v>
      </c>
      <c r="C745" t="s">
        <v>23</v>
      </c>
      <c r="D745">
        <f t="shared" si="25"/>
        <v>2020</v>
      </c>
      <c r="E745">
        <v>71710.929999999993</v>
      </c>
      <c r="F745">
        <v>67814.745800000004</v>
      </c>
    </row>
    <row r="746" spans="1:6" hidden="1" x14ac:dyDescent="0.25">
      <c r="A746">
        <f t="shared" si="24"/>
        <v>15</v>
      </c>
      <c r="B746" s="37">
        <v>43845</v>
      </c>
      <c r="C746" t="s">
        <v>23</v>
      </c>
      <c r="D746">
        <f t="shared" si="25"/>
        <v>2020</v>
      </c>
      <c r="E746">
        <v>77144.800000000003</v>
      </c>
      <c r="F746">
        <v>70675.740900000004</v>
      </c>
    </row>
    <row r="747" spans="1:6" hidden="1" x14ac:dyDescent="0.25">
      <c r="A747">
        <f t="shared" si="24"/>
        <v>16</v>
      </c>
      <c r="B747" s="37">
        <v>43846</v>
      </c>
      <c r="C747" t="s">
        <v>23</v>
      </c>
      <c r="D747">
        <f t="shared" si="25"/>
        <v>2020</v>
      </c>
      <c r="E747">
        <v>81370.97</v>
      </c>
      <c r="F747">
        <v>71208.239499999996</v>
      </c>
    </row>
    <row r="748" spans="1:6" hidden="1" x14ac:dyDescent="0.25">
      <c r="A748">
        <f t="shared" si="24"/>
        <v>17</v>
      </c>
      <c r="B748" s="37">
        <v>43847</v>
      </c>
      <c r="C748" t="s">
        <v>23</v>
      </c>
      <c r="D748">
        <f t="shared" si="25"/>
        <v>2020</v>
      </c>
      <c r="E748">
        <v>75249.2</v>
      </c>
      <c r="F748">
        <v>72228.340200000006</v>
      </c>
    </row>
    <row r="749" spans="1:6" hidden="1" x14ac:dyDescent="0.25">
      <c r="A749">
        <f t="shared" si="24"/>
        <v>18</v>
      </c>
      <c r="B749" s="37">
        <v>43848</v>
      </c>
      <c r="C749" t="s">
        <v>23</v>
      </c>
      <c r="D749">
        <f t="shared" si="25"/>
        <v>2020</v>
      </c>
      <c r="E749">
        <v>75249.2</v>
      </c>
      <c r="F749">
        <v>72228.340200000006</v>
      </c>
    </row>
    <row r="750" spans="1:6" hidden="1" x14ac:dyDescent="0.25">
      <c r="A750">
        <f t="shared" si="24"/>
        <v>19</v>
      </c>
      <c r="B750" s="37">
        <v>43849</v>
      </c>
      <c r="C750" t="s">
        <v>23</v>
      </c>
      <c r="D750">
        <f t="shared" si="25"/>
        <v>2020</v>
      </c>
      <c r="E750">
        <v>75249.2</v>
      </c>
      <c r="F750">
        <v>72228.340200000006</v>
      </c>
    </row>
    <row r="751" spans="1:6" hidden="1" x14ac:dyDescent="0.25">
      <c r="A751">
        <f t="shared" si="24"/>
        <v>20</v>
      </c>
      <c r="B751" s="37">
        <v>43850</v>
      </c>
      <c r="C751" t="s">
        <v>23</v>
      </c>
      <c r="D751">
        <f t="shared" si="25"/>
        <v>2020</v>
      </c>
      <c r="E751">
        <v>78218.37</v>
      </c>
      <c r="F751">
        <v>72228.340200000006</v>
      </c>
    </row>
    <row r="752" spans="1:6" hidden="1" x14ac:dyDescent="0.25">
      <c r="A752">
        <f t="shared" si="24"/>
        <v>21</v>
      </c>
      <c r="B752" s="37">
        <v>43851</v>
      </c>
      <c r="C752" t="s">
        <v>23</v>
      </c>
      <c r="D752">
        <f t="shared" si="25"/>
        <v>2020</v>
      </c>
      <c r="E752">
        <v>70811.429999999993</v>
      </c>
      <c r="F752">
        <v>74139.473899999997</v>
      </c>
    </row>
    <row r="753" spans="1:6" hidden="1" x14ac:dyDescent="0.25">
      <c r="A753">
        <f t="shared" si="24"/>
        <v>22</v>
      </c>
      <c r="B753" s="37">
        <v>43852</v>
      </c>
      <c r="C753" t="s">
        <v>23</v>
      </c>
      <c r="D753">
        <f t="shared" si="25"/>
        <v>2020</v>
      </c>
      <c r="E753">
        <v>76674.720000000001</v>
      </c>
      <c r="F753">
        <v>73430.480599999995</v>
      </c>
    </row>
    <row r="754" spans="1:6" hidden="1" x14ac:dyDescent="0.25">
      <c r="A754">
        <f t="shared" si="24"/>
        <v>23</v>
      </c>
      <c r="B754" s="37">
        <v>43853</v>
      </c>
      <c r="C754" t="s">
        <v>23</v>
      </c>
      <c r="D754">
        <f t="shared" si="25"/>
        <v>2020</v>
      </c>
      <c r="E754">
        <v>78385.84</v>
      </c>
      <c r="F754">
        <v>73701.081600000005</v>
      </c>
    </row>
    <row r="755" spans="1:6" hidden="1" x14ac:dyDescent="0.25">
      <c r="A755">
        <f t="shared" si="24"/>
        <v>24</v>
      </c>
      <c r="B755" s="37">
        <v>43854</v>
      </c>
      <c r="C755" t="s">
        <v>23</v>
      </c>
      <c r="D755">
        <f t="shared" si="25"/>
        <v>2020</v>
      </c>
      <c r="E755">
        <v>77475.47</v>
      </c>
      <c r="F755">
        <v>74243.596099999995</v>
      </c>
    </row>
    <row r="756" spans="1:6" hidden="1" x14ac:dyDescent="0.25">
      <c r="A756">
        <f t="shared" si="24"/>
        <v>25</v>
      </c>
      <c r="B756" s="37">
        <v>43855</v>
      </c>
      <c r="C756" t="s">
        <v>23</v>
      </c>
      <c r="D756">
        <f t="shared" si="25"/>
        <v>2020</v>
      </c>
      <c r="E756">
        <v>77475.47</v>
      </c>
      <c r="F756">
        <v>74243.596099999995</v>
      </c>
    </row>
    <row r="757" spans="1:6" hidden="1" x14ac:dyDescent="0.25">
      <c r="A757">
        <f t="shared" si="24"/>
        <v>26</v>
      </c>
      <c r="B757" s="37">
        <v>43856</v>
      </c>
      <c r="C757" t="s">
        <v>23</v>
      </c>
      <c r="D757">
        <f t="shared" si="25"/>
        <v>2020</v>
      </c>
      <c r="E757">
        <v>77475.47</v>
      </c>
      <c r="F757">
        <v>74243.596099999995</v>
      </c>
    </row>
    <row r="758" spans="1:6" hidden="1" x14ac:dyDescent="0.25">
      <c r="A758">
        <f t="shared" si="24"/>
        <v>27</v>
      </c>
      <c r="B758" s="37">
        <v>43857</v>
      </c>
      <c r="C758" t="s">
        <v>23</v>
      </c>
      <c r="D758">
        <f t="shared" si="25"/>
        <v>2020</v>
      </c>
      <c r="E758">
        <v>75257.87</v>
      </c>
      <c r="F758">
        <v>74673.814499999993</v>
      </c>
    </row>
    <row r="759" spans="1:6" hidden="1" x14ac:dyDescent="0.25">
      <c r="A759">
        <f t="shared" si="24"/>
        <v>28</v>
      </c>
      <c r="B759" s="37">
        <v>43858</v>
      </c>
      <c r="C759" t="s">
        <v>23</v>
      </c>
      <c r="D759">
        <f t="shared" si="25"/>
        <v>2020</v>
      </c>
      <c r="E759">
        <v>76363.47</v>
      </c>
      <c r="F759">
        <v>74444.155400000003</v>
      </c>
    </row>
    <row r="760" spans="1:6" hidden="1" x14ac:dyDescent="0.25">
      <c r="A760">
        <f t="shared" si="24"/>
        <v>29</v>
      </c>
      <c r="B760" s="37">
        <v>43859</v>
      </c>
      <c r="C760" t="s">
        <v>23</v>
      </c>
      <c r="D760">
        <f t="shared" si="25"/>
        <v>2020</v>
      </c>
      <c r="E760">
        <v>75471.31</v>
      </c>
      <c r="F760">
        <v>74727.186100000006</v>
      </c>
    </row>
    <row r="761" spans="1:6" hidden="1" x14ac:dyDescent="0.25">
      <c r="A761">
        <f t="shared" si="24"/>
        <v>30</v>
      </c>
      <c r="B761" s="37">
        <v>43860</v>
      </c>
      <c r="C761" t="s">
        <v>23</v>
      </c>
      <c r="D761">
        <f t="shared" si="25"/>
        <v>2020</v>
      </c>
      <c r="E761">
        <v>74736.2</v>
      </c>
      <c r="F761">
        <v>74903.991299999994</v>
      </c>
    </row>
    <row r="762" spans="1:6" hidden="1" x14ac:dyDescent="0.25">
      <c r="A762">
        <f t="shared" si="24"/>
        <v>31</v>
      </c>
      <c r="B762" s="37">
        <v>43861</v>
      </c>
      <c r="C762" t="s">
        <v>23</v>
      </c>
      <c r="D762">
        <f t="shared" si="25"/>
        <v>2020</v>
      </c>
      <c r="E762">
        <v>73303.990000000005</v>
      </c>
      <c r="F762">
        <v>74989.874100000001</v>
      </c>
    </row>
    <row r="763" spans="1:6" hidden="1" x14ac:dyDescent="0.25">
      <c r="A763">
        <f t="shared" si="24"/>
        <v>1</v>
      </c>
      <c r="B763" s="37">
        <v>43862</v>
      </c>
      <c r="C763" t="s">
        <v>24</v>
      </c>
      <c r="D763">
        <f t="shared" si="25"/>
        <v>2020</v>
      </c>
      <c r="E763">
        <v>73303.990000000005</v>
      </c>
      <c r="F763">
        <v>74989.874100000001</v>
      </c>
    </row>
    <row r="764" spans="1:6" hidden="1" x14ac:dyDescent="0.25">
      <c r="A764">
        <f t="shared" si="24"/>
        <v>2</v>
      </c>
      <c r="B764" s="37">
        <v>43863</v>
      </c>
      <c r="C764" t="s">
        <v>24</v>
      </c>
      <c r="D764">
        <f t="shared" si="25"/>
        <v>2020</v>
      </c>
      <c r="E764">
        <v>73303.990000000005</v>
      </c>
      <c r="F764">
        <v>74989.874100000001</v>
      </c>
    </row>
    <row r="765" spans="1:6" hidden="1" x14ac:dyDescent="0.25">
      <c r="A765">
        <f t="shared" si="24"/>
        <v>3</v>
      </c>
      <c r="B765" s="37">
        <v>43864</v>
      </c>
      <c r="C765" t="s">
        <v>24</v>
      </c>
      <c r="D765">
        <f t="shared" si="25"/>
        <v>2020</v>
      </c>
      <c r="E765">
        <v>74838.649999999994</v>
      </c>
      <c r="F765">
        <v>74026.612500000003</v>
      </c>
    </row>
    <row r="766" spans="1:6" hidden="1" x14ac:dyDescent="0.25">
      <c r="A766">
        <f t="shared" si="24"/>
        <v>4</v>
      </c>
      <c r="B766" s="37">
        <v>43865</v>
      </c>
      <c r="C766" t="s">
        <v>24</v>
      </c>
      <c r="D766">
        <f t="shared" si="25"/>
        <v>2020</v>
      </c>
      <c r="E766">
        <v>75468.09</v>
      </c>
      <c r="F766">
        <v>72941.828299999994</v>
      </c>
    </row>
    <row r="767" spans="1:6" hidden="1" x14ac:dyDescent="0.25">
      <c r="A767">
        <f t="shared" si="24"/>
        <v>5</v>
      </c>
      <c r="B767" s="37">
        <v>43866</v>
      </c>
      <c r="C767" t="s">
        <v>24</v>
      </c>
      <c r="D767">
        <f t="shared" si="25"/>
        <v>2020</v>
      </c>
      <c r="E767">
        <v>74876.61</v>
      </c>
      <c r="F767">
        <v>73341.189100000003</v>
      </c>
    </row>
    <row r="768" spans="1:6" hidden="1" x14ac:dyDescent="0.25">
      <c r="A768">
        <f t="shared" si="24"/>
        <v>6</v>
      </c>
      <c r="B768" s="37">
        <v>43867</v>
      </c>
      <c r="C768" t="s">
        <v>24</v>
      </c>
      <c r="D768">
        <f t="shared" si="25"/>
        <v>2020</v>
      </c>
      <c r="E768">
        <v>74023.81</v>
      </c>
      <c r="F768">
        <v>73607.364300000001</v>
      </c>
    </row>
    <row r="769" spans="1:6" hidden="1" x14ac:dyDescent="0.25">
      <c r="A769">
        <f t="shared" si="24"/>
        <v>7</v>
      </c>
      <c r="B769" s="37">
        <v>43868</v>
      </c>
      <c r="C769" t="s">
        <v>24</v>
      </c>
      <c r="D769">
        <f t="shared" si="25"/>
        <v>2020</v>
      </c>
      <c r="E769">
        <v>74022.23</v>
      </c>
      <c r="F769">
        <v>73612.481199999995</v>
      </c>
    </row>
    <row r="770" spans="1:6" hidden="1" x14ac:dyDescent="0.25">
      <c r="A770">
        <f t="shared" si="24"/>
        <v>8</v>
      </c>
      <c r="B770" s="37">
        <v>43869</v>
      </c>
      <c r="C770" t="s">
        <v>24</v>
      </c>
      <c r="D770">
        <f t="shared" si="25"/>
        <v>2020</v>
      </c>
      <c r="E770">
        <v>74022.23</v>
      </c>
      <c r="F770">
        <v>71246.820000000007</v>
      </c>
    </row>
    <row r="771" spans="1:6" hidden="1" x14ac:dyDescent="0.25">
      <c r="A771">
        <f t="shared" si="24"/>
        <v>9</v>
      </c>
      <c r="B771" s="37">
        <v>43870</v>
      </c>
      <c r="C771" t="s">
        <v>24</v>
      </c>
      <c r="D771">
        <f t="shared" si="25"/>
        <v>2020</v>
      </c>
      <c r="E771">
        <v>74022.23</v>
      </c>
      <c r="F771">
        <v>72456.210000000006</v>
      </c>
    </row>
    <row r="772" spans="1:6" hidden="1" x14ac:dyDescent="0.25">
      <c r="A772">
        <f t="shared" si="24"/>
        <v>10</v>
      </c>
      <c r="B772" s="37">
        <v>43871</v>
      </c>
      <c r="C772" t="s">
        <v>24</v>
      </c>
      <c r="D772">
        <f t="shared" si="25"/>
        <v>2020</v>
      </c>
      <c r="E772">
        <v>74590.16</v>
      </c>
      <c r="F772">
        <v>73430.551600000006</v>
      </c>
    </row>
    <row r="773" spans="1:6" hidden="1" x14ac:dyDescent="0.25">
      <c r="A773">
        <f t="shared" si="24"/>
        <v>11</v>
      </c>
      <c r="B773" s="37">
        <v>43872</v>
      </c>
      <c r="C773" t="s">
        <v>24</v>
      </c>
      <c r="D773">
        <f t="shared" si="25"/>
        <v>2020</v>
      </c>
      <c r="E773">
        <v>73391.44</v>
      </c>
      <c r="F773">
        <v>73048.488200000007</v>
      </c>
    </row>
    <row r="774" spans="1:6" hidden="1" x14ac:dyDescent="0.25">
      <c r="A774">
        <f t="shared" si="24"/>
        <v>12</v>
      </c>
      <c r="B774" s="37">
        <v>43873</v>
      </c>
      <c r="C774" t="s">
        <v>24</v>
      </c>
      <c r="D774">
        <f t="shared" si="25"/>
        <v>2020</v>
      </c>
      <c r="E774">
        <v>74436.89</v>
      </c>
      <c r="F774">
        <v>73172.496799999994</v>
      </c>
    </row>
    <row r="775" spans="1:6" hidden="1" x14ac:dyDescent="0.25">
      <c r="A775">
        <f t="shared" si="24"/>
        <v>13</v>
      </c>
      <c r="B775" s="37">
        <v>43874</v>
      </c>
      <c r="C775" t="s">
        <v>24</v>
      </c>
      <c r="D775">
        <f t="shared" si="25"/>
        <v>2020</v>
      </c>
      <c r="E775">
        <v>75320.509999999995</v>
      </c>
      <c r="F775">
        <v>73486.984700000001</v>
      </c>
    </row>
    <row r="776" spans="1:6" hidden="1" x14ac:dyDescent="0.25">
      <c r="A776">
        <f t="shared" si="24"/>
        <v>14</v>
      </c>
      <c r="B776" s="37">
        <v>43875</v>
      </c>
      <c r="C776" t="s">
        <v>24</v>
      </c>
      <c r="D776">
        <f t="shared" si="25"/>
        <v>2020</v>
      </c>
      <c r="E776">
        <v>76315.789999999994</v>
      </c>
      <c r="F776">
        <v>73582.935899999997</v>
      </c>
    </row>
    <row r="777" spans="1:6" hidden="1" x14ac:dyDescent="0.25">
      <c r="A777">
        <f t="shared" si="24"/>
        <v>15</v>
      </c>
      <c r="B777" s="37">
        <v>43876</v>
      </c>
      <c r="C777" t="s">
        <v>24</v>
      </c>
      <c r="D777">
        <f t="shared" si="25"/>
        <v>2020</v>
      </c>
      <c r="E777">
        <v>76315.789999999994</v>
      </c>
      <c r="F777">
        <v>73582.935899999997</v>
      </c>
    </row>
    <row r="778" spans="1:6" hidden="1" x14ac:dyDescent="0.25">
      <c r="A778">
        <f t="shared" si="24"/>
        <v>16</v>
      </c>
      <c r="B778" s="37">
        <v>43877</v>
      </c>
      <c r="C778" t="s">
        <v>24</v>
      </c>
      <c r="D778">
        <f t="shared" si="25"/>
        <v>2020</v>
      </c>
      <c r="E778">
        <v>76315.789999999994</v>
      </c>
      <c r="F778">
        <v>73582.935899999997</v>
      </c>
    </row>
    <row r="779" spans="1:6" hidden="1" x14ac:dyDescent="0.25">
      <c r="A779">
        <f t="shared" si="24"/>
        <v>17</v>
      </c>
      <c r="B779" s="37">
        <v>43878</v>
      </c>
      <c r="C779" t="s">
        <v>24</v>
      </c>
      <c r="D779">
        <f t="shared" si="25"/>
        <v>2020</v>
      </c>
      <c r="E779">
        <v>76710.880000000005</v>
      </c>
      <c r="F779">
        <v>73393.293300000005</v>
      </c>
    </row>
    <row r="780" spans="1:6" hidden="1" x14ac:dyDescent="0.25">
      <c r="A780">
        <f t="shared" si="24"/>
        <v>18</v>
      </c>
      <c r="B780" s="37">
        <v>43879</v>
      </c>
      <c r="C780" t="s">
        <v>24</v>
      </c>
      <c r="D780">
        <f t="shared" si="25"/>
        <v>2020</v>
      </c>
      <c r="E780">
        <v>75113.06</v>
      </c>
      <c r="F780">
        <v>73470.981</v>
      </c>
    </row>
    <row r="781" spans="1:6" hidden="1" x14ac:dyDescent="0.25">
      <c r="A781">
        <f t="shared" si="24"/>
        <v>19</v>
      </c>
      <c r="B781" s="37">
        <v>43880</v>
      </c>
      <c r="C781" t="s">
        <v>24</v>
      </c>
      <c r="D781">
        <f t="shared" si="25"/>
        <v>2020</v>
      </c>
      <c r="E781">
        <v>75075.679999999993</v>
      </c>
      <c r="F781">
        <v>73772.325599999996</v>
      </c>
    </row>
    <row r="782" spans="1:6" hidden="1" x14ac:dyDescent="0.25">
      <c r="A782">
        <f t="shared" si="24"/>
        <v>20</v>
      </c>
      <c r="B782" s="37">
        <v>43881</v>
      </c>
      <c r="C782" t="s">
        <v>24</v>
      </c>
      <c r="D782">
        <f t="shared" si="25"/>
        <v>2020</v>
      </c>
      <c r="E782">
        <v>75946.87</v>
      </c>
      <c r="F782">
        <v>73759.843099999998</v>
      </c>
    </row>
    <row r="783" spans="1:6" hidden="1" x14ac:dyDescent="0.25">
      <c r="A783">
        <f t="shared" si="24"/>
        <v>21</v>
      </c>
      <c r="B783" s="37">
        <v>43882</v>
      </c>
      <c r="C783" t="s">
        <v>24</v>
      </c>
      <c r="D783">
        <f t="shared" si="25"/>
        <v>2020</v>
      </c>
      <c r="E783">
        <v>74974.84</v>
      </c>
      <c r="F783">
        <v>73787.062399999995</v>
      </c>
    </row>
    <row r="784" spans="1:6" hidden="1" x14ac:dyDescent="0.25">
      <c r="A784">
        <f t="shared" si="24"/>
        <v>22</v>
      </c>
      <c r="B784" s="37">
        <v>43883</v>
      </c>
      <c r="C784" t="s">
        <v>24</v>
      </c>
      <c r="D784">
        <f t="shared" si="25"/>
        <v>2020</v>
      </c>
      <c r="E784">
        <v>74974.84</v>
      </c>
      <c r="F784">
        <v>73787.062399999995</v>
      </c>
    </row>
    <row r="785" spans="1:6" hidden="1" x14ac:dyDescent="0.25">
      <c r="A785">
        <f t="shared" si="24"/>
        <v>23</v>
      </c>
      <c r="B785" s="37">
        <v>43884</v>
      </c>
      <c r="C785" t="s">
        <v>24</v>
      </c>
      <c r="D785">
        <f t="shared" si="25"/>
        <v>2020</v>
      </c>
      <c r="E785">
        <v>74974.84</v>
      </c>
      <c r="F785">
        <v>73787.062399999995</v>
      </c>
    </row>
    <row r="786" spans="1:6" hidden="1" x14ac:dyDescent="0.25">
      <c r="A786">
        <f t="shared" si="24"/>
        <v>24</v>
      </c>
      <c r="B786" s="37">
        <v>43885</v>
      </c>
      <c r="C786" t="s">
        <v>24</v>
      </c>
      <c r="D786">
        <f t="shared" si="25"/>
        <v>2020</v>
      </c>
      <c r="E786">
        <v>74810.37</v>
      </c>
      <c r="F786">
        <v>73787.062399999995</v>
      </c>
    </row>
    <row r="787" spans="1:6" hidden="1" x14ac:dyDescent="0.25">
      <c r="A787">
        <f t="shared" si="24"/>
        <v>25</v>
      </c>
      <c r="B787" s="37">
        <v>43886</v>
      </c>
      <c r="C787" t="s">
        <v>24</v>
      </c>
      <c r="D787">
        <f t="shared" si="25"/>
        <v>2020</v>
      </c>
      <c r="E787">
        <v>74810.37</v>
      </c>
      <c r="F787">
        <v>73787.062399999995</v>
      </c>
    </row>
    <row r="788" spans="1:6" hidden="1" x14ac:dyDescent="0.25">
      <c r="A788">
        <f t="shared" si="24"/>
        <v>26</v>
      </c>
      <c r="B788" s="37">
        <v>43887</v>
      </c>
      <c r="C788" t="s">
        <v>24</v>
      </c>
      <c r="D788">
        <f t="shared" si="25"/>
        <v>2020</v>
      </c>
      <c r="E788">
        <v>75848.56</v>
      </c>
      <c r="F788">
        <v>73351.033100000001</v>
      </c>
    </row>
    <row r="789" spans="1:6" hidden="1" x14ac:dyDescent="0.25">
      <c r="A789">
        <f t="shared" si="24"/>
        <v>27</v>
      </c>
      <c r="B789" s="37">
        <v>43888</v>
      </c>
      <c r="C789" t="s">
        <v>24</v>
      </c>
      <c r="D789">
        <f t="shared" si="25"/>
        <v>2020</v>
      </c>
      <c r="E789">
        <v>75197.02</v>
      </c>
      <c r="F789">
        <v>73603.122199999998</v>
      </c>
    </row>
    <row r="790" spans="1:6" hidden="1" x14ac:dyDescent="0.25">
      <c r="A790">
        <f t="shared" si="24"/>
        <v>28</v>
      </c>
      <c r="B790" s="37">
        <v>43889</v>
      </c>
      <c r="C790" t="s">
        <v>24</v>
      </c>
      <c r="D790">
        <f t="shared" si="25"/>
        <v>2020</v>
      </c>
      <c r="E790">
        <v>75277.070000000007</v>
      </c>
      <c r="F790">
        <v>73652.174400000004</v>
      </c>
    </row>
    <row r="791" spans="1:6" hidden="1" x14ac:dyDescent="0.25">
      <c r="A791">
        <f t="shared" si="24"/>
        <v>29</v>
      </c>
      <c r="B791" s="37">
        <v>43890</v>
      </c>
      <c r="C791" t="s">
        <v>25</v>
      </c>
      <c r="D791">
        <f t="shared" si="25"/>
        <v>2020</v>
      </c>
      <c r="E791">
        <v>75277.070000000007</v>
      </c>
      <c r="F791">
        <v>73652.174400000004</v>
      </c>
    </row>
    <row r="792" spans="1:6" hidden="1" x14ac:dyDescent="0.25">
      <c r="A792">
        <f t="shared" si="24"/>
        <v>1</v>
      </c>
      <c r="B792" s="37">
        <v>43891</v>
      </c>
      <c r="C792" t="s">
        <v>25</v>
      </c>
      <c r="D792">
        <f t="shared" si="25"/>
        <v>2020</v>
      </c>
      <c r="E792">
        <v>75277.070000000007</v>
      </c>
      <c r="F792">
        <v>73468.043963999997</v>
      </c>
    </row>
    <row r="793" spans="1:6" hidden="1" x14ac:dyDescent="0.25">
      <c r="A793">
        <f t="shared" si="24"/>
        <v>2</v>
      </c>
      <c r="B793" s="37">
        <v>43892</v>
      </c>
      <c r="C793" t="s">
        <v>25</v>
      </c>
      <c r="D793">
        <f t="shared" si="25"/>
        <v>2020</v>
      </c>
      <c r="E793">
        <v>74173.53</v>
      </c>
      <c r="F793">
        <v>74092.574699999997</v>
      </c>
    </row>
    <row r="794" spans="1:6" hidden="1" x14ac:dyDescent="0.25">
      <c r="A794">
        <f t="shared" si="24"/>
        <v>3</v>
      </c>
      <c r="B794" s="37">
        <v>43893</v>
      </c>
      <c r="C794" t="s">
        <v>25</v>
      </c>
      <c r="D794">
        <f t="shared" si="25"/>
        <v>2020</v>
      </c>
      <c r="E794">
        <v>74530.460000000006</v>
      </c>
      <c r="F794">
        <v>73987.446500000005</v>
      </c>
    </row>
    <row r="795" spans="1:6" hidden="1" x14ac:dyDescent="0.25">
      <c r="A795">
        <f t="shared" si="24"/>
        <v>4</v>
      </c>
      <c r="B795" s="37">
        <v>43894</v>
      </c>
      <c r="C795" t="s">
        <v>25</v>
      </c>
      <c r="D795">
        <f t="shared" si="25"/>
        <v>2020</v>
      </c>
      <c r="E795">
        <v>74093.62</v>
      </c>
      <c r="F795">
        <v>73829.032800000001</v>
      </c>
    </row>
    <row r="796" spans="1:6" hidden="1" x14ac:dyDescent="0.25">
      <c r="A796">
        <f t="shared" ref="A796:A859" si="26">DAY(B796)</f>
        <v>5</v>
      </c>
      <c r="B796" s="37">
        <v>43895</v>
      </c>
      <c r="C796" t="s">
        <v>25</v>
      </c>
      <c r="D796">
        <f t="shared" ref="D796:D859" si="27">YEAR(B796)</f>
        <v>2020</v>
      </c>
      <c r="E796">
        <v>73384.240000000005</v>
      </c>
      <c r="F796">
        <v>73653.277499999997</v>
      </c>
    </row>
    <row r="797" spans="1:6" hidden="1" x14ac:dyDescent="0.25">
      <c r="A797">
        <f t="shared" si="26"/>
        <v>6</v>
      </c>
      <c r="B797" s="37">
        <v>43896</v>
      </c>
      <c r="C797" t="s">
        <v>25</v>
      </c>
      <c r="D797">
        <f t="shared" si="27"/>
        <v>2020</v>
      </c>
      <c r="E797">
        <v>74871.69</v>
      </c>
      <c r="F797">
        <v>73193.306599999996</v>
      </c>
    </row>
    <row r="798" spans="1:6" hidden="1" x14ac:dyDescent="0.25">
      <c r="A798">
        <f t="shared" si="26"/>
        <v>7</v>
      </c>
      <c r="B798" s="37">
        <v>43897</v>
      </c>
      <c r="C798" t="s">
        <v>25</v>
      </c>
      <c r="D798">
        <f t="shared" si="27"/>
        <v>2020</v>
      </c>
      <c r="E798">
        <v>74871.69</v>
      </c>
      <c r="F798">
        <v>73193.306599999996</v>
      </c>
    </row>
    <row r="799" spans="1:6" hidden="1" x14ac:dyDescent="0.25">
      <c r="A799">
        <f t="shared" si="26"/>
        <v>8</v>
      </c>
      <c r="B799" s="37">
        <v>43898</v>
      </c>
      <c r="C799" t="s">
        <v>25</v>
      </c>
      <c r="D799">
        <f t="shared" si="27"/>
        <v>2020</v>
      </c>
      <c r="E799">
        <v>74871.69</v>
      </c>
      <c r="F799">
        <v>73193.306599999996</v>
      </c>
    </row>
    <row r="800" spans="1:6" hidden="1" x14ac:dyDescent="0.25">
      <c r="A800">
        <f t="shared" si="26"/>
        <v>9</v>
      </c>
      <c r="B800" s="37">
        <v>43899</v>
      </c>
      <c r="C800" t="s">
        <v>25</v>
      </c>
      <c r="D800">
        <f t="shared" si="27"/>
        <v>2020</v>
      </c>
      <c r="E800">
        <v>74871.679999999993</v>
      </c>
      <c r="F800">
        <v>73224.149099999995</v>
      </c>
    </row>
    <row r="801" spans="1:6" hidden="1" x14ac:dyDescent="0.25">
      <c r="A801">
        <f t="shared" si="26"/>
        <v>10</v>
      </c>
      <c r="B801" s="37">
        <v>43900</v>
      </c>
      <c r="C801" t="s">
        <v>25</v>
      </c>
      <c r="D801">
        <f t="shared" si="27"/>
        <v>2020</v>
      </c>
      <c r="E801">
        <v>76485.52</v>
      </c>
      <c r="F801">
        <v>73255.763399999996</v>
      </c>
    </row>
    <row r="802" spans="1:6" hidden="1" x14ac:dyDescent="0.25">
      <c r="A802">
        <f t="shared" si="26"/>
        <v>11</v>
      </c>
      <c r="B802" s="37">
        <v>43901</v>
      </c>
      <c r="C802" t="s">
        <v>25</v>
      </c>
      <c r="D802">
        <f t="shared" si="27"/>
        <v>2020</v>
      </c>
      <c r="E802">
        <v>76470.149999999994</v>
      </c>
      <c r="F802">
        <v>73334.830600000001</v>
      </c>
    </row>
    <row r="803" spans="1:6" hidden="1" x14ac:dyDescent="0.25">
      <c r="A803">
        <f t="shared" si="26"/>
        <v>12</v>
      </c>
      <c r="B803" s="37">
        <v>43902</v>
      </c>
      <c r="C803" t="s">
        <v>25</v>
      </c>
      <c r="D803">
        <f t="shared" si="27"/>
        <v>2020</v>
      </c>
      <c r="E803">
        <v>80045.899999999994</v>
      </c>
      <c r="F803">
        <v>73649.556700000001</v>
      </c>
    </row>
    <row r="804" spans="1:6" hidden="1" x14ac:dyDescent="0.25">
      <c r="A804">
        <f t="shared" si="26"/>
        <v>13</v>
      </c>
      <c r="B804" s="37">
        <v>43903</v>
      </c>
      <c r="C804" t="s">
        <v>25</v>
      </c>
      <c r="D804">
        <f t="shared" si="27"/>
        <v>2020</v>
      </c>
      <c r="E804">
        <v>79990.63</v>
      </c>
      <c r="F804">
        <v>73688.732600000003</v>
      </c>
    </row>
    <row r="805" spans="1:6" hidden="1" x14ac:dyDescent="0.25">
      <c r="A805">
        <f t="shared" si="26"/>
        <v>14</v>
      </c>
      <c r="B805" s="37">
        <v>43904</v>
      </c>
      <c r="C805" t="s">
        <v>25</v>
      </c>
      <c r="D805">
        <f t="shared" si="27"/>
        <v>2020</v>
      </c>
      <c r="E805">
        <v>79990.63</v>
      </c>
      <c r="F805">
        <v>73688.732600000003</v>
      </c>
    </row>
    <row r="806" spans="1:6" hidden="1" x14ac:dyDescent="0.25">
      <c r="A806">
        <f t="shared" si="26"/>
        <v>15</v>
      </c>
      <c r="B806" s="37">
        <v>43905</v>
      </c>
      <c r="C806" t="s">
        <v>25</v>
      </c>
      <c r="D806">
        <f t="shared" si="27"/>
        <v>2020</v>
      </c>
      <c r="E806">
        <v>79990.63</v>
      </c>
      <c r="F806">
        <v>73688.732600000003</v>
      </c>
    </row>
    <row r="807" spans="1:6" hidden="1" x14ac:dyDescent="0.25">
      <c r="A807">
        <f t="shared" si="26"/>
        <v>16</v>
      </c>
      <c r="B807" s="37">
        <v>43906</v>
      </c>
      <c r="C807" t="s">
        <v>25</v>
      </c>
      <c r="D807">
        <f t="shared" si="27"/>
        <v>2020</v>
      </c>
      <c r="E807">
        <v>77837.66</v>
      </c>
      <c r="F807">
        <v>74081.869600000005</v>
      </c>
    </row>
    <row r="808" spans="1:6" hidden="1" x14ac:dyDescent="0.25">
      <c r="A808">
        <f t="shared" si="26"/>
        <v>17</v>
      </c>
      <c r="B808" s="37">
        <v>43907</v>
      </c>
      <c r="C808" t="s">
        <v>25</v>
      </c>
      <c r="D808">
        <f t="shared" si="27"/>
        <v>2020</v>
      </c>
      <c r="E808">
        <v>73869.66</v>
      </c>
      <c r="F808">
        <v>74146.484100000001</v>
      </c>
    </row>
    <row r="809" spans="1:6" hidden="1" x14ac:dyDescent="0.25">
      <c r="A809">
        <f t="shared" si="26"/>
        <v>18</v>
      </c>
      <c r="B809" s="37">
        <v>43908</v>
      </c>
      <c r="C809" t="s">
        <v>25</v>
      </c>
      <c r="D809">
        <f t="shared" si="27"/>
        <v>2020</v>
      </c>
      <c r="E809">
        <v>70645.149999999994</v>
      </c>
      <c r="F809">
        <v>74007.973899999997</v>
      </c>
    </row>
    <row r="810" spans="1:6" hidden="1" x14ac:dyDescent="0.25">
      <c r="A810">
        <f t="shared" si="26"/>
        <v>19</v>
      </c>
      <c r="B810" s="37">
        <v>43909</v>
      </c>
      <c r="C810" t="s">
        <v>25</v>
      </c>
      <c r="D810">
        <f t="shared" si="27"/>
        <v>2020</v>
      </c>
      <c r="E810">
        <v>68633.33</v>
      </c>
      <c r="F810">
        <v>74007.973899999997</v>
      </c>
    </row>
    <row r="811" spans="1:6" hidden="1" x14ac:dyDescent="0.25">
      <c r="A811">
        <f t="shared" si="26"/>
        <v>20</v>
      </c>
      <c r="B811" s="37">
        <v>43910</v>
      </c>
      <c r="C811" t="s">
        <v>25</v>
      </c>
      <c r="D811">
        <f t="shared" si="27"/>
        <v>2020</v>
      </c>
      <c r="E811">
        <v>72028.72</v>
      </c>
      <c r="F811">
        <v>72260.067999999999</v>
      </c>
    </row>
    <row r="812" spans="1:6" hidden="1" x14ac:dyDescent="0.25">
      <c r="A812">
        <f t="shared" si="26"/>
        <v>21</v>
      </c>
      <c r="B812" s="37">
        <v>43911</v>
      </c>
      <c r="C812" t="s">
        <v>25</v>
      </c>
      <c r="D812">
        <f t="shared" si="27"/>
        <v>2020</v>
      </c>
      <c r="E812">
        <v>72028.72</v>
      </c>
      <c r="F812">
        <v>72260.067999999999</v>
      </c>
    </row>
    <row r="813" spans="1:6" hidden="1" x14ac:dyDescent="0.25">
      <c r="A813">
        <f t="shared" si="26"/>
        <v>22</v>
      </c>
      <c r="B813" s="37">
        <v>43912</v>
      </c>
      <c r="C813" t="s">
        <v>25</v>
      </c>
      <c r="D813">
        <f t="shared" si="27"/>
        <v>2020</v>
      </c>
      <c r="E813">
        <v>72028.72</v>
      </c>
      <c r="F813">
        <v>72260.067999999999</v>
      </c>
    </row>
    <row r="814" spans="1:6" hidden="1" x14ac:dyDescent="0.25">
      <c r="A814">
        <f t="shared" si="26"/>
        <v>23</v>
      </c>
      <c r="B814" s="37">
        <v>43913</v>
      </c>
      <c r="C814" t="s">
        <v>25</v>
      </c>
      <c r="D814">
        <f t="shared" si="27"/>
        <v>2020</v>
      </c>
      <c r="E814">
        <v>75408.81</v>
      </c>
      <c r="F814">
        <v>72260.067999999999</v>
      </c>
    </row>
    <row r="815" spans="1:6" hidden="1" x14ac:dyDescent="0.25">
      <c r="A815">
        <f t="shared" si="26"/>
        <v>24</v>
      </c>
      <c r="B815" s="37">
        <v>43914</v>
      </c>
      <c r="C815" t="s">
        <v>25</v>
      </c>
      <c r="D815">
        <f t="shared" si="27"/>
        <v>2020</v>
      </c>
      <c r="E815">
        <v>78215.05</v>
      </c>
      <c r="F815">
        <v>69896.344899999996</v>
      </c>
    </row>
    <row r="816" spans="1:6" hidden="1" x14ac:dyDescent="0.25">
      <c r="A816">
        <f t="shared" si="26"/>
        <v>25</v>
      </c>
      <c r="B816" s="37">
        <v>43915</v>
      </c>
      <c r="C816" t="s">
        <v>25</v>
      </c>
      <c r="D816">
        <f t="shared" si="27"/>
        <v>2020</v>
      </c>
      <c r="E816">
        <v>82789.66</v>
      </c>
      <c r="F816">
        <v>70854.8891</v>
      </c>
    </row>
    <row r="817" spans="1:6" hidden="1" x14ac:dyDescent="0.25">
      <c r="A817">
        <f t="shared" si="26"/>
        <v>26</v>
      </c>
      <c r="B817" s="37">
        <v>43916</v>
      </c>
      <c r="C817" t="s">
        <v>25</v>
      </c>
      <c r="D817">
        <f t="shared" si="27"/>
        <v>2020</v>
      </c>
      <c r="E817">
        <v>84482.59</v>
      </c>
      <c r="F817">
        <v>71208.528200000001</v>
      </c>
    </row>
    <row r="818" spans="1:6" hidden="1" x14ac:dyDescent="0.25">
      <c r="A818">
        <f t="shared" si="26"/>
        <v>27</v>
      </c>
      <c r="B818" s="37">
        <v>43917</v>
      </c>
      <c r="C818" t="s">
        <v>25</v>
      </c>
      <c r="D818">
        <f t="shared" si="27"/>
        <v>2020</v>
      </c>
      <c r="E818">
        <v>84182.1</v>
      </c>
      <c r="F818">
        <v>73830.163799999995</v>
      </c>
    </row>
    <row r="819" spans="1:6" hidden="1" x14ac:dyDescent="0.25">
      <c r="A819">
        <f t="shared" si="26"/>
        <v>28</v>
      </c>
      <c r="B819" s="37">
        <v>43918</v>
      </c>
      <c r="C819" t="s">
        <v>25</v>
      </c>
      <c r="D819">
        <f t="shared" si="27"/>
        <v>2020</v>
      </c>
      <c r="E819">
        <v>84182.1</v>
      </c>
      <c r="F819">
        <v>73830.163799999995</v>
      </c>
    </row>
    <row r="820" spans="1:6" hidden="1" x14ac:dyDescent="0.25">
      <c r="A820">
        <f t="shared" si="26"/>
        <v>29</v>
      </c>
      <c r="B820" s="37">
        <v>43919</v>
      </c>
      <c r="C820" t="s">
        <v>25</v>
      </c>
      <c r="D820">
        <f t="shared" si="27"/>
        <v>2020</v>
      </c>
      <c r="E820">
        <v>84182.1</v>
      </c>
      <c r="F820">
        <v>73830.163799999995</v>
      </c>
    </row>
    <row r="821" spans="1:6" hidden="1" x14ac:dyDescent="0.25">
      <c r="A821">
        <f t="shared" si="26"/>
        <v>30</v>
      </c>
      <c r="B821" s="37">
        <v>43920</v>
      </c>
      <c r="C821" t="s">
        <v>25</v>
      </c>
      <c r="D821">
        <f t="shared" si="27"/>
        <v>2020</v>
      </c>
      <c r="E821">
        <v>85263.7</v>
      </c>
      <c r="F821">
        <v>77893.460500000001</v>
      </c>
    </row>
    <row r="822" spans="1:6" hidden="1" x14ac:dyDescent="0.25">
      <c r="A822">
        <f t="shared" si="26"/>
        <v>31</v>
      </c>
      <c r="B822" s="37">
        <v>43921</v>
      </c>
      <c r="C822" t="s">
        <v>26</v>
      </c>
      <c r="D822">
        <f t="shared" si="27"/>
        <v>2020</v>
      </c>
      <c r="E822">
        <v>87758.89</v>
      </c>
      <c r="F822">
        <v>80270.097699999998</v>
      </c>
    </row>
    <row r="823" spans="1:6" hidden="1" x14ac:dyDescent="0.25">
      <c r="A823">
        <f t="shared" si="26"/>
        <v>1</v>
      </c>
      <c r="B823" s="37">
        <v>43922</v>
      </c>
      <c r="C823" t="s">
        <v>26</v>
      </c>
      <c r="D823">
        <f t="shared" si="27"/>
        <v>2020</v>
      </c>
      <c r="E823">
        <v>88445.96</v>
      </c>
      <c r="F823">
        <v>80945.724499999997</v>
      </c>
    </row>
    <row r="824" spans="1:6" hidden="1" x14ac:dyDescent="0.25">
      <c r="A824">
        <f t="shared" si="26"/>
        <v>2</v>
      </c>
      <c r="B824" s="37">
        <v>43923</v>
      </c>
      <c r="C824" t="s">
        <v>26</v>
      </c>
      <c r="D824">
        <f t="shared" si="27"/>
        <v>2020</v>
      </c>
      <c r="E824">
        <v>90964.69</v>
      </c>
      <c r="F824">
        <v>83375.718999999997</v>
      </c>
    </row>
    <row r="825" spans="1:6" hidden="1" x14ac:dyDescent="0.25">
      <c r="A825">
        <f t="shared" si="26"/>
        <v>3</v>
      </c>
      <c r="B825" s="37">
        <v>43924</v>
      </c>
      <c r="C825" t="s">
        <v>26</v>
      </c>
      <c r="D825">
        <f t="shared" si="27"/>
        <v>2020</v>
      </c>
      <c r="E825">
        <v>97346.44</v>
      </c>
      <c r="F825">
        <v>84693.321100000001</v>
      </c>
    </row>
    <row r="826" spans="1:6" hidden="1" x14ac:dyDescent="0.25">
      <c r="A826">
        <f t="shared" si="26"/>
        <v>4</v>
      </c>
      <c r="B826" s="37">
        <v>43925</v>
      </c>
      <c r="C826" t="s">
        <v>26</v>
      </c>
      <c r="D826">
        <f t="shared" si="27"/>
        <v>2020</v>
      </c>
      <c r="E826">
        <v>97346.44</v>
      </c>
      <c r="F826">
        <v>84693.321100000001</v>
      </c>
    </row>
    <row r="827" spans="1:6" hidden="1" x14ac:dyDescent="0.25">
      <c r="A827">
        <f t="shared" si="26"/>
        <v>5</v>
      </c>
      <c r="B827" s="37">
        <v>43926</v>
      </c>
      <c r="C827" t="s">
        <v>26</v>
      </c>
      <c r="D827">
        <f t="shared" si="27"/>
        <v>2020</v>
      </c>
      <c r="E827">
        <v>97346.44</v>
      </c>
      <c r="F827">
        <v>84693.321100000001</v>
      </c>
    </row>
    <row r="828" spans="1:6" hidden="1" x14ac:dyDescent="0.25">
      <c r="A828">
        <f t="shared" si="26"/>
        <v>6</v>
      </c>
      <c r="B828" s="37">
        <v>43927</v>
      </c>
      <c r="C828" t="s">
        <v>26</v>
      </c>
      <c r="D828">
        <f t="shared" si="27"/>
        <v>2020</v>
      </c>
      <c r="E828">
        <v>104330.34</v>
      </c>
      <c r="F828">
        <v>86657.878899999996</v>
      </c>
    </row>
    <row r="829" spans="1:6" hidden="1" x14ac:dyDescent="0.25">
      <c r="A829">
        <f t="shared" si="26"/>
        <v>7</v>
      </c>
      <c r="B829" s="37">
        <v>43928</v>
      </c>
      <c r="C829" t="s">
        <v>26</v>
      </c>
      <c r="D829">
        <f t="shared" si="27"/>
        <v>2020</v>
      </c>
      <c r="E829">
        <v>110511.6</v>
      </c>
      <c r="F829">
        <v>91832.061100000006</v>
      </c>
    </row>
    <row r="830" spans="1:6" hidden="1" x14ac:dyDescent="0.25">
      <c r="A830">
        <f t="shared" si="26"/>
        <v>8</v>
      </c>
      <c r="B830" s="37">
        <v>43929</v>
      </c>
      <c r="C830" t="s">
        <v>26</v>
      </c>
      <c r="D830">
        <f t="shared" si="27"/>
        <v>2020</v>
      </c>
      <c r="E830">
        <v>117205.79</v>
      </c>
      <c r="F830">
        <v>96632.432400000005</v>
      </c>
    </row>
    <row r="831" spans="1:6" hidden="1" x14ac:dyDescent="0.25">
      <c r="A831">
        <f t="shared" si="26"/>
        <v>9</v>
      </c>
      <c r="B831" s="37">
        <v>43930</v>
      </c>
      <c r="C831" t="s">
        <v>26</v>
      </c>
      <c r="D831">
        <f t="shared" si="27"/>
        <v>2020</v>
      </c>
      <c r="E831">
        <v>117205.79</v>
      </c>
      <c r="F831">
        <v>96632.432400000005</v>
      </c>
    </row>
    <row r="832" spans="1:6" hidden="1" x14ac:dyDescent="0.25">
      <c r="A832">
        <f t="shared" si="26"/>
        <v>10</v>
      </c>
      <c r="B832" s="37">
        <v>43931</v>
      </c>
      <c r="C832" t="s">
        <v>26</v>
      </c>
      <c r="D832">
        <f t="shared" si="27"/>
        <v>2020</v>
      </c>
      <c r="E832">
        <v>117205.79</v>
      </c>
      <c r="F832">
        <v>96632.432400000005</v>
      </c>
    </row>
    <row r="833" spans="1:6" hidden="1" x14ac:dyDescent="0.25">
      <c r="A833">
        <f t="shared" si="26"/>
        <v>11</v>
      </c>
      <c r="B833" s="37">
        <v>43932</v>
      </c>
      <c r="C833" t="s">
        <v>26</v>
      </c>
      <c r="D833">
        <f t="shared" si="27"/>
        <v>2020</v>
      </c>
      <c r="E833">
        <v>117205.79</v>
      </c>
      <c r="F833">
        <v>96632.432400000005</v>
      </c>
    </row>
    <row r="834" spans="1:6" hidden="1" x14ac:dyDescent="0.25">
      <c r="A834">
        <f t="shared" si="26"/>
        <v>12</v>
      </c>
      <c r="B834" s="37">
        <v>43933</v>
      </c>
      <c r="C834" t="s">
        <v>26</v>
      </c>
      <c r="D834">
        <f t="shared" si="27"/>
        <v>2020</v>
      </c>
      <c r="E834">
        <v>117205.79</v>
      </c>
      <c r="F834">
        <v>96632.432400000005</v>
      </c>
    </row>
    <row r="835" spans="1:6" hidden="1" x14ac:dyDescent="0.25">
      <c r="A835">
        <f t="shared" si="26"/>
        <v>13</v>
      </c>
      <c r="B835" s="37">
        <v>43934</v>
      </c>
      <c r="C835" t="s">
        <v>26</v>
      </c>
      <c r="D835">
        <f t="shared" si="27"/>
        <v>2020</v>
      </c>
      <c r="E835">
        <v>132753.21</v>
      </c>
      <c r="F835">
        <v>100980.1296</v>
      </c>
    </row>
    <row r="836" spans="1:6" hidden="1" x14ac:dyDescent="0.25">
      <c r="A836">
        <f t="shared" si="26"/>
        <v>14</v>
      </c>
      <c r="B836" s="37">
        <v>43935</v>
      </c>
      <c r="C836" t="s">
        <v>26</v>
      </c>
      <c r="D836">
        <f t="shared" si="27"/>
        <v>2020</v>
      </c>
      <c r="E836">
        <v>135152.19</v>
      </c>
      <c r="F836">
        <v>105906.6942</v>
      </c>
    </row>
    <row r="837" spans="1:6" hidden="1" x14ac:dyDescent="0.25">
      <c r="A837">
        <f t="shared" si="26"/>
        <v>15</v>
      </c>
      <c r="B837" s="37">
        <v>43936</v>
      </c>
      <c r="C837" t="s">
        <v>26</v>
      </c>
      <c r="D837">
        <f t="shared" si="27"/>
        <v>2020</v>
      </c>
      <c r="E837">
        <v>132952.95000000001</v>
      </c>
      <c r="F837">
        <v>113833.96920000001</v>
      </c>
    </row>
    <row r="838" spans="1:6" hidden="1" x14ac:dyDescent="0.25">
      <c r="A838">
        <f t="shared" si="26"/>
        <v>16</v>
      </c>
      <c r="B838" s="37">
        <v>43937</v>
      </c>
      <c r="C838" t="s">
        <v>26</v>
      </c>
      <c r="D838">
        <f t="shared" si="27"/>
        <v>2020</v>
      </c>
      <c r="E838">
        <v>124790.33</v>
      </c>
      <c r="F838">
        <v>120860.4093</v>
      </c>
    </row>
    <row r="839" spans="1:6" hidden="1" x14ac:dyDescent="0.25">
      <c r="A839">
        <f t="shared" si="26"/>
        <v>17</v>
      </c>
      <c r="B839" s="37">
        <v>43938</v>
      </c>
      <c r="C839" t="s">
        <v>26</v>
      </c>
      <c r="D839">
        <f t="shared" si="27"/>
        <v>2020</v>
      </c>
      <c r="E839">
        <v>126168.76</v>
      </c>
      <c r="F839">
        <v>125975.0892</v>
      </c>
    </row>
    <row r="840" spans="1:6" hidden="1" x14ac:dyDescent="0.25">
      <c r="A840">
        <f t="shared" si="26"/>
        <v>18</v>
      </c>
      <c r="B840" s="37">
        <v>43939</v>
      </c>
      <c r="C840" t="s">
        <v>26</v>
      </c>
      <c r="D840">
        <f t="shared" si="27"/>
        <v>2020</v>
      </c>
      <c r="E840">
        <v>126168.76</v>
      </c>
      <c r="F840">
        <v>125975.0892</v>
      </c>
    </row>
    <row r="841" spans="1:6" hidden="1" x14ac:dyDescent="0.25">
      <c r="A841">
        <f t="shared" si="26"/>
        <v>19</v>
      </c>
      <c r="B841" s="37">
        <v>43940</v>
      </c>
      <c r="C841" t="s">
        <v>26</v>
      </c>
      <c r="D841">
        <f t="shared" si="27"/>
        <v>2020</v>
      </c>
      <c r="E841">
        <v>126168.76</v>
      </c>
      <c r="F841">
        <v>125975.0892</v>
      </c>
    </row>
    <row r="842" spans="1:6" hidden="1" x14ac:dyDescent="0.25">
      <c r="A842">
        <f t="shared" si="26"/>
        <v>20</v>
      </c>
      <c r="B842" s="37">
        <v>43941</v>
      </c>
      <c r="C842" t="s">
        <v>26</v>
      </c>
      <c r="D842">
        <f t="shared" si="27"/>
        <v>2020</v>
      </c>
      <c r="E842">
        <v>141755.19</v>
      </c>
      <c r="F842">
        <v>125574.0328</v>
      </c>
    </row>
    <row r="843" spans="1:6" hidden="1" x14ac:dyDescent="0.25">
      <c r="A843">
        <f t="shared" si="26"/>
        <v>21</v>
      </c>
      <c r="B843" s="37">
        <v>43942</v>
      </c>
      <c r="C843" t="s">
        <v>26</v>
      </c>
      <c r="D843">
        <f t="shared" si="27"/>
        <v>2020</v>
      </c>
      <c r="E843">
        <v>157576.04999999999</v>
      </c>
      <c r="F843">
        <v>128044.2806</v>
      </c>
    </row>
    <row r="844" spans="1:6" hidden="1" x14ac:dyDescent="0.25">
      <c r="A844">
        <f t="shared" si="26"/>
        <v>22</v>
      </c>
      <c r="B844" s="37">
        <v>43943</v>
      </c>
      <c r="C844" t="s">
        <v>26</v>
      </c>
      <c r="D844">
        <f t="shared" si="27"/>
        <v>2020</v>
      </c>
      <c r="E844">
        <v>190020</v>
      </c>
      <c r="F844">
        <v>129093.0684</v>
      </c>
    </row>
    <row r="845" spans="1:6" hidden="1" x14ac:dyDescent="0.25">
      <c r="A845">
        <f t="shared" si="26"/>
        <v>23</v>
      </c>
      <c r="B845" s="37">
        <v>43944</v>
      </c>
      <c r="C845" t="s">
        <v>26</v>
      </c>
      <c r="D845">
        <f t="shared" si="27"/>
        <v>2020</v>
      </c>
      <c r="E845">
        <v>204373.58</v>
      </c>
      <c r="F845">
        <v>144957.19010000001</v>
      </c>
    </row>
    <row r="846" spans="1:6" hidden="1" x14ac:dyDescent="0.25">
      <c r="A846">
        <f t="shared" si="26"/>
        <v>24</v>
      </c>
      <c r="B846" s="37">
        <v>43945</v>
      </c>
      <c r="C846" t="s">
        <v>26</v>
      </c>
      <c r="D846">
        <f t="shared" si="27"/>
        <v>2020</v>
      </c>
      <c r="E846">
        <v>187053.78</v>
      </c>
      <c r="F846">
        <v>171575.50899999999</v>
      </c>
    </row>
    <row r="847" spans="1:6" hidden="1" x14ac:dyDescent="0.25">
      <c r="A847">
        <f t="shared" si="26"/>
        <v>25</v>
      </c>
      <c r="B847" s="37">
        <v>43946</v>
      </c>
      <c r="C847" t="s">
        <v>26</v>
      </c>
      <c r="D847">
        <f t="shared" si="27"/>
        <v>2020</v>
      </c>
      <c r="E847">
        <v>187053.78</v>
      </c>
      <c r="F847">
        <v>171575.50899999999</v>
      </c>
    </row>
    <row r="848" spans="1:6" hidden="1" x14ac:dyDescent="0.25">
      <c r="A848">
        <f t="shared" si="26"/>
        <v>26</v>
      </c>
      <c r="B848" s="37">
        <v>43947</v>
      </c>
      <c r="C848" t="s">
        <v>26</v>
      </c>
      <c r="D848">
        <f t="shared" si="27"/>
        <v>2020</v>
      </c>
      <c r="E848">
        <v>187053.78</v>
      </c>
      <c r="F848">
        <v>171575.50899999999</v>
      </c>
    </row>
    <row r="849" spans="1:6" hidden="1" x14ac:dyDescent="0.25">
      <c r="A849">
        <f t="shared" si="26"/>
        <v>27</v>
      </c>
      <c r="B849" s="37">
        <v>43948</v>
      </c>
      <c r="C849" t="s">
        <v>26</v>
      </c>
      <c r="D849">
        <f t="shared" si="27"/>
        <v>2020</v>
      </c>
      <c r="E849">
        <v>194936.77</v>
      </c>
      <c r="F849">
        <v>171072.85</v>
      </c>
    </row>
    <row r="850" spans="1:6" hidden="1" x14ac:dyDescent="0.25">
      <c r="A850">
        <f t="shared" si="26"/>
        <v>28</v>
      </c>
      <c r="B850" s="37">
        <v>43949</v>
      </c>
      <c r="C850" t="s">
        <v>26</v>
      </c>
      <c r="D850">
        <f t="shared" si="27"/>
        <v>2020</v>
      </c>
      <c r="E850">
        <v>181819.67</v>
      </c>
      <c r="F850">
        <v>170342.6783</v>
      </c>
    </row>
    <row r="851" spans="1:6" hidden="1" x14ac:dyDescent="0.25">
      <c r="A851">
        <f t="shared" si="26"/>
        <v>29</v>
      </c>
      <c r="B851" s="37">
        <v>43950</v>
      </c>
      <c r="C851" t="s">
        <v>26</v>
      </c>
      <c r="D851">
        <f t="shared" si="27"/>
        <v>2020</v>
      </c>
      <c r="E851">
        <v>176038.97</v>
      </c>
      <c r="F851">
        <v>175659.8426</v>
      </c>
    </row>
    <row r="852" spans="1:6" hidden="1" x14ac:dyDescent="0.25">
      <c r="A852">
        <f t="shared" si="26"/>
        <v>30</v>
      </c>
      <c r="B852" s="37">
        <v>43951</v>
      </c>
      <c r="C852" t="s">
        <v>27</v>
      </c>
      <c r="D852">
        <f t="shared" si="27"/>
        <v>2020</v>
      </c>
      <c r="E852">
        <v>176770.96</v>
      </c>
      <c r="F852">
        <v>176563.07190000001</v>
      </c>
    </row>
    <row r="853" spans="1:6" hidden="1" x14ac:dyDescent="0.25">
      <c r="A853">
        <f t="shared" si="26"/>
        <v>1</v>
      </c>
      <c r="B853" s="37">
        <v>43952</v>
      </c>
      <c r="C853" t="s">
        <v>27</v>
      </c>
      <c r="D853">
        <f t="shared" si="27"/>
        <v>2020</v>
      </c>
      <c r="E853">
        <v>176770.96</v>
      </c>
      <c r="F853">
        <v>176538</v>
      </c>
    </row>
    <row r="854" spans="1:6" hidden="1" x14ac:dyDescent="0.25">
      <c r="A854">
        <f t="shared" si="26"/>
        <v>2</v>
      </c>
      <c r="B854" s="37">
        <v>43953</v>
      </c>
      <c r="C854" t="s">
        <v>27</v>
      </c>
      <c r="D854">
        <f t="shared" si="27"/>
        <v>2020</v>
      </c>
      <c r="E854">
        <v>176770.96</v>
      </c>
      <c r="F854">
        <v>176538</v>
      </c>
    </row>
    <row r="855" spans="1:6" hidden="1" x14ac:dyDescent="0.25">
      <c r="A855">
        <f t="shared" si="26"/>
        <v>3</v>
      </c>
      <c r="B855" s="37">
        <v>43954</v>
      </c>
      <c r="C855" t="s">
        <v>27</v>
      </c>
      <c r="D855">
        <f t="shared" si="27"/>
        <v>2020</v>
      </c>
      <c r="E855">
        <v>176770.96</v>
      </c>
      <c r="F855">
        <v>176538</v>
      </c>
    </row>
    <row r="856" spans="1:6" hidden="1" x14ac:dyDescent="0.25">
      <c r="A856">
        <f t="shared" si="26"/>
        <v>4</v>
      </c>
      <c r="B856" s="37">
        <v>43955</v>
      </c>
      <c r="C856" t="s">
        <v>27</v>
      </c>
      <c r="D856">
        <f t="shared" si="27"/>
        <v>2020</v>
      </c>
      <c r="E856">
        <v>174768.37</v>
      </c>
      <c r="F856">
        <v>176538.04029999999</v>
      </c>
    </row>
    <row r="857" spans="1:6" hidden="1" x14ac:dyDescent="0.25">
      <c r="A857">
        <f t="shared" si="26"/>
        <v>5</v>
      </c>
      <c r="B857" s="37">
        <v>43956</v>
      </c>
      <c r="C857" t="s">
        <v>27</v>
      </c>
      <c r="D857">
        <f t="shared" si="27"/>
        <v>2020</v>
      </c>
      <c r="E857">
        <v>163468.51999999999</v>
      </c>
      <c r="F857">
        <v>175414.0816</v>
      </c>
    </row>
    <row r="858" spans="1:6" hidden="1" x14ac:dyDescent="0.25">
      <c r="A858">
        <f t="shared" si="26"/>
        <v>6</v>
      </c>
      <c r="B858" s="37">
        <v>43957</v>
      </c>
      <c r="C858" t="s">
        <v>27</v>
      </c>
      <c r="D858">
        <f t="shared" si="27"/>
        <v>2020</v>
      </c>
      <c r="E858">
        <v>173356.96</v>
      </c>
      <c r="F858">
        <v>172952.82569999999</v>
      </c>
    </row>
    <row r="859" spans="1:6" hidden="1" x14ac:dyDescent="0.25">
      <c r="A859">
        <f t="shared" si="26"/>
        <v>7</v>
      </c>
      <c r="B859" s="37">
        <v>43958</v>
      </c>
      <c r="C859" t="s">
        <v>27</v>
      </c>
      <c r="D859">
        <f t="shared" si="27"/>
        <v>2020</v>
      </c>
      <c r="E859">
        <v>177850.42</v>
      </c>
      <c r="F859">
        <v>169363.88740000001</v>
      </c>
    </row>
    <row r="860" spans="1:6" hidden="1" x14ac:dyDescent="0.25">
      <c r="A860">
        <f t="shared" ref="A860:A923" si="28">DAY(B860)</f>
        <v>8</v>
      </c>
      <c r="B860" s="37">
        <v>43959</v>
      </c>
      <c r="C860" t="s">
        <v>27</v>
      </c>
      <c r="D860">
        <f t="shared" ref="D860:D923" si="29">YEAR(B860)</f>
        <v>2020</v>
      </c>
      <c r="E860">
        <v>181992.36</v>
      </c>
      <c r="F860">
        <v>171874.54639999999</v>
      </c>
    </row>
    <row r="861" spans="1:6" hidden="1" x14ac:dyDescent="0.25">
      <c r="A861">
        <f t="shared" si="28"/>
        <v>9</v>
      </c>
      <c r="B861" s="37">
        <v>43960</v>
      </c>
      <c r="C861" t="s">
        <v>27</v>
      </c>
      <c r="D861">
        <f t="shared" si="29"/>
        <v>2020</v>
      </c>
      <c r="E861">
        <v>181992.36</v>
      </c>
      <c r="F861">
        <v>171874.54639999999</v>
      </c>
    </row>
    <row r="862" spans="1:6" hidden="1" x14ac:dyDescent="0.25">
      <c r="A862">
        <f t="shared" si="28"/>
        <v>10</v>
      </c>
      <c r="B862" s="37">
        <v>43961</v>
      </c>
      <c r="C862" t="s">
        <v>27</v>
      </c>
      <c r="D862">
        <f t="shared" si="29"/>
        <v>2020</v>
      </c>
      <c r="E862">
        <v>181992.36</v>
      </c>
      <c r="F862">
        <v>171874.54639999999</v>
      </c>
    </row>
    <row r="863" spans="1:6" hidden="1" x14ac:dyDescent="0.25">
      <c r="A863">
        <f t="shared" si="28"/>
        <v>11</v>
      </c>
      <c r="B863" s="37">
        <v>43962</v>
      </c>
      <c r="C863" t="s">
        <v>27</v>
      </c>
      <c r="D863">
        <f t="shared" si="29"/>
        <v>2020</v>
      </c>
      <c r="E863">
        <v>178703.57</v>
      </c>
      <c r="F863">
        <v>181675.87659999999</v>
      </c>
    </row>
    <row r="864" spans="1:6" hidden="1" x14ac:dyDescent="0.25">
      <c r="A864">
        <f t="shared" si="28"/>
        <v>12</v>
      </c>
      <c r="B864" s="37">
        <v>43963</v>
      </c>
      <c r="C864" t="s">
        <v>27</v>
      </c>
      <c r="D864">
        <f t="shared" si="29"/>
        <v>2020</v>
      </c>
      <c r="E864">
        <v>177981.9</v>
      </c>
      <c r="F864">
        <v>179041.34390000001</v>
      </c>
    </row>
    <row r="865" spans="1:6" hidden="1" x14ac:dyDescent="0.25">
      <c r="A865">
        <f t="shared" si="28"/>
        <v>13</v>
      </c>
      <c r="B865" s="37">
        <v>43964</v>
      </c>
      <c r="C865" t="s">
        <v>27</v>
      </c>
      <c r="D865">
        <f t="shared" si="29"/>
        <v>2020</v>
      </c>
      <c r="E865">
        <v>186003.14</v>
      </c>
      <c r="F865">
        <v>178532.4412</v>
      </c>
    </row>
    <row r="866" spans="1:6" hidden="1" x14ac:dyDescent="0.25">
      <c r="A866">
        <f t="shared" si="28"/>
        <v>14</v>
      </c>
      <c r="B866" s="37">
        <v>43965</v>
      </c>
      <c r="C866" t="s">
        <v>27</v>
      </c>
      <c r="D866">
        <f t="shared" si="29"/>
        <v>2020</v>
      </c>
      <c r="E866">
        <v>188661.98</v>
      </c>
      <c r="F866">
        <v>179104.5753</v>
      </c>
    </row>
    <row r="867" spans="1:6" hidden="1" x14ac:dyDescent="0.25">
      <c r="A867">
        <f t="shared" si="28"/>
        <v>15</v>
      </c>
      <c r="B867" s="37">
        <v>43966</v>
      </c>
      <c r="C867" t="s">
        <v>27</v>
      </c>
      <c r="D867">
        <f t="shared" si="29"/>
        <v>2020</v>
      </c>
      <c r="E867">
        <v>182495.75</v>
      </c>
      <c r="F867">
        <v>179019.25959999999</v>
      </c>
    </row>
    <row r="868" spans="1:6" hidden="1" x14ac:dyDescent="0.25">
      <c r="A868">
        <f t="shared" si="28"/>
        <v>16</v>
      </c>
      <c r="B868" s="37">
        <v>43967</v>
      </c>
      <c r="C868" t="s">
        <v>27</v>
      </c>
      <c r="D868">
        <f t="shared" si="29"/>
        <v>2020</v>
      </c>
      <c r="E868">
        <v>182495.75</v>
      </c>
      <c r="F868">
        <v>179019.25959999999</v>
      </c>
    </row>
    <row r="869" spans="1:6" hidden="1" x14ac:dyDescent="0.25">
      <c r="A869">
        <f t="shared" si="28"/>
        <v>17</v>
      </c>
      <c r="B869" s="37">
        <v>43968</v>
      </c>
      <c r="C869" t="s">
        <v>27</v>
      </c>
      <c r="D869">
        <f t="shared" si="29"/>
        <v>2020</v>
      </c>
      <c r="E869">
        <v>182495.75</v>
      </c>
      <c r="F869">
        <v>179019.25959999999</v>
      </c>
    </row>
    <row r="870" spans="1:6" hidden="1" x14ac:dyDescent="0.25">
      <c r="A870">
        <f t="shared" si="28"/>
        <v>18</v>
      </c>
      <c r="B870" s="37">
        <v>43969</v>
      </c>
      <c r="C870" t="s">
        <v>27</v>
      </c>
      <c r="D870">
        <f t="shared" si="29"/>
        <v>2020</v>
      </c>
      <c r="E870">
        <v>182033.74</v>
      </c>
      <c r="F870">
        <v>188129.9074</v>
      </c>
    </row>
    <row r="871" spans="1:6" hidden="1" x14ac:dyDescent="0.25">
      <c r="A871">
        <f t="shared" si="28"/>
        <v>19</v>
      </c>
      <c r="B871" s="37">
        <v>43970</v>
      </c>
      <c r="C871" t="s">
        <v>27</v>
      </c>
      <c r="D871">
        <f t="shared" si="29"/>
        <v>2020</v>
      </c>
      <c r="E871">
        <v>184253.64</v>
      </c>
      <c r="F871">
        <v>183533.83410000001</v>
      </c>
    </row>
    <row r="872" spans="1:6" hidden="1" x14ac:dyDescent="0.25">
      <c r="A872">
        <f t="shared" si="28"/>
        <v>20</v>
      </c>
      <c r="B872" s="37">
        <v>43971</v>
      </c>
      <c r="C872" t="s">
        <v>27</v>
      </c>
      <c r="D872">
        <f t="shared" si="29"/>
        <v>2020</v>
      </c>
      <c r="E872">
        <v>191147.73</v>
      </c>
      <c r="F872">
        <v>182834.22459999999</v>
      </c>
    </row>
    <row r="873" spans="1:6" hidden="1" x14ac:dyDescent="0.25">
      <c r="A873">
        <f t="shared" si="28"/>
        <v>21</v>
      </c>
      <c r="B873" s="37">
        <v>43972</v>
      </c>
      <c r="C873" t="s">
        <v>27</v>
      </c>
      <c r="D873">
        <f t="shared" si="29"/>
        <v>2020</v>
      </c>
      <c r="E873">
        <v>200457.91</v>
      </c>
      <c r="F873">
        <v>183337.6012</v>
      </c>
    </row>
    <row r="874" spans="1:6" hidden="1" x14ac:dyDescent="0.25">
      <c r="A874">
        <f t="shared" si="28"/>
        <v>22</v>
      </c>
      <c r="B874" s="37">
        <v>43973</v>
      </c>
      <c r="C874" t="s">
        <v>27</v>
      </c>
      <c r="D874">
        <f t="shared" si="29"/>
        <v>2020</v>
      </c>
      <c r="E874">
        <v>203766.9</v>
      </c>
      <c r="F874">
        <v>183048.29879999999</v>
      </c>
    </row>
    <row r="875" spans="1:6" hidden="1" x14ac:dyDescent="0.25">
      <c r="A875">
        <f t="shared" si="28"/>
        <v>23</v>
      </c>
      <c r="B875" s="37">
        <v>43974</v>
      </c>
      <c r="C875" t="s">
        <v>27</v>
      </c>
      <c r="D875">
        <f t="shared" si="29"/>
        <v>2020</v>
      </c>
      <c r="E875">
        <v>203766.9</v>
      </c>
      <c r="F875">
        <v>183048.29879999999</v>
      </c>
    </row>
    <row r="876" spans="1:6" hidden="1" x14ac:dyDescent="0.25">
      <c r="A876">
        <f t="shared" si="28"/>
        <v>24</v>
      </c>
      <c r="B876" s="37">
        <v>43975</v>
      </c>
      <c r="C876" t="s">
        <v>27</v>
      </c>
      <c r="D876">
        <f t="shared" si="29"/>
        <v>2020</v>
      </c>
      <c r="E876">
        <v>203766.9</v>
      </c>
      <c r="F876">
        <v>183048.29879999999</v>
      </c>
    </row>
    <row r="877" spans="1:6" hidden="1" x14ac:dyDescent="0.25">
      <c r="A877">
        <f t="shared" si="28"/>
        <v>25</v>
      </c>
      <c r="B877" s="37">
        <v>43976</v>
      </c>
      <c r="C877" t="s">
        <v>27</v>
      </c>
      <c r="D877">
        <f t="shared" si="29"/>
        <v>2020</v>
      </c>
      <c r="E877">
        <v>196287.41</v>
      </c>
      <c r="F877">
        <v>183048.29879999999</v>
      </c>
    </row>
    <row r="878" spans="1:6" hidden="1" x14ac:dyDescent="0.25">
      <c r="A878">
        <f t="shared" si="28"/>
        <v>26</v>
      </c>
      <c r="B878" s="37">
        <v>43977</v>
      </c>
      <c r="C878" t="s">
        <v>27</v>
      </c>
      <c r="D878">
        <f t="shared" si="29"/>
        <v>2020</v>
      </c>
      <c r="E878">
        <v>195998.33</v>
      </c>
      <c r="F878">
        <v>197214.9547</v>
      </c>
    </row>
    <row r="879" spans="1:6" hidden="1" x14ac:dyDescent="0.25">
      <c r="A879">
        <f t="shared" si="28"/>
        <v>27</v>
      </c>
      <c r="B879" s="37">
        <v>43978</v>
      </c>
      <c r="C879" t="s">
        <v>27</v>
      </c>
      <c r="D879">
        <f t="shared" si="29"/>
        <v>2020</v>
      </c>
      <c r="E879">
        <v>195863.85</v>
      </c>
      <c r="F879">
        <v>196049.75659999999</v>
      </c>
    </row>
    <row r="880" spans="1:6" hidden="1" x14ac:dyDescent="0.25">
      <c r="A880">
        <f t="shared" si="28"/>
        <v>28</v>
      </c>
      <c r="B880" s="37">
        <v>43979</v>
      </c>
      <c r="C880" t="s">
        <v>27</v>
      </c>
      <c r="D880">
        <f t="shared" si="29"/>
        <v>2020</v>
      </c>
      <c r="E880">
        <v>195865.16</v>
      </c>
      <c r="F880">
        <v>193464.32399999999</v>
      </c>
    </row>
    <row r="881" spans="1:6" hidden="1" x14ac:dyDescent="0.25">
      <c r="A881">
        <f t="shared" si="28"/>
        <v>29</v>
      </c>
      <c r="B881" s="37">
        <v>43980</v>
      </c>
      <c r="C881" t="s">
        <v>27</v>
      </c>
      <c r="D881">
        <f t="shared" si="29"/>
        <v>2020</v>
      </c>
      <c r="E881">
        <v>196268.88</v>
      </c>
      <c r="F881">
        <v>197214.9547</v>
      </c>
    </row>
    <row r="882" spans="1:6" hidden="1" x14ac:dyDescent="0.25">
      <c r="A882">
        <f t="shared" si="28"/>
        <v>30</v>
      </c>
      <c r="B882" s="37">
        <v>43981</v>
      </c>
      <c r="C882" t="s">
        <v>27</v>
      </c>
      <c r="D882">
        <f t="shared" si="29"/>
        <v>2020</v>
      </c>
      <c r="E882">
        <v>196268.88</v>
      </c>
      <c r="F882">
        <v>197214.9547</v>
      </c>
    </row>
    <row r="883" spans="1:6" hidden="1" x14ac:dyDescent="0.25">
      <c r="A883">
        <f t="shared" si="28"/>
        <v>31</v>
      </c>
      <c r="B883" s="37">
        <v>43982</v>
      </c>
      <c r="C883" t="s">
        <v>28</v>
      </c>
      <c r="D883">
        <f t="shared" si="29"/>
        <v>2020</v>
      </c>
      <c r="E883">
        <v>196268.88</v>
      </c>
      <c r="F883">
        <v>197214.9547</v>
      </c>
    </row>
    <row r="884" spans="1:6" hidden="1" x14ac:dyDescent="0.25">
      <c r="A884">
        <f t="shared" si="28"/>
        <v>1</v>
      </c>
      <c r="B884" s="37">
        <v>43983</v>
      </c>
      <c r="C884" t="s">
        <v>28</v>
      </c>
      <c r="D884">
        <f t="shared" si="29"/>
        <v>2020</v>
      </c>
      <c r="E884">
        <v>194126.97</v>
      </c>
      <c r="F884">
        <v>198110.5907</v>
      </c>
    </row>
    <row r="885" spans="1:6" hidden="1" x14ac:dyDescent="0.25">
      <c r="A885">
        <f t="shared" si="28"/>
        <v>2</v>
      </c>
      <c r="B885" s="37">
        <v>43984</v>
      </c>
      <c r="C885" t="s">
        <v>28</v>
      </c>
      <c r="D885">
        <f t="shared" si="29"/>
        <v>2020</v>
      </c>
      <c r="E885">
        <v>193226.96</v>
      </c>
      <c r="F885">
        <v>197794.74220000001</v>
      </c>
    </row>
    <row r="886" spans="1:6" hidden="1" x14ac:dyDescent="0.25">
      <c r="A886">
        <f t="shared" si="28"/>
        <v>3</v>
      </c>
      <c r="B886" s="37">
        <v>43985</v>
      </c>
      <c r="C886" t="s">
        <v>28</v>
      </c>
      <c r="D886">
        <f t="shared" si="29"/>
        <v>2020</v>
      </c>
      <c r="E886">
        <v>193796.19</v>
      </c>
      <c r="F886">
        <v>197189.03959999999</v>
      </c>
    </row>
    <row r="887" spans="1:6" hidden="1" x14ac:dyDescent="0.25">
      <c r="A887">
        <f t="shared" si="28"/>
        <v>4</v>
      </c>
      <c r="B887" s="37">
        <v>43986</v>
      </c>
      <c r="C887" t="s">
        <v>28</v>
      </c>
      <c r="D887">
        <f t="shared" si="29"/>
        <v>2020</v>
      </c>
      <c r="E887">
        <v>192804.04</v>
      </c>
      <c r="F887">
        <v>197515.01010000001</v>
      </c>
    </row>
    <row r="888" spans="1:6" hidden="1" x14ac:dyDescent="0.25">
      <c r="A888">
        <f t="shared" si="28"/>
        <v>5</v>
      </c>
      <c r="B888" s="37">
        <v>43987</v>
      </c>
      <c r="C888" t="s">
        <v>28</v>
      </c>
      <c r="D888">
        <f t="shared" si="29"/>
        <v>2020</v>
      </c>
      <c r="E888">
        <v>193739.33</v>
      </c>
      <c r="F888">
        <v>198651.70499999999</v>
      </c>
    </row>
    <row r="889" spans="1:6" hidden="1" x14ac:dyDescent="0.25">
      <c r="A889">
        <f t="shared" si="28"/>
        <v>6</v>
      </c>
      <c r="B889" s="37">
        <v>43988</v>
      </c>
      <c r="C889" t="s">
        <v>28</v>
      </c>
      <c r="D889">
        <f t="shared" si="29"/>
        <v>2020</v>
      </c>
      <c r="E889">
        <v>193739.33</v>
      </c>
      <c r="F889">
        <v>198651.70499999999</v>
      </c>
    </row>
    <row r="890" spans="1:6" hidden="1" x14ac:dyDescent="0.25">
      <c r="A890">
        <f t="shared" si="28"/>
        <v>7</v>
      </c>
      <c r="B890" s="37">
        <v>43989</v>
      </c>
      <c r="C890" t="s">
        <v>28</v>
      </c>
      <c r="D890">
        <f t="shared" si="29"/>
        <v>2020</v>
      </c>
      <c r="E890">
        <v>193739.33</v>
      </c>
      <c r="F890">
        <v>198651.70499999999</v>
      </c>
    </row>
    <row r="891" spans="1:6" hidden="1" x14ac:dyDescent="0.25">
      <c r="A891">
        <f t="shared" si="28"/>
        <v>8</v>
      </c>
      <c r="B891" s="37">
        <v>43990</v>
      </c>
      <c r="C891" t="s">
        <v>28</v>
      </c>
      <c r="D891">
        <f t="shared" si="29"/>
        <v>2020</v>
      </c>
      <c r="E891">
        <v>195058.81</v>
      </c>
      <c r="F891">
        <v>199030.9333</v>
      </c>
    </row>
    <row r="892" spans="1:6" hidden="1" x14ac:dyDescent="0.25">
      <c r="A892">
        <f t="shared" si="28"/>
        <v>9</v>
      </c>
      <c r="B892" s="37">
        <v>43991</v>
      </c>
      <c r="C892" t="s">
        <v>28</v>
      </c>
      <c r="D892">
        <f t="shared" si="29"/>
        <v>2020</v>
      </c>
      <c r="E892">
        <v>200097.59</v>
      </c>
      <c r="F892">
        <v>198185.10279999999</v>
      </c>
    </row>
    <row r="893" spans="1:6" hidden="1" x14ac:dyDescent="0.25">
      <c r="A893">
        <f t="shared" si="28"/>
        <v>10</v>
      </c>
      <c r="B893" s="37">
        <v>43992</v>
      </c>
      <c r="C893" t="s">
        <v>28</v>
      </c>
      <c r="D893">
        <f t="shared" si="29"/>
        <v>2020</v>
      </c>
      <c r="E893">
        <v>206527.93</v>
      </c>
      <c r="F893">
        <v>197893.70680000001</v>
      </c>
    </row>
    <row r="894" spans="1:6" hidden="1" x14ac:dyDescent="0.25">
      <c r="A894">
        <f t="shared" si="28"/>
        <v>11</v>
      </c>
      <c r="B894" s="37">
        <v>43993</v>
      </c>
      <c r="C894" t="s">
        <v>28</v>
      </c>
      <c r="D894">
        <f t="shared" si="29"/>
        <v>2020</v>
      </c>
      <c r="E894">
        <v>206479.83</v>
      </c>
      <c r="F894">
        <v>201166.30249999999</v>
      </c>
    </row>
    <row r="895" spans="1:6" hidden="1" x14ac:dyDescent="0.25">
      <c r="A895">
        <f t="shared" si="28"/>
        <v>12</v>
      </c>
      <c r="B895" s="37">
        <v>43994</v>
      </c>
      <c r="C895" t="s">
        <v>28</v>
      </c>
      <c r="D895">
        <f t="shared" si="29"/>
        <v>2020</v>
      </c>
      <c r="E895">
        <v>204576.97</v>
      </c>
      <c r="F895">
        <v>202465.5508</v>
      </c>
    </row>
    <row r="896" spans="1:6" hidden="1" x14ac:dyDescent="0.25">
      <c r="A896">
        <f t="shared" si="28"/>
        <v>13</v>
      </c>
      <c r="B896" s="37">
        <v>43995</v>
      </c>
      <c r="C896" t="s">
        <v>28</v>
      </c>
      <c r="D896">
        <f t="shared" si="29"/>
        <v>2020</v>
      </c>
      <c r="E896">
        <v>204576.97</v>
      </c>
      <c r="F896">
        <v>202465.5508</v>
      </c>
    </row>
    <row r="897" spans="1:6" hidden="1" x14ac:dyDescent="0.25">
      <c r="A897">
        <f t="shared" si="28"/>
        <v>14</v>
      </c>
      <c r="B897" s="37">
        <v>43996</v>
      </c>
      <c r="C897" t="s">
        <v>28</v>
      </c>
      <c r="D897">
        <f t="shared" si="29"/>
        <v>2020</v>
      </c>
      <c r="E897">
        <v>204576.97</v>
      </c>
      <c r="F897">
        <v>202465.5508</v>
      </c>
    </row>
    <row r="898" spans="1:6" hidden="1" x14ac:dyDescent="0.25">
      <c r="A898">
        <f t="shared" si="28"/>
        <v>15</v>
      </c>
      <c r="B898" s="37">
        <v>43997</v>
      </c>
      <c r="C898" t="s">
        <v>28</v>
      </c>
      <c r="D898">
        <f t="shared" si="29"/>
        <v>2020</v>
      </c>
      <c r="E898">
        <v>203664</v>
      </c>
      <c r="F898">
        <v>203257.50930000001</v>
      </c>
    </row>
    <row r="899" spans="1:6" hidden="1" x14ac:dyDescent="0.25">
      <c r="A899">
        <f t="shared" si="28"/>
        <v>16</v>
      </c>
      <c r="B899" s="37">
        <v>43998</v>
      </c>
      <c r="C899" t="s">
        <v>28</v>
      </c>
      <c r="D899">
        <f t="shared" si="29"/>
        <v>2020</v>
      </c>
      <c r="E899">
        <v>204016</v>
      </c>
      <c r="F899">
        <v>203505.20670000001</v>
      </c>
    </row>
    <row r="900" spans="1:6" hidden="1" x14ac:dyDescent="0.25">
      <c r="A900">
        <f t="shared" si="28"/>
        <v>17</v>
      </c>
      <c r="B900" s="37">
        <v>43999</v>
      </c>
      <c r="C900" t="s">
        <v>28</v>
      </c>
      <c r="D900">
        <f t="shared" si="29"/>
        <v>2020</v>
      </c>
      <c r="E900">
        <v>203473</v>
      </c>
      <c r="F900">
        <v>203639.64360000001</v>
      </c>
    </row>
    <row r="901" spans="1:6" hidden="1" x14ac:dyDescent="0.25">
      <c r="A901">
        <f t="shared" si="28"/>
        <v>18</v>
      </c>
      <c r="B901" s="37">
        <v>44000</v>
      </c>
      <c r="C901" t="s">
        <v>28</v>
      </c>
      <c r="D901">
        <f t="shared" si="29"/>
        <v>2020</v>
      </c>
      <c r="E901">
        <v>203271</v>
      </c>
      <c r="F901">
        <v>203457.85870000001</v>
      </c>
    </row>
    <row r="902" spans="1:6" hidden="1" x14ac:dyDescent="0.25">
      <c r="A902">
        <f t="shared" si="28"/>
        <v>19</v>
      </c>
      <c r="B902" s="37">
        <v>44001</v>
      </c>
      <c r="C902" t="s">
        <v>28</v>
      </c>
      <c r="D902">
        <f t="shared" si="29"/>
        <v>2020</v>
      </c>
      <c r="E902">
        <v>203129</v>
      </c>
      <c r="F902">
        <v>202883.1937</v>
      </c>
    </row>
    <row r="903" spans="1:6" hidden="1" x14ac:dyDescent="0.25">
      <c r="A903">
        <f t="shared" si="28"/>
        <v>20</v>
      </c>
      <c r="B903" s="37">
        <v>44002</v>
      </c>
      <c r="C903" t="s">
        <v>28</v>
      </c>
      <c r="D903">
        <f t="shared" si="29"/>
        <v>2020</v>
      </c>
      <c r="E903">
        <v>203129</v>
      </c>
      <c r="F903">
        <v>202883.1937</v>
      </c>
    </row>
    <row r="904" spans="1:6" hidden="1" x14ac:dyDescent="0.25">
      <c r="A904">
        <f t="shared" si="28"/>
        <v>21</v>
      </c>
      <c r="B904" s="37">
        <v>44003</v>
      </c>
      <c r="C904" t="s">
        <v>28</v>
      </c>
      <c r="D904">
        <f t="shared" si="29"/>
        <v>2020</v>
      </c>
      <c r="E904">
        <v>203129</v>
      </c>
      <c r="F904">
        <v>202883.1937</v>
      </c>
    </row>
    <row r="905" spans="1:6" hidden="1" x14ac:dyDescent="0.25">
      <c r="A905">
        <f t="shared" si="28"/>
        <v>22</v>
      </c>
      <c r="B905" s="37">
        <v>44004</v>
      </c>
      <c r="C905" t="s">
        <v>28</v>
      </c>
      <c r="D905">
        <f t="shared" si="29"/>
        <v>2020</v>
      </c>
      <c r="E905">
        <v>200981</v>
      </c>
      <c r="F905">
        <v>202838.89120000001</v>
      </c>
    </row>
    <row r="906" spans="1:6" hidden="1" x14ac:dyDescent="0.25">
      <c r="A906">
        <f t="shared" si="28"/>
        <v>23</v>
      </c>
      <c r="B906" s="37">
        <v>44005</v>
      </c>
      <c r="C906" t="s">
        <v>28</v>
      </c>
      <c r="D906">
        <f t="shared" si="29"/>
        <v>2020</v>
      </c>
      <c r="E906">
        <v>202204</v>
      </c>
      <c r="F906">
        <v>201738.57310000001</v>
      </c>
    </row>
    <row r="907" spans="1:6" hidden="1" x14ac:dyDescent="0.25">
      <c r="A907">
        <f t="shared" si="28"/>
        <v>24</v>
      </c>
      <c r="B907" s="37">
        <v>44006</v>
      </c>
      <c r="C907" t="s">
        <v>28</v>
      </c>
      <c r="D907">
        <f t="shared" si="29"/>
        <v>2020</v>
      </c>
      <c r="E907">
        <v>208047</v>
      </c>
      <c r="F907">
        <v>201738.57310000001</v>
      </c>
    </row>
    <row r="908" spans="1:6" hidden="1" x14ac:dyDescent="0.25">
      <c r="A908">
        <f t="shared" si="28"/>
        <v>25</v>
      </c>
      <c r="B908" s="37">
        <v>44007</v>
      </c>
      <c r="C908" t="s">
        <v>28</v>
      </c>
      <c r="D908">
        <f t="shared" si="29"/>
        <v>2020</v>
      </c>
      <c r="E908">
        <v>208771</v>
      </c>
      <c r="F908">
        <v>201961.39869999999</v>
      </c>
    </row>
    <row r="909" spans="1:6" hidden="1" x14ac:dyDescent="0.25">
      <c r="A909">
        <f t="shared" si="28"/>
        <v>26</v>
      </c>
      <c r="B909" s="37">
        <v>44008</v>
      </c>
      <c r="C909" t="s">
        <v>28</v>
      </c>
      <c r="D909">
        <f t="shared" si="29"/>
        <v>2020</v>
      </c>
      <c r="E909">
        <v>211860</v>
      </c>
      <c r="F909">
        <v>202157.01699999999</v>
      </c>
    </row>
    <row r="910" spans="1:6" hidden="1" x14ac:dyDescent="0.25">
      <c r="A910">
        <f t="shared" si="28"/>
        <v>27</v>
      </c>
      <c r="B910" s="37">
        <v>44009</v>
      </c>
      <c r="C910" t="s">
        <v>28</v>
      </c>
      <c r="D910">
        <f t="shared" si="29"/>
        <v>2020</v>
      </c>
      <c r="E910">
        <v>211860</v>
      </c>
      <c r="F910">
        <v>202157.01699999999</v>
      </c>
    </row>
    <row r="911" spans="1:6" hidden="1" x14ac:dyDescent="0.25">
      <c r="A911">
        <f t="shared" si="28"/>
        <v>28</v>
      </c>
      <c r="B911" s="37">
        <v>44010</v>
      </c>
      <c r="C911" t="s">
        <v>28</v>
      </c>
      <c r="D911">
        <f t="shared" si="29"/>
        <v>2020</v>
      </c>
      <c r="E911">
        <v>211860</v>
      </c>
      <c r="F911">
        <v>202157.01699999999</v>
      </c>
    </row>
    <row r="912" spans="1:6" hidden="1" x14ac:dyDescent="0.25">
      <c r="A912">
        <f t="shared" si="28"/>
        <v>29</v>
      </c>
      <c r="B912" s="37">
        <v>44011</v>
      </c>
      <c r="C912" t="s">
        <v>28</v>
      </c>
      <c r="D912">
        <f t="shared" si="29"/>
        <v>2020</v>
      </c>
      <c r="E912">
        <v>213386</v>
      </c>
      <c r="F912">
        <v>202157.01699999999</v>
      </c>
    </row>
    <row r="913" spans="1:6" hidden="1" x14ac:dyDescent="0.25">
      <c r="A913">
        <f t="shared" si="28"/>
        <v>30</v>
      </c>
      <c r="B913" s="37">
        <v>44012</v>
      </c>
      <c r="C913" t="s">
        <v>29</v>
      </c>
      <c r="D913">
        <f t="shared" si="29"/>
        <v>2020</v>
      </c>
      <c r="E913">
        <v>209648.86</v>
      </c>
      <c r="F913">
        <v>202331.51010000001</v>
      </c>
    </row>
    <row r="914" spans="1:6" hidden="1" x14ac:dyDescent="0.25">
      <c r="A914">
        <f t="shared" si="28"/>
        <v>1</v>
      </c>
      <c r="B914" s="37">
        <v>44013</v>
      </c>
      <c r="C914" t="s">
        <v>29</v>
      </c>
      <c r="D914">
        <f t="shared" si="29"/>
        <v>2020</v>
      </c>
      <c r="E914">
        <v>203871.25</v>
      </c>
      <c r="F914">
        <v>204417.69159999999</v>
      </c>
    </row>
    <row r="915" spans="1:6" hidden="1" x14ac:dyDescent="0.25">
      <c r="A915">
        <f t="shared" si="28"/>
        <v>2</v>
      </c>
      <c r="B915" s="37">
        <v>44014</v>
      </c>
      <c r="C915" t="s">
        <v>29</v>
      </c>
      <c r="D915">
        <f t="shared" si="29"/>
        <v>2020</v>
      </c>
      <c r="E915">
        <v>206274.21</v>
      </c>
      <c r="F915">
        <v>205028.17439999999</v>
      </c>
    </row>
    <row r="916" spans="1:6" hidden="1" x14ac:dyDescent="0.25">
      <c r="A916">
        <f t="shared" si="28"/>
        <v>3</v>
      </c>
      <c r="B916" s="37">
        <v>44015</v>
      </c>
      <c r="C916" t="s">
        <v>29</v>
      </c>
      <c r="D916">
        <f t="shared" si="29"/>
        <v>2020</v>
      </c>
      <c r="E916">
        <v>211259.54</v>
      </c>
      <c r="F916">
        <v>205733.56510000001</v>
      </c>
    </row>
    <row r="917" spans="1:6" hidden="1" x14ac:dyDescent="0.25">
      <c r="A917">
        <f t="shared" si="28"/>
        <v>4</v>
      </c>
      <c r="B917" s="37">
        <v>44016</v>
      </c>
      <c r="C917" t="s">
        <v>29</v>
      </c>
      <c r="D917">
        <f t="shared" si="29"/>
        <v>2020</v>
      </c>
      <c r="E917">
        <v>211259.54</v>
      </c>
      <c r="F917">
        <v>205733.56510000001</v>
      </c>
    </row>
    <row r="918" spans="1:6" hidden="1" x14ac:dyDescent="0.25">
      <c r="A918">
        <f t="shared" si="28"/>
        <v>5</v>
      </c>
      <c r="B918" s="37">
        <v>44017</v>
      </c>
      <c r="C918" t="s">
        <v>29</v>
      </c>
      <c r="D918">
        <f t="shared" si="29"/>
        <v>2020</v>
      </c>
      <c r="E918">
        <v>211259.54</v>
      </c>
      <c r="F918">
        <v>205733.56510000001</v>
      </c>
    </row>
    <row r="919" spans="1:6" hidden="1" x14ac:dyDescent="0.25">
      <c r="A919">
        <f t="shared" si="28"/>
        <v>6</v>
      </c>
      <c r="B919" s="37">
        <v>44018</v>
      </c>
      <c r="C919" t="s">
        <v>29</v>
      </c>
      <c r="D919">
        <f t="shared" si="29"/>
        <v>2020</v>
      </c>
      <c r="E919">
        <v>212107.35</v>
      </c>
      <c r="F919">
        <v>206970.56030000001</v>
      </c>
    </row>
    <row r="920" spans="1:6" hidden="1" x14ac:dyDescent="0.25">
      <c r="A920">
        <f t="shared" si="28"/>
        <v>7</v>
      </c>
      <c r="B920" s="37">
        <v>44019</v>
      </c>
      <c r="C920" t="s">
        <v>29</v>
      </c>
      <c r="D920">
        <f t="shared" si="29"/>
        <v>2020</v>
      </c>
      <c r="E920">
        <v>219041.86</v>
      </c>
      <c r="F920">
        <v>207722.2482</v>
      </c>
    </row>
    <row r="921" spans="1:6" hidden="1" x14ac:dyDescent="0.25">
      <c r="A921">
        <f t="shared" si="28"/>
        <v>8</v>
      </c>
      <c r="B921" s="37">
        <v>44020</v>
      </c>
      <c r="C921" t="s">
        <v>29</v>
      </c>
      <c r="D921">
        <f t="shared" si="29"/>
        <v>2020</v>
      </c>
      <c r="E921">
        <v>224614.55</v>
      </c>
      <c r="F921">
        <v>208216.75080000001</v>
      </c>
    </row>
    <row r="922" spans="1:6" hidden="1" x14ac:dyDescent="0.25">
      <c r="A922">
        <f t="shared" si="28"/>
        <v>9</v>
      </c>
      <c r="B922" s="37">
        <v>44021</v>
      </c>
      <c r="C922" t="s">
        <v>29</v>
      </c>
      <c r="D922">
        <f t="shared" si="29"/>
        <v>2020</v>
      </c>
      <c r="E922">
        <v>220036.46</v>
      </c>
      <c r="F922">
        <v>211675.00870000001</v>
      </c>
    </row>
    <row r="923" spans="1:6" hidden="1" x14ac:dyDescent="0.25">
      <c r="A923">
        <f t="shared" si="28"/>
        <v>10</v>
      </c>
      <c r="B923" s="37">
        <v>44022</v>
      </c>
      <c r="C923" t="s">
        <v>29</v>
      </c>
      <c r="D923">
        <f t="shared" si="29"/>
        <v>2020</v>
      </c>
      <c r="E923">
        <v>224664.67</v>
      </c>
      <c r="F923">
        <v>214006.50870000001</v>
      </c>
    </row>
    <row r="924" spans="1:6" hidden="1" x14ac:dyDescent="0.25">
      <c r="A924">
        <f t="shared" ref="A924:A987" si="30">DAY(B924)</f>
        <v>11</v>
      </c>
      <c r="B924" s="37">
        <v>44023</v>
      </c>
      <c r="C924" t="s">
        <v>29</v>
      </c>
      <c r="D924">
        <f t="shared" ref="D924:D987" si="31">YEAR(B924)</f>
        <v>2020</v>
      </c>
      <c r="E924">
        <v>224664.67</v>
      </c>
      <c r="F924">
        <v>214006.50870000001</v>
      </c>
    </row>
    <row r="925" spans="1:6" hidden="1" x14ac:dyDescent="0.25">
      <c r="A925">
        <f t="shared" si="30"/>
        <v>12</v>
      </c>
      <c r="B925" s="37">
        <v>44024</v>
      </c>
      <c r="C925" t="s">
        <v>29</v>
      </c>
      <c r="D925">
        <f t="shared" si="31"/>
        <v>2020</v>
      </c>
      <c r="E925">
        <v>224664.67</v>
      </c>
      <c r="F925">
        <v>214006.50870000001</v>
      </c>
    </row>
    <row r="926" spans="1:6" hidden="1" x14ac:dyDescent="0.25">
      <c r="A926">
        <f t="shared" si="30"/>
        <v>13</v>
      </c>
      <c r="B926" s="37">
        <v>44025</v>
      </c>
      <c r="C926" t="s">
        <v>29</v>
      </c>
      <c r="D926">
        <f t="shared" si="31"/>
        <v>2020</v>
      </c>
      <c r="E926">
        <v>229332.33</v>
      </c>
      <c r="F926">
        <v>215992.72140000001</v>
      </c>
    </row>
    <row r="927" spans="1:6" hidden="1" x14ac:dyDescent="0.25">
      <c r="A927">
        <f t="shared" si="30"/>
        <v>14</v>
      </c>
      <c r="B927" s="37">
        <v>44026</v>
      </c>
      <c r="C927" t="s">
        <v>29</v>
      </c>
      <c r="D927">
        <f t="shared" si="31"/>
        <v>2020</v>
      </c>
      <c r="E927">
        <v>230502.72</v>
      </c>
      <c r="F927">
        <v>216906.42850000001</v>
      </c>
    </row>
    <row r="928" spans="1:6" hidden="1" x14ac:dyDescent="0.25">
      <c r="A928">
        <f t="shared" si="30"/>
        <v>15</v>
      </c>
      <c r="B928" s="37">
        <v>44027</v>
      </c>
      <c r="C928" t="s">
        <v>29</v>
      </c>
      <c r="D928">
        <f t="shared" si="31"/>
        <v>2020</v>
      </c>
      <c r="E928">
        <v>230769.71</v>
      </c>
      <c r="F928">
        <v>219799.4497</v>
      </c>
    </row>
    <row r="929" spans="1:6" hidden="1" x14ac:dyDescent="0.25">
      <c r="A929">
        <f t="shared" si="30"/>
        <v>16</v>
      </c>
      <c r="B929" s="37">
        <v>44028</v>
      </c>
      <c r="C929" t="s">
        <v>29</v>
      </c>
      <c r="D929">
        <f t="shared" si="31"/>
        <v>2020</v>
      </c>
      <c r="E929">
        <v>233528.72</v>
      </c>
      <c r="F929">
        <v>220983.8278</v>
      </c>
    </row>
    <row r="930" spans="1:6" hidden="1" x14ac:dyDescent="0.25">
      <c r="A930">
        <f t="shared" si="30"/>
        <v>17</v>
      </c>
      <c r="B930" s="37">
        <v>44029</v>
      </c>
      <c r="C930" t="s">
        <v>29</v>
      </c>
      <c r="D930">
        <f t="shared" si="31"/>
        <v>2020</v>
      </c>
      <c r="E930">
        <v>239365.18</v>
      </c>
      <c r="F930">
        <v>223823.8224</v>
      </c>
    </row>
    <row r="931" spans="1:6" hidden="1" x14ac:dyDescent="0.25">
      <c r="A931">
        <f t="shared" si="30"/>
        <v>18</v>
      </c>
      <c r="B931" s="37">
        <v>44030</v>
      </c>
      <c r="C931" t="s">
        <v>29</v>
      </c>
      <c r="D931">
        <f t="shared" si="31"/>
        <v>2020</v>
      </c>
      <c r="E931">
        <v>239365.18</v>
      </c>
      <c r="F931">
        <v>223823.8224</v>
      </c>
    </row>
    <row r="932" spans="1:6" hidden="1" x14ac:dyDescent="0.25">
      <c r="A932">
        <f t="shared" si="30"/>
        <v>19</v>
      </c>
      <c r="B932" s="37">
        <v>44031</v>
      </c>
      <c r="C932" t="s">
        <v>29</v>
      </c>
      <c r="D932">
        <f t="shared" si="31"/>
        <v>2020</v>
      </c>
      <c r="E932">
        <v>239365.18</v>
      </c>
      <c r="F932">
        <v>223823.8224</v>
      </c>
    </row>
    <row r="933" spans="1:6" hidden="1" x14ac:dyDescent="0.25">
      <c r="A933">
        <f t="shared" si="30"/>
        <v>20</v>
      </c>
      <c r="B933" s="37">
        <v>44032</v>
      </c>
      <c r="C933" t="s">
        <v>29</v>
      </c>
      <c r="D933">
        <f t="shared" si="31"/>
        <v>2020</v>
      </c>
      <c r="E933">
        <v>241970.2</v>
      </c>
      <c r="F933">
        <v>226660.25039999999</v>
      </c>
    </row>
    <row r="934" spans="1:6" hidden="1" x14ac:dyDescent="0.25">
      <c r="A934">
        <f t="shared" si="30"/>
        <v>21</v>
      </c>
      <c r="B934" s="37">
        <v>44033</v>
      </c>
      <c r="C934" t="s">
        <v>29</v>
      </c>
      <c r="D934">
        <f t="shared" si="31"/>
        <v>2020</v>
      </c>
      <c r="E934">
        <v>249016.63</v>
      </c>
      <c r="F934">
        <v>228860.13630000001</v>
      </c>
    </row>
    <row r="935" spans="1:6" hidden="1" x14ac:dyDescent="0.25">
      <c r="A935">
        <f t="shared" si="30"/>
        <v>22</v>
      </c>
      <c r="B935" s="37">
        <v>44034</v>
      </c>
      <c r="C935" t="s">
        <v>29</v>
      </c>
      <c r="D935">
        <f t="shared" si="31"/>
        <v>2020</v>
      </c>
      <c r="E935">
        <v>257386.64</v>
      </c>
      <c r="F935">
        <v>231749.70180000001</v>
      </c>
    </row>
    <row r="936" spans="1:6" hidden="1" x14ac:dyDescent="0.25">
      <c r="A936">
        <f t="shared" si="30"/>
        <v>23</v>
      </c>
      <c r="B936" s="37">
        <v>44035</v>
      </c>
      <c r="C936" t="s">
        <v>29</v>
      </c>
      <c r="D936">
        <f t="shared" si="31"/>
        <v>2020</v>
      </c>
      <c r="E936">
        <v>261063.43</v>
      </c>
      <c r="F936">
        <v>237210.18530000001</v>
      </c>
    </row>
    <row r="937" spans="1:6" hidden="1" x14ac:dyDescent="0.25">
      <c r="A937">
        <f t="shared" si="30"/>
        <v>24</v>
      </c>
      <c r="B937" s="37">
        <v>44036</v>
      </c>
      <c r="C937" t="s">
        <v>29</v>
      </c>
      <c r="D937">
        <f t="shared" si="31"/>
        <v>2020</v>
      </c>
      <c r="E937">
        <v>265289.15999999997</v>
      </c>
      <c r="F937">
        <v>237210.18530000001</v>
      </c>
    </row>
    <row r="938" spans="1:6" hidden="1" x14ac:dyDescent="0.25">
      <c r="A938">
        <f t="shared" si="30"/>
        <v>25</v>
      </c>
      <c r="B938" s="37">
        <v>44037</v>
      </c>
      <c r="C938" t="s">
        <v>29</v>
      </c>
      <c r="D938">
        <f t="shared" si="31"/>
        <v>2020</v>
      </c>
      <c r="E938">
        <v>265289.15999999997</v>
      </c>
      <c r="F938">
        <v>237210.18530000001</v>
      </c>
    </row>
    <row r="939" spans="1:6" hidden="1" x14ac:dyDescent="0.25">
      <c r="A939">
        <f t="shared" si="30"/>
        <v>26</v>
      </c>
      <c r="B939" s="37">
        <v>44038</v>
      </c>
      <c r="C939" t="s">
        <v>29</v>
      </c>
      <c r="D939">
        <f t="shared" si="31"/>
        <v>2020</v>
      </c>
      <c r="E939">
        <v>265289.15999999997</v>
      </c>
      <c r="F939">
        <v>237210.18530000001</v>
      </c>
    </row>
    <row r="940" spans="1:6" hidden="1" x14ac:dyDescent="0.25">
      <c r="A940">
        <f t="shared" si="30"/>
        <v>27</v>
      </c>
      <c r="B940" s="37">
        <v>44039</v>
      </c>
      <c r="C940" t="s">
        <v>29</v>
      </c>
      <c r="D940">
        <f t="shared" si="31"/>
        <v>2020</v>
      </c>
      <c r="E940">
        <v>258668.61</v>
      </c>
      <c r="F940">
        <v>241970.78090000001</v>
      </c>
    </row>
    <row r="941" spans="1:6" hidden="1" x14ac:dyDescent="0.25">
      <c r="A941">
        <f t="shared" si="30"/>
        <v>28</v>
      </c>
      <c r="B941" s="37">
        <v>44040</v>
      </c>
      <c r="C941" t="s">
        <v>29</v>
      </c>
      <c r="D941">
        <f t="shared" si="31"/>
        <v>2020</v>
      </c>
      <c r="E941">
        <v>255491.18</v>
      </c>
      <c r="F941">
        <v>245056.03</v>
      </c>
    </row>
    <row r="942" spans="1:6" hidden="1" x14ac:dyDescent="0.25">
      <c r="A942">
        <f t="shared" si="30"/>
        <v>29</v>
      </c>
      <c r="B942" s="37">
        <v>44041</v>
      </c>
      <c r="C942" t="s">
        <v>29</v>
      </c>
      <c r="D942">
        <f t="shared" si="31"/>
        <v>2020</v>
      </c>
      <c r="E942">
        <v>260092.06</v>
      </c>
      <c r="F942">
        <v>249580.48</v>
      </c>
    </row>
    <row r="943" spans="1:6" hidden="1" x14ac:dyDescent="0.25">
      <c r="A943">
        <f t="shared" si="30"/>
        <v>30</v>
      </c>
      <c r="B943" s="37">
        <v>44042</v>
      </c>
      <c r="C943" t="s">
        <v>29</v>
      </c>
      <c r="D943">
        <f t="shared" si="31"/>
        <v>2020</v>
      </c>
      <c r="E943">
        <v>269452.74</v>
      </c>
      <c r="F943">
        <v>249681.54</v>
      </c>
    </row>
    <row r="944" spans="1:6" hidden="1" x14ac:dyDescent="0.25">
      <c r="A944">
        <f t="shared" si="30"/>
        <v>31</v>
      </c>
      <c r="B944" s="37">
        <v>44043</v>
      </c>
      <c r="C944" t="s">
        <v>30</v>
      </c>
      <c r="D944">
        <f t="shared" si="31"/>
        <v>2020</v>
      </c>
      <c r="E944">
        <v>267102.31</v>
      </c>
      <c r="F944">
        <v>258364.81200000001</v>
      </c>
    </row>
    <row r="945" spans="1:6" hidden="1" x14ac:dyDescent="0.25">
      <c r="A945">
        <f t="shared" si="30"/>
        <v>1</v>
      </c>
      <c r="B945" s="37">
        <v>44044</v>
      </c>
      <c r="C945" t="s">
        <v>30</v>
      </c>
      <c r="D945">
        <f t="shared" si="31"/>
        <v>2020</v>
      </c>
      <c r="E945">
        <v>267102.31</v>
      </c>
      <c r="F945">
        <v>258364.81200000001</v>
      </c>
    </row>
    <row r="946" spans="1:6" hidden="1" x14ac:dyDescent="0.25">
      <c r="A946">
        <f t="shared" si="30"/>
        <v>2</v>
      </c>
      <c r="B946" s="37">
        <v>44045</v>
      </c>
      <c r="C946" t="s">
        <v>30</v>
      </c>
      <c r="D946">
        <f t="shared" si="31"/>
        <v>2020</v>
      </c>
      <c r="E946">
        <v>267102.31</v>
      </c>
      <c r="F946">
        <v>258364.81200000001</v>
      </c>
    </row>
    <row r="947" spans="1:6" hidden="1" x14ac:dyDescent="0.25">
      <c r="A947">
        <f t="shared" si="30"/>
        <v>3</v>
      </c>
      <c r="B947" s="37">
        <v>44046</v>
      </c>
      <c r="C947" t="s">
        <v>30</v>
      </c>
      <c r="D947">
        <f t="shared" si="31"/>
        <v>2020</v>
      </c>
      <c r="E947">
        <v>263659.40000000002</v>
      </c>
      <c r="F947">
        <v>259096.0901</v>
      </c>
    </row>
    <row r="948" spans="1:6" hidden="1" x14ac:dyDescent="0.25">
      <c r="A948">
        <f t="shared" si="30"/>
        <v>4</v>
      </c>
      <c r="B948" s="37">
        <v>44047</v>
      </c>
      <c r="C948" t="s">
        <v>30</v>
      </c>
      <c r="D948">
        <f t="shared" si="31"/>
        <v>2020</v>
      </c>
      <c r="E948">
        <v>266749.46000000002</v>
      </c>
      <c r="F948">
        <v>262561.2438</v>
      </c>
    </row>
    <row r="949" spans="1:6" hidden="1" x14ac:dyDescent="0.25">
      <c r="A949">
        <f t="shared" si="30"/>
        <v>5</v>
      </c>
      <c r="B949" s="37">
        <v>44048</v>
      </c>
      <c r="C949" t="s">
        <v>30</v>
      </c>
      <c r="D949">
        <f t="shared" si="31"/>
        <v>2020</v>
      </c>
      <c r="E949">
        <v>274805.52</v>
      </c>
      <c r="F949">
        <v>263070.17</v>
      </c>
    </row>
    <row r="950" spans="1:6" hidden="1" x14ac:dyDescent="0.25">
      <c r="A950">
        <f t="shared" si="30"/>
        <v>6</v>
      </c>
      <c r="B950" s="37">
        <v>44049</v>
      </c>
      <c r="C950" t="s">
        <v>30</v>
      </c>
      <c r="D950">
        <f t="shared" si="31"/>
        <v>2020</v>
      </c>
      <c r="E950">
        <v>285106.12</v>
      </c>
      <c r="F950">
        <v>265597.90610000002</v>
      </c>
    </row>
    <row r="951" spans="1:6" hidden="1" x14ac:dyDescent="0.25">
      <c r="A951">
        <f t="shared" si="30"/>
        <v>7</v>
      </c>
      <c r="B951" s="37">
        <v>44050</v>
      </c>
      <c r="C951" t="s">
        <v>30</v>
      </c>
      <c r="D951">
        <f t="shared" si="31"/>
        <v>2020</v>
      </c>
      <c r="E951">
        <v>293954.96999999997</v>
      </c>
      <c r="F951">
        <v>271032.21779999998</v>
      </c>
    </row>
    <row r="952" spans="1:6" hidden="1" x14ac:dyDescent="0.25">
      <c r="A952">
        <f t="shared" si="30"/>
        <v>8</v>
      </c>
      <c r="B952" s="37">
        <v>44051</v>
      </c>
      <c r="C952" t="s">
        <v>30</v>
      </c>
      <c r="D952">
        <f t="shared" si="31"/>
        <v>2020</v>
      </c>
      <c r="E952">
        <v>293954.96999999997</v>
      </c>
      <c r="F952">
        <v>271032.21779999998</v>
      </c>
    </row>
    <row r="953" spans="1:6" hidden="1" x14ac:dyDescent="0.25">
      <c r="A953">
        <f t="shared" si="30"/>
        <v>9</v>
      </c>
      <c r="B953" s="37">
        <v>44052</v>
      </c>
      <c r="C953" t="s">
        <v>30</v>
      </c>
      <c r="D953">
        <f t="shared" si="31"/>
        <v>2020</v>
      </c>
      <c r="E953">
        <v>293954.96999999997</v>
      </c>
      <c r="F953">
        <v>271032.21779999998</v>
      </c>
    </row>
    <row r="954" spans="1:6" hidden="1" x14ac:dyDescent="0.25">
      <c r="A954">
        <f t="shared" si="30"/>
        <v>10</v>
      </c>
      <c r="B954" s="37">
        <v>44053</v>
      </c>
      <c r="C954" t="s">
        <v>30</v>
      </c>
      <c r="D954">
        <f t="shared" si="31"/>
        <v>2020</v>
      </c>
      <c r="E954">
        <v>288575.90999999997</v>
      </c>
      <c r="F954">
        <v>278038.64769999997</v>
      </c>
    </row>
    <row r="955" spans="1:6" hidden="1" x14ac:dyDescent="0.25">
      <c r="A955">
        <f t="shared" si="30"/>
        <v>11</v>
      </c>
      <c r="B955" s="37">
        <v>44054</v>
      </c>
      <c r="C955" t="s">
        <v>30</v>
      </c>
      <c r="D955">
        <f t="shared" si="31"/>
        <v>2020</v>
      </c>
      <c r="E955">
        <v>276205.34999999998</v>
      </c>
      <c r="F955">
        <v>284601.26850000001</v>
      </c>
    </row>
    <row r="956" spans="1:6" hidden="1" x14ac:dyDescent="0.25">
      <c r="A956">
        <f t="shared" si="30"/>
        <v>12</v>
      </c>
      <c r="B956" s="37">
        <v>44055</v>
      </c>
      <c r="C956" t="s">
        <v>30</v>
      </c>
      <c r="D956">
        <f t="shared" si="31"/>
        <v>2020</v>
      </c>
      <c r="E956">
        <v>286783.96999999997</v>
      </c>
      <c r="F956">
        <v>284125.31280000001</v>
      </c>
    </row>
    <row r="957" spans="1:6" hidden="1" x14ac:dyDescent="0.25">
      <c r="A957">
        <f t="shared" si="30"/>
        <v>13</v>
      </c>
      <c r="B957" s="37">
        <v>44056</v>
      </c>
      <c r="C957" t="s">
        <v>30</v>
      </c>
      <c r="D957">
        <f t="shared" si="31"/>
        <v>2020</v>
      </c>
      <c r="E957">
        <v>300627.55</v>
      </c>
      <c r="F957">
        <v>284003.01539999997</v>
      </c>
    </row>
    <row r="958" spans="1:6" hidden="1" x14ac:dyDescent="0.25">
      <c r="A958">
        <f t="shared" si="30"/>
        <v>14</v>
      </c>
      <c r="B958" s="37">
        <v>44057</v>
      </c>
      <c r="C958" t="s">
        <v>30</v>
      </c>
      <c r="D958">
        <f t="shared" si="31"/>
        <v>2020</v>
      </c>
      <c r="E958">
        <v>296503.56</v>
      </c>
      <c r="F958">
        <v>287367.73479999998</v>
      </c>
    </row>
    <row r="959" spans="1:6" hidden="1" x14ac:dyDescent="0.25">
      <c r="A959">
        <f t="shared" si="30"/>
        <v>15</v>
      </c>
      <c r="B959" s="37">
        <v>44058</v>
      </c>
      <c r="C959" t="s">
        <v>30</v>
      </c>
      <c r="D959">
        <f t="shared" si="31"/>
        <v>2020</v>
      </c>
      <c r="E959">
        <v>286622.21999999997</v>
      </c>
      <c r="F959">
        <v>287367.73479999998</v>
      </c>
    </row>
    <row r="960" spans="1:6" hidden="1" x14ac:dyDescent="0.25">
      <c r="A960">
        <f t="shared" si="30"/>
        <v>16</v>
      </c>
      <c r="B960" s="37">
        <v>44059</v>
      </c>
      <c r="C960" t="s">
        <v>30</v>
      </c>
      <c r="D960">
        <f t="shared" si="31"/>
        <v>2020</v>
      </c>
      <c r="E960">
        <v>286622.21999999997</v>
      </c>
      <c r="F960">
        <v>287367.73479999998</v>
      </c>
    </row>
    <row r="961" spans="1:6" hidden="1" x14ac:dyDescent="0.25">
      <c r="A961">
        <f t="shared" si="30"/>
        <v>17</v>
      </c>
      <c r="B961" s="37">
        <v>44060</v>
      </c>
      <c r="C961" t="s">
        <v>30</v>
      </c>
      <c r="D961">
        <f t="shared" si="31"/>
        <v>2020</v>
      </c>
      <c r="E961">
        <v>286622.21999999997</v>
      </c>
      <c r="F961">
        <v>294657.38900000002</v>
      </c>
    </row>
    <row r="962" spans="1:6" hidden="1" x14ac:dyDescent="0.25">
      <c r="A962">
        <f t="shared" si="30"/>
        <v>18</v>
      </c>
      <c r="B962" s="37">
        <v>44061</v>
      </c>
      <c r="C962" t="s">
        <v>30</v>
      </c>
      <c r="D962">
        <f t="shared" si="31"/>
        <v>2020</v>
      </c>
      <c r="E962">
        <v>298140.24</v>
      </c>
      <c r="F962">
        <v>290276.44170000002</v>
      </c>
    </row>
    <row r="963" spans="1:6" hidden="1" x14ac:dyDescent="0.25">
      <c r="A963">
        <f t="shared" si="30"/>
        <v>19</v>
      </c>
      <c r="B963" s="37">
        <v>44062</v>
      </c>
      <c r="C963" t="s">
        <v>30</v>
      </c>
      <c r="D963">
        <f t="shared" si="31"/>
        <v>2020</v>
      </c>
      <c r="E963">
        <v>311879.95</v>
      </c>
      <c r="F963">
        <v>292528.13270000002</v>
      </c>
    </row>
    <row r="964" spans="1:6" hidden="1" x14ac:dyDescent="0.25">
      <c r="A964">
        <f t="shared" si="30"/>
        <v>20</v>
      </c>
      <c r="B964" s="37">
        <v>44063</v>
      </c>
      <c r="C964" t="s">
        <v>30</v>
      </c>
      <c r="D964">
        <f t="shared" si="31"/>
        <v>2020</v>
      </c>
      <c r="E964">
        <v>308859.17</v>
      </c>
      <c r="F964">
        <v>296769.19400000002</v>
      </c>
    </row>
    <row r="965" spans="1:6" hidden="1" x14ac:dyDescent="0.25">
      <c r="A965">
        <f t="shared" si="30"/>
        <v>21</v>
      </c>
      <c r="B965" s="37">
        <v>44064</v>
      </c>
      <c r="C965" t="s">
        <v>30</v>
      </c>
      <c r="D965">
        <f t="shared" si="31"/>
        <v>2020</v>
      </c>
      <c r="E965">
        <v>307452.33</v>
      </c>
      <c r="F965">
        <v>303537.9987</v>
      </c>
    </row>
    <row r="966" spans="1:6" hidden="1" x14ac:dyDescent="0.25">
      <c r="A966">
        <f t="shared" si="30"/>
        <v>22</v>
      </c>
      <c r="B966" s="37">
        <v>44065</v>
      </c>
      <c r="C966" t="s">
        <v>30</v>
      </c>
      <c r="D966">
        <f t="shared" si="31"/>
        <v>2020</v>
      </c>
      <c r="E966">
        <v>312079.98</v>
      </c>
      <c r="F966">
        <v>303537.9987</v>
      </c>
    </row>
    <row r="967" spans="1:6" hidden="1" x14ac:dyDescent="0.25">
      <c r="A967">
        <f t="shared" si="30"/>
        <v>23</v>
      </c>
      <c r="B967" s="37">
        <v>44066</v>
      </c>
      <c r="C967" t="s">
        <v>30</v>
      </c>
      <c r="D967">
        <f t="shared" si="31"/>
        <v>2020</v>
      </c>
      <c r="E967">
        <v>312079.98</v>
      </c>
      <c r="F967">
        <v>303537.9987</v>
      </c>
    </row>
    <row r="968" spans="1:6" hidden="1" x14ac:dyDescent="0.25">
      <c r="A968">
        <f t="shared" si="30"/>
        <v>24</v>
      </c>
      <c r="B968" s="37">
        <v>44067</v>
      </c>
      <c r="C968" t="s">
        <v>30</v>
      </c>
      <c r="D968">
        <f t="shared" si="31"/>
        <v>2020</v>
      </c>
      <c r="E968">
        <v>312079.98</v>
      </c>
      <c r="F968">
        <v>305452.45789999998</v>
      </c>
    </row>
    <row r="969" spans="1:6" hidden="1" x14ac:dyDescent="0.25">
      <c r="A969">
        <f t="shared" si="30"/>
        <v>25</v>
      </c>
      <c r="B969" s="37">
        <v>44068</v>
      </c>
      <c r="C969" t="s">
        <v>30</v>
      </c>
      <c r="D969">
        <f t="shared" si="31"/>
        <v>2020</v>
      </c>
      <c r="E969">
        <v>316360.77</v>
      </c>
      <c r="F969">
        <v>306257.2548</v>
      </c>
    </row>
    <row r="970" spans="1:6" hidden="1" x14ac:dyDescent="0.25">
      <c r="A970">
        <f t="shared" si="30"/>
        <v>26</v>
      </c>
      <c r="B970" s="37">
        <v>44069</v>
      </c>
      <c r="C970" t="s">
        <v>30</v>
      </c>
      <c r="D970">
        <f t="shared" si="31"/>
        <v>2020</v>
      </c>
      <c r="E970">
        <v>324663.52</v>
      </c>
      <c r="F970">
        <v>307991.14140000002</v>
      </c>
    </row>
    <row r="971" spans="1:6" hidden="1" x14ac:dyDescent="0.25">
      <c r="A971">
        <f t="shared" si="30"/>
        <v>27</v>
      </c>
      <c r="B971" s="37">
        <v>44070</v>
      </c>
      <c r="C971" t="s">
        <v>30</v>
      </c>
      <c r="D971">
        <f t="shared" si="31"/>
        <v>2020</v>
      </c>
      <c r="E971">
        <v>340379.72</v>
      </c>
      <c r="F971">
        <v>312841.76319999999</v>
      </c>
    </row>
    <row r="972" spans="1:6" hidden="1" x14ac:dyDescent="0.25">
      <c r="A972">
        <f t="shared" si="30"/>
        <v>28</v>
      </c>
      <c r="B972" s="37">
        <v>44071</v>
      </c>
      <c r="C972" t="s">
        <v>30</v>
      </c>
      <c r="D972">
        <f t="shared" si="31"/>
        <v>2020</v>
      </c>
      <c r="E972">
        <v>328457.28000000003</v>
      </c>
      <c r="F972">
        <v>316590.04790000001</v>
      </c>
    </row>
    <row r="973" spans="1:6" hidden="1" x14ac:dyDescent="0.25">
      <c r="A973">
        <f t="shared" si="30"/>
        <v>29</v>
      </c>
      <c r="B973" s="37">
        <v>44072</v>
      </c>
      <c r="C973" t="s">
        <v>30</v>
      </c>
      <c r="D973">
        <f t="shared" si="31"/>
        <v>2020</v>
      </c>
      <c r="E973">
        <v>341447.85</v>
      </c>
      <c r="F973">
        <v>316590.04790000001</v>
      </c>
    </row>
    <row r="974" spans="1:6" hidden="1" x14ac:dyDescent="0.25">
      <c r="A974">
        <f t="shared" si="30"/>
        <v>30</v>
      </c>
      <c r="B974" s="37">
        <v>44073</v>
      </c>
      <c r="C974" t="s">
        <v>30</v>
      </c>
      <c r="D974">
        <f t="shared" si="31"/>
        <v>2020</v>
      </c>
      <c r="E974">
        <v>341447.85</v>
      </c>
      <c r="F974">
        <v>316590.04790000001</v>
      </c>
    </row>
    <row r="975" spans="1:6" hidden="1" x14ac:dyDescent="0.25">
      <c r="A975">
        <f t="shared" si="30"/>
        <v>31</v>
      </c>
      <c r="B975" s="37">
        <v>44074</v>
      </c>
      <c r="C975" t="s">
        <v>31</v>
      </c>
      <c r="D975">
        <f t="shared" si="31"/>
        <v>2020</v>
      </c>
      <c r="E975">
        <v>341447.85</v>
      </c>
      <c r="F975">
        <v>324611.69559999998</v>
      </c>
    </row>
    <row r="976" spans="1:6" hidden="1" x14ac:dyDescent="0.25">
      <c r="A976">
        <f t="shared" si="30"/>
        <v>1</v>
      </c>
      <c r="B976" s="37">
        <v>44075</v>
      </c>
      <c r="C976" t="s">
        <v>31</v>
      </c>
      <c r="D976">
        <f t="shared" si="31"/>
        <v>2020</v>
      </c>
      <c r="E976">
        <v>341117.6</v>
      </c>
      <c r="F976">
        <v>327748.89030000003</v>
      </c>
    </row>
    <row r="977" spans="1:6" hidden="1" x14ac:dyDescent="0.25">
      <c r="A977">
        <f t="shared" si="30"/>
        <v>2</v>
      </c>
      <c r="B977" s="37">
        <v>44076</v>
      </c>
      <c r="C977" t="s">
        <v>31</v>
      </c>
      <c r="D977">
        <f t="shared" si="31"/>
        <v>2020</v>
      </c>
      <c r="E977">
        <v>341318.26</v>
      </c>
      <c r="F977">
        <v>329553.29830000002</v>
      </c>
    </row>
    <row r="978" spans="1:6" hidden="1" x14ac:dyDescent="0.25">
      <c r="A978">
        <f t="shared" si="30"/>
        <v>3</v>
      </c>
      <c r="B978" s="37">
        <v>44077</v>
      </c>
      <c r="C978" t="s">
        <v>31</v>
      </c>
      <c r="D978">
        <f t="shared" si="31"/>
        <v>2020</v>
      </c>
      <c r="E978">
        <v>360079.67</v>
      </c>
      <c r="F978">
        <v>335021.05900000001</v>
      </c>
    </row>
    <row r="979" spans="1:6" hidden="1" x14ac:dyDescent="0.25">
      <c r="A979">
        <f t="shared" si="30"/>
        <v>4</v>
      </c>
      <c r="B979" s="37">
        <v>44078</v>
      </c>
      <c r="C979" t="s">
        <v>31</v>
      </c>
      <c r="D979">
        <f t="shared" si="31"/>
        <v>2020</v>
      </c>
      <c r="E979">
        <v>362119.47</v>
      </c>
      <c r="F979">
        <v>338778.05479999998</v>
      </c>
    </row>
    <row r="980" spans="1:6" hidden="1" x14ac:dyDescent="0.25">
      <c r="A980">
        <f t="shared" si="30"/>
        <v>5</v>
      </c>
      <c r="B980" s="37">
        <v>44079</v>
      </c>
      <c r="C980" t="s">
        <v>31</v>
      </c>
      <c r="D980">
        <f t="shared" si="31"/>
        <v>2020</v>
      </c>
      <c r="E980">
        <v>362119.47</v>
      </c>
      <c r="F980">
        <v>338778.05479999998</v>
      </c>
    </row>
    <row r="981" spans="1:6" hidden="1" x14ac:dyDescent="0.25">
      <c r="A981">
        <f t="shared" si="30"/>
        <v>6</v>
      </c>
      <c r="B981" s="37">
        <v>44080</v>
      </c>
      <c r="C981" t="s">
        <v>31</v>
      </c>
      <c r="D981">
        <f t="shared" si="31"/>
        <v>2020</v>
      </c>
      <c r="E981">
        <v>362119.47</v>
      </c>
      <c r="F981">
        <v>338778.05479999998</v>
      </c>
    </row>
    <row r="982" spans="1:6" hidden="1" x14ac:dyDescent="0.25">
      <c r="A982">
        <f t="shared" si="30"/>
        <v>7</v>
      </c>
      <c r="B982" s="37">
        <v>44081</v>
      </c>
      <c r="C982" t="s">
        <v>31</v>
      </c>
      <c r="D982">
        <f t="shared" si="31"/>
        <v>2020</v>
      </c>
      <c r="E982">
        <v>362138.46</v>
      </c>
      <c r="F982">
        <v>349431.42930000002</v>
      </c>
    </row>
    <row r="983" spans="1:6" hidden="1" x14ac:dyDescent="0.25">
      <c r="A983">
        <f t="shared" si="30"/>
        <v>8</v>
      </c>
      <c r="B983" s="37">
        <v>44082</v>
      </c>
      <c r="C983" t="s">
        <v>31</v>
      </c>
      <c r="D983">
        <f t="shared" si="31"/>
        <v>2020</v>
      </c>
      <c r="E983">
        <v>363084.73</v>
      </c>
      <c r="F983">
        <v>355743.31160000002</v>
      </c>
    </row>
    <row r="984" spans="1:6" hidden="1" x14ac:dyDescent="0.25">
      <c r="A984">
        <f t="shared" si="30"/>
        <v>9</v>
      </c>
      <c r="B984" s="37">
        <v>44083</v>
      </c>
      <c r="C984" t="s">
        <v>31</v>
      </c>
      <c r="D984">
        <f t="shared" si="31"/>
        <v>2020</v>
      </c>
      <c r="E984">
        <v>359283.97</v>
      </c>
      <c r="F984">
        <v>358855.37819999998</v>
      </c>
    </row>
    <row r="985" spans="1:6" hidden="1" x14ac:dyDescent="0.25">
      <c r="A985">
        <f t="shared" si="30"/>
        <v>10</v>
      </c>
      <c r="B985" s="37">
        <v>44084</v>
      </c>
      <c r="C985" t="s">
        <v>31</v>
      </c>
      <c r="D985">
        <f t="shared" si="31"/>
        <v>2020</v>
      </c>
      <c r="E985">
        <v>362915.13</v>
      </c>
      <c r="F985">
        <v>360514.34850000002</v>
      </c>
    </row>
    <row r="986" spans="1:6" hidden="1" x14ac:dyDescent="0.25">
      <c r="A986">
        <f t="shared" si="30"/>
        <v>11</v>
      </c>
      <c r="B986" s="37">
        <v>44085</v>
      </c>
      <c r="C986" t="s">
        <v>31</v>
      </c>
      <c r="D986">
        <f t="shared" si="31"/>
        <v>2020</v>
      </c>
      <c r="E986">
        <v>368641.66</v>
      </c>
      <c r="F986">
        <v>360855.24479999999</v>
      </c>
    </row>
    <row r="987" spans="1:6" hidden="1" x14ac:dyDescent="0.25">
      <c r="A987">
        <f t="shared" si="30"/>
        <v>12</v>
      </c>
      <c r="B987" s="37">
        <v>44086</v>
      </c>
      <c r="C987" t="s">
        <v>31</v>
      </c>
      <c r="D987">
        <f t="shared" si="31"/>
        <v>2020</v>
      </c>
      <c r="E987">
        <v>368641.66</v>
      </c>
      <c r="F987">
        <v>360855.24479999999</v>
      </c>
    </row>
    <row r="988" spans="1:6" hidden="1" x14ac:dyDescent="0.25">
      <c r="A988">
        <f t="shared" ref="A988:A1051" si="32">DAY(B988)</f>
        <v>13</v>
      </c>
      <c r="B988" s="37">
        <v>44087</v>
      </c>
      <c r="C988" t="s">
        <v>31</v>
      </c>
      <c r="D988">
        <f t="shared" ref="D988:D1051" si="33">YEAR(B988)</f>
        <v>2020</v>
      </c>
      <c r="E988">
        <v>368641.66</v>
      </c>
      <c r="F988">
        <v>360855.24479999999</v>
      </c>
    </row>
    <row r="989" spans="1:6" hidden="1" x14ac:dyDescent="0.25">
      <c r="A989">
        <f t="shared" si="32"/>
        <v>14</v>
      </c>
      <c r="B989" s="37">
        <v>44088</v>
      </c>
      <c r="C989" t="s">
        <v>31</v>
      </c>
      <c r="D989">
        <f t="shared" si="33"/>
        <v>2020</v>
      </c>
      <c r="E989">
        <v>372194.82</v>
      </c>
      <c r="F989">
        <v>360855.24479999999</v>
      </c>
    </row>
    <row r="990" spans="1:6" hidden="1" x14ac:dyDescent="0.25">
      <c r="A990">
        <f t="shared" si="32"/>
        <v>15</v>
      </c>
      <c r="B990" s="37">
        <v>44089</v>
      </c>
      <c r="C990" t="s">
        <v>31</v>
      </c>
      <c r="D990">
        <f t="shared" si="33"/>
        <v>2020</v>
      </c>
      <c r="E990">
        <v>361104.77</v>
      </c>
      <c r="F990">
        <v>363164.97610000003</v>
      </c>
    </row>
    <row r="991" spans="1:6" hidden="1" x14ac:dyDescent="0.25">
      <c r="A991">
        <f t="shared" si="32"/>
        <v>16</v>
      </c>
      <c r="B991" s="37">
        <v>44090</v>
      </c>
      <c r="C991" t="s">
        <v>31</v>
      </c>
      <c r="D991">
        <f t="shared" si="33"/>
        <v>2020</v>
      </c>
      <c r="E991">
        <v>365207.23</v>
      </c>
      <c r="F991">
        <v>365927.06699999998</v>
      </c>
    </row>
    <row r="992" spans="1:6" hidden="1" x14ac:dyDescent="0.25">
      <c r="A992">
        <f t="shared" si="32"/>
        <v>17</v>
      </c>
      <c r="B992" s="37">
        <v>44091</v>
      </c>
      <c r="C992" t="s">
        <v>31</v>
      </c>
      <c r="D992">
        <f t="shared" si="33"/>
        <v>2020</v>
      </c>
      <c r="E992">
        <v>374043.19</v>
      </c>
      <c r="F992">
        <v>366226.75520000001</v>
      </c>
    </row>
    <row r="993" spans="1:6" hidden="1" x14ac:dyDescent="0.25">
      <c r="A993">
        <f t="shared" si="32"/>
        <v>18</v>
      </c>
      <c r="B993" s="37">
        <v>44092</v>
      </c>
      <c r="C993" t="s">
        <v>31</v>
      </c>
      <c r="D993">
        <f t="shared" si="33"/>
        <v>2020</v>
      </c>
      <c r="E993">
        <v>380408.15</v>
      </c>
      <c r="F993">
        <v>369326.47489999997</v>
      </c>
    </row>
    <row r="994" spans="1:6" hidden="1" x14ac:dyDescent="0.25">
      <c r="A994">
        <f t="shared" si="32"/>
        <v>19</v>
      </c>
      <c r="B994" s="37">
        <v>44093</v>
      </c>
      <c r="C994" t="s">
        <v>31</v>
      </c>
      <c r="D994">
        <f t="shared" si="33"/>
        <v>2020</v>
      </c>
      <c r="E994">
        <v>380408.15</v>
      </c>
      <c r="F994">
        <v>369326.47489999997</v>
      </c>
    </row>
    <row r="995" spans="1:6" hidden="1" x14ac:dyDescent="0.25">
      <c r="A995">
        <f t="shared" si="32"/>
        <v>20</v>
      </c>
      <c r="B995" s="37">
        <v>44094</v>
      </c>
      <c r="C995" t="s">
        <v>31</v>
      </c>
      <c r="D995">
        <f t="shared" si="33"/>
        <v>2020</v>
      </c>
      <c r="E995">
        <v>380408.15</v>
      </c>
      <c r="F995">
        <v>369326.47489999997</v>
      </c>
    </row>
    <row r="996" spans="1:6" hidden="1" x14ac:dyDescent="0.25">
      <c r="A996">
        <f t="shared" si="32"/>
        <v>21</v>
      </c>
      <c r="B996" s="37">
        <v>44095</v>
      </c>
      <c r="C996" t="s">
        <v>31</v>
      </c>
      <c r="D996">
        <f t="shared" si="33"/>
        <v>2020</v>
      </c>
      <c r="E996">
        <v>389162.91</v>
      </c>
      <c r="F996">
        <v>374236.2513</v>
      </c>
    </row>
    <row r="997" spans="1:6" hidden="1" x14ac:dyDescent="0.25">
      <c r="A997">
        <f t="shared" si="32"/>
        <v>22</v>
      </c>
      <c r="B997" s="37">
        <v>44096</v>
      </c>
      <c r="C997" t="s">
        <v>31</v>
      </c>
      <c r="D997">
        <f t="shared" si="33"/>
        <v>2020</v>
      </c>
      <c r="E997">
        <v>394299.07</v>
      </c>
      <c r="F997">
        <v>375312.20280000003</v>
      </c>
    </row>
    <row r="998" spans="1:6" hidden="1" x14ac:dyDescent="0.25">
      <c r="A998">
        <f t="shared" si="32"/>
        <v>23</v>
      </c>
      <c r="B998" s="37">
        <v>44097</v>
      </c>
      <c r="C998" t="s">
        <v>31</v>
      </c>
      <c r="D998">
        <f t="shared" si="33"/>
        <v>2020</v>
      </c>
      <c r="E998">
        <v>402881.05</v>
      </c>
      <c r="F998">
        <v>386868.1398</v>
      </c>
    </row>
    <row r="999" spans="1:6" hidden="1" x14ac:dyDescent="0.25">
      <c r="A999">
        <f t="shared" si="32"/>
        <v>24</v>
      </c>
      <c r="B999" s="37">
        <v>44098</v>
      </c>
      <c r="C999" t="s">
        <v>31</v>
      </c>
      <c r="D999">
        <f t="shared" si="33"/>
        <v>2020</v>
      </c>
      <c r="E999">
        <v>417004.46</v>
      </c>
      <c r="F999">
        <v>392128.50469999999</v>
      </c>
    </row>
    <row r="1000" spans="1:6" hidden="1" x14ac:dyDescent="0.25">
      <c r="A1000">
        <f t="shared" si="32"/>
        <v>25</v>
      </c>
      <c r="B1000" s="37">
        <v>44099</v>
      </c>
      <c r="C1000" t="s">
        <v>31</v>
      </c>
      <c r="D1000">
        <f t="shared" si="33"/>
        <v>2020</v>
      </c>
      <c r="E1000">
        <v>435011.59</v>
      </c>
      <c r="F1000">
        <v>399396.53810000001</v>
      </c>
    </row>
    <row r="1001" spans="1:6" hidden="1" x14ac:dyDescent="0.25">
      <c r="A1001">
        <f t="shared" si="32"/>
        <v>26</v>
      </c>
      <c r="B1001" s="37">
        <v>44100</v>
      </c>
      <c r="C1001" t="s">
        <v>31</v>
      </c>
      <c r="D1001">
        <f t="shared" si="33"/>
        <v>2020</v>
      </c>
      <c r="E1001">
        <v>435011.59</v>
      </c>
      <c r="F1001">
        <v>399396.53810000001</v>
      </c>
    </row>
    <row r="1002" spans="1:6" hidden="1" x14ac:dyDescent="0.25">
      <c r="A1002">
        <f t="shared" si="32"/>
        <v>27</v>
      </c>
      <c r="B1002" s="37">
        <v>44101</v>
      </c>
      <c r="C1002" t="s">
        <v>31</v>
      </c>
      <c r="D1002">
        <f t="shared" si="33"/>
        <v>2020</v>
      </c>
      <c r="E1002">
        <v>435011.59</v>
      </c>
      <c r="F1002">
        <v>399396.53810000001</v>
      </c>
    </row>
    <row r="1003" spans="1:6" hidden="1" x14ac:dyDescent="0.25">
      <c r="A1003">
        <f t="shared" si="32"/>
        <v>28</v>
      </c>
      <c r="B1003" s="37">
        <v>44102</v>
      </c>
      <c r="C1003" t="s">
        <v>31</v>
      </c>
      <c r="D1003">
        <f t="shared" si="33"/>
        <v>2020</v>
      </c>
      <c r="E1003">
        <v>441374.92</v>
      </c>
      <c r="F1003">
        <v>414379.0515</v>
      </c>
    </row>
    <row r="1004" spans="1:6" hidden="1" x14ac:dyDescent="0.25">
      <c r="A1004">
        <f t="shared" si="32"/>
        <v>29</v>
      </c>
      <c r="B1004" s="37">
        <v>44103</v>
      </c>
      <c r="C1004" t="s">
        <v>31</v>
      </c>
      <c r="D1004">
        <f t="shared" si="33"/>
        <v>2020</v>
      </c>
      <c r="E1004">
        <v>444287.34</v>
      </c>
      <c r="F1004">
        <v>421193.87050000002</v>
      </c>
    </row>
    <row r="1005" spans="1:6" hidden="1" x14ac:dyDescent="0.25">
      <c r="A1005">
        <f t="shared" si="32"/>
        <v>30</v>
      </c>
      <c r="B1005" s="37">
        <v>44104</v>
      </c>
      <c r="C1005" t="s">
        <v>32</v>
      </c>
      <c r="D1005">
        <f t="shared" si="33"/>
        <v>2020</v>
      </c>
      <c r="E1005">
        <v>438424.95</v>
      </c>
      <c r="F1005">
        <v>430670.16470000002</v>
      </c>
    </row>
    <row r="1006" spans="1:6" hidden="1" x14ac:dyDescent="0.25">
      <c r="A1006">
        <f t="shared" si="32"/>
        <v>1</v>
      </c>
      <c r="B1006" s="37">
        <v>44105</v>
      </c>
      <c r="C1006" t="s">
        <v>32</v>
      </c>
      <c r="D1006">
        <f t="shared" si="33"/>
        <v>2020</v>
      </c>
      <c r="E1006">
        <v>444497.76</v>
      </c>
      <c r="F1006">
        <v>430670.16470000002</v>
      </c>
    </row>
    <row r="1007" spans="1:6" hidden="1" x14ac:dyDescent="0.25">
      <c r="A1007">
        <f t="shared" si="32"/>
        <v>2</v>
      </c>
      <c r="B1007" s="37">
        <v>44106</v>
      </c>
      <c r="C1007" t="s">
        <v>32</v>
      </c>
      <c r="D1007">
        <f t="shared" si="33"/>
        <v>2020</v>
      </c>
      <c r="E1007">
        <v>445046.79</v>
      </c>
      <c r="F1007">
        <v>437053.74400000001</v>
      </c>
    </row>
    <row r="1008" spans="1:6" hidden="1" x14ac:dyDescent="0.25">
      <c r="A1008">
        <f t="shared" si="32"/>
        <v>3</v>
      </c>
      <c r="B1008" s="37">
        <v>44107</v>
      </c>
      <c r="C1008" t="s">
        <v>32</v>
      </c>
      <c r="D1008">
        <f t="shared" si="33"/>
        <v>2020</v>
      </c>
      <c r="E1008">
        <v>445046.79</v>
      </c>
      <c r="F1008">
        <v>437053.74400000001</v>
      </c>
    </row>
    <row r="1009" spans="1:6" hidden="1" x14ac:dyDescent="0.25">
      <c r="A1009">
        <f t="shared" si="32"/>
        <v>4</v>
      </c>
      <c r="B1009" s="37">
        <v>44108</v>
      </c>
      <c r="C1009" t="s">
        <v>32</v>
      </c>
      <c r="D1009">
        <f t="shared" si="33"/>
        <v>2020</v>
      </c>
      <c r="E1009">
        <v>445046.79</v>
      </c>
      <c r="F1009">
        <v>437053.74400000001</v>
      </c>
    </row>
    <row r="1010" spans="1:6" hidden="1" x14ac:dyDescent="0.25">
      <c r="A1010">
        <f t="shared" si="32"/>
        <v>5</v>
      </c>
      <c r="B1010" s="37">
        <v>44109</v>
      </c>
      <c r="C1010" t="s">
        <v>32</v>
      </c>
      <c r="D1010">
        <f t="shared" si="33"/>
        <v>2020</v>
      </c>
      <c r="E1010">
        <v>440241.95</v>
      </c>
      <c r="F1010">
        <v>438517.6017</v>
      </c>
    </row>
    <row r="1011" spans="1:6" hidden="1" x14ac:dyDescent="0.25">
      <c r="A1011">
        <f t="shared" si="32"/>
        <v>6</v>
      </c>
      <c r="B1011" s="37">
        <v>44110</v>
      </c>
      <c r="C1011" t="s">
        <v>32</v>
      </c>
      <c r="D1011">
        <f t="shared" si="33"/>
        <v>2020</v>
      </c>
      <c r="E1011">
        <v>439457.33</v>
      </c>
      <c r="F1011">
        <v>437770.21679999999</v>
      </c>
    </row>
    <row r="1012" spans="1:6" hidden="1" x14ac:dyDescent="0.25">
      <c r="A1012">
        <f t="shared" si="32"/>
        <v>7</v>
      </c>
      <c r="B1012" s="37">
        <v>44111</v>
      </c>
      <c r="C1012" t="s">
        <v>32</v>
      </c>
      <c r="D1012">
        <f t="shared" si="33"/>
        <v>2020</v>
      </c>
      <c r="E1012">
        <v>443582.9</v>
      </c>
      <c r="F1012">
        <v>440722.83850000001</v>
      </c>
    </row>
    <row r="1013" spans="1:6" hidden="1" x14ac:dyDescent="0.25">
      <c r="A1013">
        <f t="shared" si="32"/>
        <v>8</v>
      </c>
      <c r="B1013" s="37">
        <v>44112</v>
      </c>
      <c r="C1013" t="s">
        <v>32</v>
      </c>
      <c r="D1013">
        <f t="shared" si="33"/>
        <v>2020</v>
      </c>
      <c r="E1013">
        <v>456525.56</v>
      </c>
      <c r="F1013">
        <v>441688.40179999999</v>
      </c>
    </row>
    <row r="1014" spans="1:6" hidden="1" x14ac:dyDescent="0.25">
      <c r="A1014">
        <f t="shared" si="32"/>
        <v>9</v>
      </c>
      <c r="B1014" s="37">
        <v>44113</v>
      </c>
      <c r="C1014" t="s">
        <v>32</v>
      </c>
      <c r="D1014">
        <f t="shared" si="33"/>
        <v>2020</v>
      </c>
      <c r="E1014">
        <v>456557.13</v>
      </c>
      <c r="F1014">
        <v>450104.48080000002</v>
      </c>
    </row>
    <row r="1015" spans="1:6" hidden="1" x14ac:dyDescent="0.25">
      <c r="A1015">
        <f t="shared" si="32"/>
        <v>10</v>
      </c>
      <c r="B1015" s="37">
        <v>44114</v>
      </c>
      <c r="C1015" t="s">
        <v>32</v>
      </c>
      <c r="D1015">
        <f t="shared" si="33"/>
        <v>2020</v>
      </c>
      <c r="E1015">
        <v>456557.13</v>
      </c>
      <c r="F1015">
        <v>450104.48080000002</v>
      </c>
    </row>
    <row r="1016" spans="1:6" hidden="1" x14ac:dyDescent="0.25">
      <c r="A1016">
        <f t="shared" si="32"/>
        <v>11</v>
      </c>
      <c r="B1016" s="37">
        <v>44115</v>
      </c>
      <c r="C1016" t="s">
        <v>32</v>
      </c>
      <c r="D1016">
        <f t="shared" si="33"/>
        <v>2020</v>
      </c>
      <c r="E1016">
        <v>456557.13</v>
      </c>
      <c r="F1016">
        <v>450104.48080000002</v>
      </c>
    </row>
    <row r="1017" spans="1:6" hidden="1" x14ac:dyDescent="0.25">
      <c r="A1017">
        <f t="shared" si="32"/>
        <v>12</v>
      </c>
      <c r="B1017" s="37">
        <v>44116</v>
      </c>
      <c r="C1017" t="s">
        <v>32</v>
      </c>
      <c r="D1017">
        <f t="shared" si="33"/>
        <v>2020</v>
      </c>
      <c r="E1017">
        <v>452033.34</v>
      </c>
      <c r="F1017">
        <v>450104.48080000002</v>
      </c>
    </row>
    <row r="1018" spans="1:6" hidden="1" x14ac:dyDescent="0.25">
      <c r="A1018">
        <f t="shared" si="32"/>
        <v>13</v>
      </c>
      <c r="B1018" s="37">
        <v>44117</v>
      </c>
      <c r="C1018" t="s">
        <v>32</v>
      </c>
      <c r="D1018">
        <f t="shared" si="33"/>
        <v>2020</v>
      </c>
      <c r="E1018">
        <v>447703.46</v>
      </c>
      <c r="F1018">
        <v>452306.1102</v>
      </c>
    </row>
    <row r="1019" spans="1:6" hidden="1" x14ac:dyDescent="0.25">
      <c r="A1019">
        <f t="shared" si="32"/>
        <v>14</v>
      </c>
      <c r="B1019" s="37">
        <v>44118</v>
      </c>
      <c r="C1019" t="s">
        <v>32</v>
      </c>
      <c r="D1019">
        <f t="shared" si="33"/>
        <v>2020</v>
      </c>
      <c r="E1019">
        <v>441997.38</v>
      </c>
      <c r="F1019">
        <v>452892.85479999997</v>
      </c>
    </row>
    <row r="1020" spans="1:6" hidden="1" x14ac:dyDescent="0.25">
      <c r="A1020">
        <f t="shared" si="32"/>
        <v>15</v>
      </c>
      <c r="B1020" s="37">
        <v>44119</v>
      </c>
      <c r="C1020" t="s">
        <v>32</v>
      </c>
      <c r="D1020">
        <f t="shared" si="33"/>
        <v>2020</v>
      </c>
      <c r="E1020">
        <v>446787.56</v>
      </c>
      <c r="F1020">
        <v>450719.55699999997</v>
      </c>
    </row>
    <row r="1021" spans="1:6" hidden="1" x14ac:dyDescent="0.25">
      <c r="A1021">
        <f t="shared" si="32"/>
        <v>16</v>
      </c>
      <c r="B1021" s="37">
        <v>44120</v>
      </c>
      <c r="C1021" t="s">
        <v>32</v>
      </c>
      <c r="D1021">
        <f t="shared" si="33"/>
        <v>2020</v>
      </c>
      <c r="E1021">
        <v>455564.7</v>
      </c>
      <c r="F1021">
        <v>450854.1421</v>
      </c>
    </row>
    <row r="1022" spans="1:6" hidden="1" x14ac:dyDescent="0.25">
      <c r="A1022">
        <f t="shared" si="32"/>
        <v>17</v>
      </c>
      <c r="B1022" s="37">
        <v>44121</v>
      </c>
      <c r="C1022" t="s">
        <v>32</v>
      </c>
      <c r="D1022">
        <f t="shared" si="33"/>
        <v>2020</v>
      </c>
      <c r="E1022">
        <v>455564.7</v>
      </c>
      <c r="F1022">
        <v>450854.1421</v>
      </c>
    </row>
    <row r="1023" spans="1:6" hidden="1" x14ac:dyDescent="0.25">
      <c r="A1023">
        <f t="shared" si="32"/>
        <v>18</v>
      </c>
      <c r="B1023" s="37">
        <v>44122</v>
      </c>
      <c r="C1023" t="s">
        <v>32</v>
      </c>
      <c r="D1023">
        <f t="shared" si="33"/>
        <v>2020</v>
      </c>
      <c r="E1023">
        <v>455564.7</v>
      </c>
      <c r="F1023">
        <v>450854.1421</v>
      </c>
    </row>
    <row r="1024" spans="1:6" hidden="1" x14ac:dyDescent="0.25">
      <c r="A1024">
        <f t="shared" si="32"/>
        <v>19</v>
      </c>
      <c r="B1024" s="37">
        <v>44123</v>
      </c>
      <c r="C1024" t="s">
        <v>32</v>
      </c>
      <c r="D1024">
        <f t="shared" si="33"/>
        <v>2020</v>
      </c>
      <c r="E1024">
        <v>457582.22</v>
      </c>
      <c r="F1024">
        <v>452844.15059999999</v>
      </c>
    </row>
    <row r="1025" spans="1:6" hidden="1" x14ac:dyDescent="0.25">
      <c r="A1025">
        <f t="shared" si="32"/>
        <v>20</v>
      </c>
      <c r="B1025" s="37">
        <v>44124</v>
      </c>
      <c r="C1025" t="s">
        <v>32</v>
      </c>
      <c r="D1025">
        <f t="shared" si="33"/>
        <v>2020</v>
      </c>
      <c r="E1025">
        <v>448782.62</v>
      </c>
      <c r="F1025">
        <v>455306.54</v>
      </c>
    </row>
    <row r="1026" spans="1:6" hidden="1" x14ac:dyDescent="0.25">
      <c r="A1026">
        <f t="shared" si="32"/>
        <v>21</v>
      </c>
      <c r="B1026" s="37">
        <v>44125</v>
      </c>
      <c r="C1026" t="s">
        <v>32</v>
      </c>
      <c r="D1026">
        <f t="shared" si="33"/>
        <v>2020</v>
      </c>
      <c r="E1026">
        <v>447123.45</v>
      </c>
      <c r="F1026">
        <v>456920.32760000002</v>
      </c>
    </row>
    <row r="1027" spans="1:6" hidden="1" x14ac:dyDescent="0.25">
      <c r="A1027">
        <f t="shared" si="32"/>
        <v>22</v>
      </c>
      <c r="B1027" s="37">
        <v>44126</v>
      </c>
      <c r="C1027" t="s">
        <v>32</v>
      </c>
      <c r="D1027">
        <f t="shared" si="33"/>
        <v>2020</v>
      </c>
      <c r="E1027">
        <v>458167.76</v>
      </c>
      <c r="F1027">
        <v>457242.11900000001</v>
      </c>
    </row>
    <row r="1028" spans="1:6" hidden="1" x14ac:dyDescent="0.25">
      <c r="A1028">
        <f t="shared" si="32"/>
        <v>23</v>
      </c>
      <c r="B1028" s="37">
        <v>44127</v>
      </c>
      <c r="C1028" t="s">
        <v>32</v>
      </c>
      <c r="D1028">
        <f t="shared" si="33"/>
        <v>2020</v>
      </c>
      <c r="E1028">
        <v>467713.38</v>
      </c>
      <c r="F1028">
        <v>459954.39030000003</v>
      </c>
    </row>
    <row r="1029" spans="1:6" hidden="1" x14ac:dyDescent="0.25">
      <c r="A1029">
        <f t="shared" si="32"/>
        <v>24</v>
      </c>
      <c r="B1029" s="37">
        <v>44128</v>
      </c>
      <c r="C1029" t="s">
        <v>32</v>
      </c>
      <c r="D1029">
        <f t="shared" si="33"/>
        <v>2020</v>
      </c>
      <c r="E1029">
        <v>467713.38</v>
      </c>
      <c r="F1029">
        <v>459954.39030000003</v>
      </c>
    </row>
    <row r="1030" spans="1:6" hidden="1" x14ac:dyDescent="0.25">
      <c r="A1030">
        <f t="shared" si="32"/>
        <v>25</v>
      </c>
      <c r="B1030" s="37">
        <v>44129</v>
      </c>
      <c r="C1030" t="s">
        <v>32</v>
      </c>
      <c r="D1030">
        <f t="shared" si="33"/>
        <v>2020</v>
      </c>
      <c r="E1030">
        <v>467713.38</v>
      </c>
      <c r="F1030">
        <v>459954.39030000003</v>
      </c>
    </row>
    <row r="1031" spans="1:6" hidden="1" x14ac:dyDescent="0.25">
      <c r="A1031">
        <f t="shared" si="32"/>
        <v>26</v>
      </c>
      <c r="B1031" s="37">
        <v>44130</v>
      </c>
      <c r="C1031" t="s">
        <v>32</v>
      </c>
      <c r="D1031">
        <f t="shared" si="33"/>
        <v>2020</v>
      </c>
      <c r="E1031">
        <v>476092.85</v>
      </c>
      <c r="F1031">
        <v>462415.97120000003</v>
      </c>
    </row>
    <row r="1032" spans="1:6" hidden="1" x14ac:dyDescent="0.25">
      <c r="A1032">
        <f t="shared" si="32"/>
        <v>27</v>
      </c>
      <c r="B1032" s="37">
        <v>44131</v>
      </c>
      <c r="C1032" t="s">
        <v>32</v>
      </c>
      <c r="D1032">
        <f t="shared" si="33"/>
        <v>2020</v>
      </c>
      <c r="E1032">
        <v>483695.24</v>
      </c>
      <c r="F1032">
        <v>464291.4828</v>
      </c>
    </row>
    <row r="1033" spans="1:6" hidden="1" x14ac:dyDescent="0.25">
      <c r="A1033">
        <f t="shared" si="32"/>
        <v>28</v>
      </c>
      <c r="B1033" s="37">
        <v>44132</v>
      </c>
      <c r="C1033" t="s">
        <v>32</v>
      </c>
      <c r="D1033">
        <f t="shared" si="33"/>
        <v>2020</v>
      </c>
      <c r="E1033">
        <v>508242.82</v>
      </c>
      <c r="F1033">
        <v>471188.80469999998</v>
      </c>
    </row>
    <row r="1034" spans="1:6" hidden="1" x14ac:dyDescent="0.25">
      <c r="A1034">
        <f t="shared" si="32"/>
        <v>29</v>
      </c>
      <c r="B1034" s="37">
        <v>44133</v>
      </c>
      <c r="C1034" t="s">
        <v>32</v>
      </c>
      <c r="D1034">
        <f t="shared" si="33"/>
        <v>2020</v>
      </c>
      <c r="E1034">
        <v>522361.86</v>
      </c>
      <c r="F1034">
        <v>488217.0001</v>
      </c>
    </row>
    <row r="1035" spans="1:6" hidden="1" x14ac:dyDescent="0.25">
      <c r="A1035">
        <f t="shared" si="32"/>
        <v>30</v>
      </c>
      <c r="B1035" s="37">
        <v>44134</v>
      </c>
      <c r="C1035" t="s">
        <v>32</v>
      </c>
      <c r="D1035">
        <f t="shared" si="33"/>
        <v>2020</v>
      </c>
      <c r="E1035">
        <v>520819.91</v>
      </c>
      <c r="F1035">
        <v>506541.78139999998</v>
      </c>
    </row>
    <row r="1036" spans="1:6" hidden="1" x14ac:dyDescent="0.25">
      <c r="A1036">
        <f t="shared" si="32"/>
        <v>31</v>
      </c>
      <c r="B1036" s="37">
        <v>44135</v>
      </c>
      <c r="C1036" t="s">
        <v>33</v>
      </c>
      <c r="D1036">
        <f t="shared" si="33"/>
        <v>2020</v>
      </c>
      <c r="E1036">
        <v>520819.91</v>
      </c>
      <c r="F1036">
        <v>506541.78139999998</v>
      </c>
    </row>
    <row r="1037" spans="1:6" hidden="1" x14ac:dyDescent="0.25">
      <c r="A1037">
        <f t="shared" si="32"/>
        <v>1</v>
      </c>
      <c r="B1037" s="37">
        <v>44136</v>
      </c>
      <c r="C1037" t="s">
        <v>33</v>
      </c>
      <c r="D1037">
        <f t="shared" si="33"/>
        <v>2020</v>
      </c>
      <c r="E1037">
        <v>520819.91</v>
      </c>
      <c r="F1037">
        <v>506541.78139999998</v>
      </c>
    </row>
    <row r="1038" spans="1:6" hidden="1" x14ac:dyDescent="0.25">
      <c r="A1038">
        <f t="shared" si="32"/>
        <v>2</v>
      </c>
      <c r="B1038" s="37">
        <v>44137</v>
      </c>
      <c r="C1038" t="s">
        <v>33</v>
      </c>
      <c r="D1038">
        <f t="shared" si="33"/>
        <v>2020</v>
      </c>
      <c r="E1038">
        <v>505220.19</v>
      </c>
      <c r="F1038">
        <v>519082.41340000002</v>
      </c>
    </row>
    <row r="1039" spans="1:6" hidden="1" x14ac:dyDescent="0.25">
      <c r="A1039">
        <f t="shared" si="32"/>
        <v>3</v>
      </c>
      <c r="B1039" s="37">
        <v>44138</v>
      </c>
      <c r="C1039" t="s">
        <v>33</v>
      </c>
      <c r="D1039">
        <f t="shared" si="33"/>
        <v>2020</v>
      </c>
      <c r="E1039">
        <v>514608.94</v>
      </c>
      <c r="F1039">
        <v>515919.26079999999</v>
      </c>
    </row>
    <row r="1040" spans="1:6" hidden="1" x14ac:dyDescent="0.25">
      <c r="A1040">
        <f t="shared" si="32"/>
        <v>4</v>
      </c>
      <c r="B1040" s="37">
        <v>44139</v>
      </c>
      <c r="C1040" t="s">
        <v>33</v>
      </c>
      <c r="D1040">
        <f t="shared" si="33"/>
        <v>2020</v>
      </c>
      <c r="E1040">
        <v>524408.69999999995</v>
      </c>
      <c r="F1040">
        <v>517231.5747</v>
      </c>
    </row>
    <row r="1041" spans="1:6" hidden="1" x14ac:dyDescent="0.25">
      <c r="A1041">
        <f t="shared" si="32"/>
        <v>5</v>
      </c>
      <c r="B1041" s="37">
        <v>44140</v>
      </c>
      <c r="C1041" t="s">
        <v>33</v>
      </c>
      <c r="D1041">
        <f t="shared" si="33"/>
        <v>2020</v>
      </c>
      <c r="E1041">
        <v>533524.21</v>
      </c>
      <c r="F1041">
        <v>518286.92070000002</v>
      </c>
    </row>
    <row r="1042" spans="1:6" hidden="1" x14ac:dyDescent="0.25">
      <c r="A1042">
        <f t="shared" si="32"/>
        <v>6</v>
      </c>
      <c r="B1042" s="37">
        <v>44141</v>
      </c>
      <c r="C1042" t="s">
        <v>33</v>
      </c>
      <c r="D1042">
        <f t="shared" si="33"/>
        <v>2020</v>
      </c>
      <c r="E1042">
        <v>528626.44999999995</v>
      </c>
      <c r="F1042">
        <v>527480.29940000002</v>
      </c>
    </row>
    <row r="1043" spans="1:6" hidden="1" x14ac:dyDescent="0.25">
      <c r="A1043">
        <f t="shared" si="32"/>
        <v>7</v>
      </c>
      <c r="B1043" s="37">
        <v>44142</v>
      </c>
      <c r="C1043" t="s">
        <v>33</v>
      </c>
      <c r="D1043">
        <f t="shared" si="33"/>
        <v>2020</v>
      </c>
      <c r="E1043">
        <v>528626.44999999995</v>
      </c>
      <c r="F1043">
        <v>527480.29940000002</v>
      </c>
    </row>
    <row r="1044" spans="1:6" hidden="1" x14ac:dyDescent="0.25">
      <c r="A1044">
        <f t="shared" si="32"/>
        <v>8</v>
      </c>
      <c r="B1044" s="37">
        <v>44143</v>
      </c>
      <c r="C1044" t="s">
        <v>33</v>
      </c>
      <c r="D1044">
        <f t="shared" si="33"/>
        <v>2020</v>
      </c>
      <c r="E1044">
        <v>528626.44999999995</v>
      </c>
      <c r="F1044">
        <v>527480.29940000002</v>
      </c>
    </row>
    <row r="1045" spans="1:6" hidden="1" x14ac:dyDescent="0.25">
      <c r="A1045">
        <f t="shared" si="32"/>
        <v>9</v>
      </c>
      <c r="B1045" s="37">
        <v>44144</v>
      </c>
      <c r="C1045" t="s">
        <v>33</v>
      </c>
      <c r="D1045">
        <f t="shared" si="33"/>
        <v>2020</v>
      </c>
      <c r="E1045">
        <v>542255.80000000005</v>
      </c>
      <c r="F1045">
        <v>535345.97719999996</v>
      </c>
    </row>
    <row r="1046" spans="1:6" hidden="1" x14ac:dyDescent="0.25">
      <c r="A1046">
        <f t="shared" si="32"/>
        <v>10</v>
      </c>
      <c r="B1046" s="37">
        <v>44145</v>
      </c>
      <c r="C1046" t="s">
        <v>33</v>
      </c>
      <c r="D1046">
        <f t="shared" si="33"/>
        <v>2020</v>
      </c>
      <c r="E1046">
        <v>567295.42000000004</v>
      </c>
      <c r="F1046">
        <v>535719.25159999996</v>
      </c>
    </row>
    <row r="1047" spans="1:6" hidden="1" x14ac:dyDescent="0.25">
      <c r="A1047">
        <f t="shared" si="32"/>
        <v>11</v>
      </c>
      <c r="B1047" s="37">
        <v>44146</v>
      </c>
      <c r="C1047" t="s">
        <v>33</v>
      </c>
      <c r="D1047">
        <f t="shared" si="33"/>
        <v>2020</v>
      </c>
      <c r="E1047">
        <v>613077.63</v>
      </c>
      <c r="F1047">
        <v>548442.83900000004</v>
      </c>
    </row>
    <row r="1048" spans="1:6" hidden="1" x14ac:dyDescent="0.25">
      <c r="A1048">
        <f t="shared" si="32"/>
        <v>12</v>
      </c>
      <c r="B1048" s="37">
        <v>44147</v>
      </c>
      <c r="C1048" t="s">
        <v>33</v>
      </c>
      <c r="D1048">
        <f t="shared" si="33"/>
        <v>2020</v>
      </c>
      <c r="E1048">
        <v>666137.13</v>
      </c>
      <c r="F1048">
        <v>571622.15890000004</v>
      </c>
    </row>
    <row r="1049" spans="1:6" hidden="1" x14ac:dyDescent="0.25">
      <c r="A1049">
        <f t="shared" si="32"/>
        <v>13</v>
      </c>
      <c r="B1049" s="37">
        <v>44148</v>
      </c>
      <c r="C1049" t="s">
        <v>33</v>
      </c>
      <c r="D1049">
        <f t="shared" si="33"/>
        <v>2020</v>
      </c>
      <c r="E1049">
        <v>691680.82</v>
      </c>
      <c r="F1049">
        <v>607475.82350000006</v>
      </c>
    </row>
    <row r="1050" spans="1:6" hidden="1" x14ac:dyDescent="0.25">
      <c r="A1050">
        <f t="shared" si="32"/>
        <v>14</v>
      </c>
      <c r="B1050" s="37">
        <v>44149</v>
      </c>
      <c r="C1050" t="s">
        <v>33</v>
      </c>
      <c r="D1050">
        <f t="shared" si="33"/>
        <v>2020</v>
      </c>
      <c r="E1050">
        <v>691680.82</v>
      </c>
      <c r="F1050">
        <v>607475.82350000006</v>
      </c>
    </row>
    <row r="1051" spans="1:6" hidden="1" x14ac:dyDescent="0.25">
      <c r="A1051">
        <f t="shared" si="32"/>
        <v>15</v>
      </c>
      <c r="B1051" s="37">
        <v>44150</v>
      </c>
      <c r="C1051" t="s">
        <v>33</v>
      </c>
      <c r="D1051">
        <f t="shared" si="33"/>
        <v>2020</v>
      </c>
      <c r="E1051">
        <v>691680.82</v>
      </c>
      <c r="F1051">
        <v>607475.82350000006</v>
      </c>
    </row>
    <row r="1052" spans="1:6" hidden="1" x14ac:dyDescent="0.25">
      <c r="A1052">
        <f t="shared" ref="A1052:A1097" si="34">DAY(B1052)</f>
        <v>16</v>
      </c>
      <c r="B1052" s="37">
        <v>44151</v>
      </c>
      <c r="C1052" t="s">
        <v>33</v>
      </c>
      <c r="D1052">
        <f t="shared" ref="D1052:D1097" si="35">YEAR(B1052)</f>
        <v>2020</v>
      </c>
      <c r="E1052">
        <v>671855.93</v>
      </c>
      <c r="F1052">
        <v>646322.88159999996</v>
      </c>
    </row>
    <row r="1053" spans="1:6" hidden="1" x14ac:dyDescent="0.25">
      <c r="A1053">
        <f t="shared" si="34"/>
        <v>17</v>
      </c>
      <c r="B1053" s="37">
        <v>44152</v>
      </c>
      <c r="C1053" t="s">
        <v>33</v>
      </c>
      <c r="D1053">
        <f t="shared" si="35"/>
        <v>2020</v>
      </c>
      <c r="E1053">
        <v>674943.5</v>
      </c>
      <c r="F1053">
        <v>666713.20559999999</v>
      </c>
    </row>
    <row r="1054" spans="1:6" hidden="1" x14ac:dyDescent="0.25">
      <c r="A1054">
        <f t="shared" si="34"/>
        <v>18</v>
      </c>
      <c r="B1054" s="37">
        <v>44153</v>
      </c>
      <c r="C1054" t="s">
        <v>33</v>
      </c>
      <c r="D1054">
        <f t="shared" si="35"/>
        <v>2020</v>
      </c>
      <c r="E1054">
        <v>703085.67</v>
      </c>
      <c r="F1054">
        <v>670975.42989999999</v>
      </c>
    </row>
    <row r="1055" spans="1:6" hidden="1" x14ac:dyDescent="0.25">
      <c r="A1055">
        <f t="shared" si="34"/>
        <v>19</v>
      </c>
      <c r="B1055" s="37">
        <v>44154</v>
      </c>
      <c r="C1055" t="s">
        <v>33</v>
      </c>
      <c r="D1055">
        <f t="shared" si="35"/>
        <v>2020</v>
      </c>
      <c r="E1055">
        <v>773452.59</v>
      </c>
      <c r="F1055">
        <v>681155.9399</v>
      </c>
    </row>
    <row r="1056" spans="1:6" hidden="1" x14ac:dyDescent="0.25">
      <c r="A1056">
        <f t="shared" si="34"/>
        <v>20</v>
      </c>
      <c r="B1056" s="37">
        <v>44155</v>
      </c>
      <c r="C1056" t="s">
        <v>33</v>
      </c>
      <c r="D1056">
        <f t="shared" si="35"/>
        <v>2020</v>
      </c>
      <c r="E1056">
        <v>855871.44</v>
      </c>
      <c r="F1056">
        <v>710701.52110000001</v>
      </c>
    </row>
    <row r="1057" spans="1:6" hidden="1" x14ac:dyDescent="0.25">
      <c r="A1057">
        <f t="shared" si="34"/>
        <v>21</v>
      </c>
      <c r="B1057" s="37">
        <v>44156</v>
      </c>
      <c r="C1057" t="s">
        <v>33</v>
      </c>
      <c r="D1057">
        <f t="shared" si="35"/>
        <v>2020</v>
      </c>
      <c r="E1057">
        <v>855871.44</v>
      </c>
      <c r="F1057">
        <v>710701.52110000001</v>
      </c>
    </row>
    <row r="1058" spans="1:6" hidden="1" x14ac:dyDescent="0.25">
      <c r="A1058">
        <f t="shared" si="34"/>
        <v>22</v>
      </c>
      <c r="B1058" s="37">
        <v>44157</v>
      </c>
      <c r="C1058" t="s">
        <v>33</v>
      </c>
      <c r="D1058">
        <f t="shared" si="35"/>
        <v>2020</v>
      </c>
      <c r="E1058">
        <v>855871.44</v>
      </c>
      <c r="F1058">
        <v>710701.52110000001</v>
      </c>
    </row>
    <row r="1059" spans="1:6" hidden="1" x14ac:dyDescent="0.25">
      <c r="A1059">
        <f t="shared" si="34"/>
        <v>23</v>
      </c>
      <c r="B1059" s="37">
        <v>44158</v>
      </c>
      <c r="C1059" t="s">
        <v>33</v>
      </c>
      <c r="D1059">
        <f t="shared" si="35"/>
        <v>2020</v>
      </c>
      <c r="E1059">
        <v>967349.16</v>
      </c>
      <c r="F1059">
        <v>710701.52110000001</v>
      </c>
    </row>
    <row r="1060" spans="1:6" hidden="1" x14ac:dyDescent="0.25">
      <c r="A1060">
        <f t="shared" si="34"/>
        <v>24</v>
      </c>
      <c r="B1060" s="37">
        <v>44159</v>
      </c>
      <c r="C1060" t="s">
        <v>33</v>
      </c>
      <c r="D1060">
        <f t="shared" si="35"/>
        <v>2020</v>
      </c>
      <c r="E1060">
        <v>934430.44</v>
      </c>
      <c r="F1060">
        <v>782025.16390000004</v>
      </c>
    </row>
    <row r="1061" spans="1:6" hidden="1" x14ac:dyDescent="0.25">
      <c r="A1061">
        <f t="shared" si="34"/>
        <v>25</v>
      </c>
      <c r="B1061" s="37">
        <v>44160</v>
      </c>
      <c r="C1061" t="s">
        <v>33</v>
      </c>
      <c r="D1061">
        <f t="shared" si="35"/>
        <v>2020</v>
      </c>
      <c r="E1061">
        <v>958847.2</v>
      </c>
      <c r="F1061">
        <v>917739.52049999998</v>
      </c>
    </row>
    <row r="1062" spans="1:6" hidden="1" x14ac:dyDescent="0.25">
      <c r="A1062">
        <f t="shared" si="34"/>
        <v>26</v>
      </c>
      <c r="B1062" s="37">
        <v>44161</v>
      </c>
      <c r="C1062" t="s">
        <v>33</v>
      </c>
      <c r="D1062">
        <f t="shared" si="35"/>
        <v>2020</v>
      </c>
      <c r="E1062">
        <v>1085529.92</v>
      </c>
      <c r="F1062">
        <v>925505.88699999999</v>
      </c>
    </row>
    <row r="1063" spans="1:6" hidden="1" x14ac:dyDescent="0.25">
      <c r="A1063">
        <f t="shared" si="34"/>
        <v>27</v>
      </c>
      <c r="B1063" s="37">
        <v>44162</v>
      </c>
      <c r="C1063" t="s">
        <v>33</v>
      </c>
      <c r="D1063">
        <f t="shared" si="35"/>
        <v>2020</v>
      </c>
      <c r="E1063">
        <v>1083089.8700000001</v>
      </c>
      <c r="F1063">
        <v>974184.26280000003</v>
      </c>
    </row>
    <row r="1064" spans="1:6" hidden="1" x14ac:dyDescent="0.25">
      <c r="A1064">
        <f t="shared" si="34"/>
        <v>28</v>
      </c>
      <c r="B1064" s="37">
        <v>44163</v>
      </c>
      <c r="C1064" t="s">
        <v>33</v>
      </c>
      <c r="D1064">
        <f t="shared" si="35"/>
        <v>2020</v>
      </c>
      <c r="E1064">
        <v>1083089.8700000001</v>
      </c>
      <c r="F1064">
        <v>974184.26280000003</v>
      </c>
    </row>
    <row r="1065" spans="1:6" hidden="1" x14ac:dyDescent="0.25">
      <c r="A1065">
        <f t="shared" si="34"/>
        <v>29</v>
      </c>
      <c r="B1065" s="37">
        <v>44164</v>
      </c>
      <c r="C1065" t="s">
        <v>33</v>
      </c>
      <c r="D1065">
        <f t="shared" si="35"/>
        <v>2020</v>
      </c>
      <c r="E1065">
        <v>1083089.8700000001</v>
      </c>
      <c r="F1065">
        <v>974184.26280000003</v>
      </c>
    </row>
    <row r="1066" spans="1:6" hidden="1" x14ac:dyDescent="0.25">
      <c r="A1066">
        <f t="shared" si="34"/>
        <v>30</v>
      </c>
      <c r="B1066" s="37">
        <v>44165</v>
      </c>
      <c r="C1066" t="s">
        <v>34</v>
      </c>
      <c r="D1066">
        <f t="shared" si="35"/>
        <v>2020</v>
      </c>
      <c r="E1066">
        <v>1033915.17</v>
      </c>
    </row>
    <row r="1067" spans="1:6" hidden="1" x14ac:dyDescent="0.25">
      <c r="A1067">
        <f t="shared" si="34"/>
        <v>1</v>
      </c>
      <c r="B1067" s="37">
        <v>44166</v>
      </c>
      <c r="C1067" t="s">
        <v>34</v>
      </c>
      <c r="D1067">
        <f t="shared" si="35"/>
        <v>2020</v>
      </c>
      <c r="E1067">
        <v>951261.9</v>
      </c>
      <c r="F1067">
        <v>1039923.6038</v>
      </c>
    </row>
    <row r="1068" spans="1:6" hidden="1" x14ac:dyDescent="0.25">
      <c r="A1068">
        <f t="shared" si="34"/>
        <v>2</v>
      </c>
      <c r="B1068" s="37">
        <v>44167</v>
      </c>
      <c r="C1068" t="s">
        <v>34</v>
      </c>
      <c r="D1068">
        <f t="shared" si="35"/>
        <v>2020</v>
      </c>
      <c r="E1068">
        <v>952068.58</v>
      </c>
      <c r="F1068">
        <v>1010404.149</v>
      </c>
    </row>
    <row r="1069" spans="1:6" hidden="1" x14ac:dyDescent="0.25">
      <c r="A1069">
        <f t="shared" si="34"/>
        <v>3</v>
      </c>
      <c r="B1069" s="37">
        <v>44168</v>
      </c>
      <c r="C1069" t="s">
        <v>34</v>
      </c>
      <c r="D1069">
        <f t="shared" si="35"/>
        <v>2020</v>
      </c>
      <c r="E1069">
        <v>1070643.7</v>
      </c>
      <c r="F1069">
        <v>1029051.9203999999</v>
      </c>
    </row>
    <row r="1070" spans="1:6" hidden="1" x14ac:dyDescent="0.25">
      <c r="A1070">
        <f t="shared" si="34"/>
        <v>4</v>
      </c>
      <c r="B1070" s="37">
        <v>44169</v>
      </c>
      <c r="C1070" t="s">
        <v>34</v>
      </c>
      <c r="D1070">
        <f t="shared" si="35"/>
        <v>2020</v>
      </c>
      <c r="E1070">
        <v>1141175.8899999999</v>
      </c>
      <c r="F1070">
        <v>1086140.7152</v>
      </c>
    </row>
    <row r="1071" spans="1:6" hidden="1" x14ac:dyDescent="0.25">
      <c r="A1071">
        <f t="shared" si="34"/>
        <v>5</v>
      </c>
      <c r="B1071" s="37">
        <v>44170</v>
      </c>
      <c r="C1071" t="s">
        <v>34</v>
      </c>
      <c r="D1071">
        <f t="shared" si="35"/>
        <v>2020</v>
      </c>
      <c r="F1071">
        <v>1086140.7152</v>
      </c>
    </row>
    <row r="1072" spans="1:6" hidden="1" x14ac:dyDescent="0.25">
      <c r="A1072">
        <f t="shared" si="34"/>
        <v>6</v>
      </c>
      <c r="B1072" s="37">
        <v>44171</v>
      </c>
      <c r="C1072" t="s">
        <v>34</v>
      </c>
      <c r="D1072">
        <f t="shared" si="35"/>
        <v>2020</v>
      </c>
      <c r="F1072">
        <v>1086140.7152</v>
      </c>
    </row>
    <row r="1073" spans="1:6" hidden="1" x14ac:dyDescent="0.25">
      <c r="A1073">
        <f t="shared" si="34"/>
        <v>7</v>
      </c>
      <c r="B1073" s="37">
        <v>44172</v>
      </c>
      <c r="C1073" t="s">
        <v>34</v>
      </c>
      <c r="D1073">
        <f t="shared" si="35"/>
        <v>2020</v>
      </c>
      <c r="E1073">
        <v>1051516.68</v>
      </c>
      <c r="F1073">
        <v>1084295.2893999999</v>
      </c>
    </row>
    <row r="1074" spans="1:6" hidden="1" x14ac:dyDescent="0.25">
      <c r="A1074">
        <f t="shared" si="34"/>
        <v>8</v>
      </c>
      <c r="B1074" s="37">
        <v>44173</v>
      </c>
      <c r="C1074" t="s">
        <v>34</v>
      </c>
      <c r="D1074">
        <f t="shared" si="35"/>
        <v>2020</v>
      </c>
      <c r="E1074">
        <v>1063161.04</v>
      </c>
      <c r="F1074">
        <v>1081303.5426</v>
      </c>
    </row>
    <row r="1075" spans="1:6" hidden="1" x14ac:dyDescent="0.25">
      <c r="A1075">
        <f t="shared" si="34"/>
        <v>9</v>
      </c>
      <c r="B1075" s="37">
        <v>44174</v>
      </c>
      <c r="C1075" t="s">
        <v>34</v>
      </c>
      <c r="D1075">
        <f t="shared" si="35"/>
        <v>2020</v>
      </c>
      <c r="E1075">
        <v>1091339.83</v>
      </c>
      <c r="F1075">
        <v>1079923.2072999999</v>
      </c>
    </row>
    <row r="1076" spans="1:6" hidden="1" x14ac:dyDescent="0.25">
      <c r="A1076">
        <f t="shared" si="34"/>
        <v>10</v>
      </c>
      <c r="B1076" s="37">
        <v>44175</v>
      </c>
      <c r="C1076" t="s">
        <v>34</v>
      </c>
      <c r="D1076">
        <f t="shared" si="35"/>
        <v>2020</v>
      </c>
      <c r="E1076">
        <v>1095888.69</v>
      </c>
      <c r="F1076">
        <v>1084350.9177000001</v>
      </c>
    </row>
    <row r="1077" spans="1:6" hidden="1" x14ac:dyDescent="0.25">
      <c r="A1077">
        <f t="shared" si="34"/>
        <v>11</v>
      </c>
      <c r="B1077" s="37">
        <v>44176</v>
      </c>
      <c r="C1077" t="s">
        <v>34</v>
      </c>
      <c r="D1077">
        <f t="shared" si="35"/>
        <v>2020</v>
      </c>
      <c r="E1077">
        <v>1097513.3799999999</v>
      </c>
      <c r="F1077">
        <v>1103443.6850000001</v>
      </c>
    </row>
    <row r="1078" spans="1:6" hidden="1" x14ac:dyDescent="0.25">
      <c r="A1078">
        <f t="shared" si="34"/>
        <v>12</v>
      </c>
      <c r="B1078" s="37">
        <v>44177</v>
      </c>
      <c r="C1078" t="s">
        <v>34</v>
      </c>
      <c r="D1078">
        <f t="shared" si="35"/>
        <v>2020</v>
      </c>
      <c r="E1078">
        <v>1097513.3799999999</v>
      </c>
      <c r="F1078">
        <v>1103443.6850000001</v>
      </c>
    </row>
    <row r="1079" spans="1:6" hidden="1" x14ac:dyDescent="0.25">
      <c r="A1079">
        <f t="shared" si="34"/>
        <v>13</v>
      </c>
      <c r="B1079" s="37">
        <v>44178</v>
      </c>
      <c r="C1079" t="s">
        <v>34</v>
      </c>
      <c r="D1079">
        <f t="shared" si="35"/>
        <v>2020</v>
      </c>
      <c r="E1079">
        <v>1097513.3799999999</v>
      </c>
      <c r="F1079">
        <v>1103443.6850000001</v>
      </c>
    </row>
    <row r="1080" spans="1:6" hidden="1" x14ac:dyDescent="0.25">
      <c r="A1080">
        <f t="shared" si="34"/>
        <v>14</v>
      </c>
      <c r="B1080" s="37">
        <v>44179</v>
      </c>
      <c r="C1080" t="s">
        <v>34</v>
      </c>
      <c r="D1080">
        <f t="shared" si="35"/>
        <v>2020</v>
      </c>
      <c r="E1080">
        <v>1089252.78</v>
      </c>
      <c r="F1080">
        <v>1103443.6850000001</v>
      </c>
    </row>
    <row r="1081" spans="1:6" hidden="1" x14ac:dyDescent="0.25">
      <c r="A1081">
        <f t="shared" si="34"/>
        <v>15</v>
      </c>
      <c r="B1081" s="37">
        <v>44180</v>
      </c>
      <c r="C1081" t="s">
        <v>34</v>
      </c>
      <c r="D1081">
        <f t="shared" si="35"/>
        <v>2020</v>
      </c>
      <c r="E1081">
        <v>1050554.3500000001</v>
      </c>
      <c r="F1081">
        <v>1087525.5278</v>
      </c>
    </row>
    <row r="1082" spans="1:6" hidden="1" x14ac:dyDescent="0.25">
      <c r="A1082">
        <f t="shared" si="34"/>
        <v>16</v>
      </c>
      <c r="B1082" s="37">
        <v>44181</v>
      </c>
      <c r="C1082" t="s">
        <v>34</v>
      </c>
      <c r="D1082">
        <f t="shared" si="35"/>
        <v>2020</v>
      </c>
      <c r="E1082">
        <v>1001662.2</v>
      </c>
      <c r="F1082">
        <v>1075442.1643000001</v>
      </c>
    </row>
    <row r="1083" spans="1:6" hidden="1" x14ac:dyDescent="0.25">
      <c r="A1083">
        <f t="shared" si="34"/>
        <v>17</v>
      </c>
      <c r="B1083" s="37">
        <v>44182</v>
      </c>
      <c r="C1083" t="s">
        <v>34</v>
      </c>
      <c r="D1083">
        <f t="shared" si="35"/>
        <v>2020</v>
      </c>
      <c r="E1083">
        <v>1013514.77</v>
      </c>
      <c r="F1083">
        <v>1050531.3367999999</v>
      </c>
    </row>
    <row r="1084" spans="1:6" hidden="1" x14ac:dyDescent="0.25">
      <c r="A1084">
        <f t="shared" si="34"/>
        <v>18</v>
      </c>
      <c r="B1084" s="37">
        <v>44183</v>
      </c>
      <c r="C1084" t="s">
        <v>34</v>
      </c>
      <c r="D1084">
        <f t="shared" si="35"/>
        <v>2020</v>
      </c>
      <c r="E1084">
        <v>1076131.68</v>
      </c>
      <c r="F1084">
        <v>1062380.477</v>
      </c>
    </row>
    <row r="1085" spans="1:6" hidden="1" x14ac:dyDescent="0.25">
      <c r="A1085">
        <f t="shared" si="34"/>
        <v>19</v>
      </c>
      <c r="B1085" s="37">
        <v>44184</v>
      </c>
      <c r="C1085" t="s">
        <v>34</v>
      </c>
      <c r="D1085">
        <f t="shared" si="35"/>
        <v>2020</v>
      </c>
      <c r="E1085">
        <v>1076131.68</v>
      </c>
      <c r="F1085">
        <v>1062380.477</v>
      </c>
    </row>
    <row r="1086" spans="1:6" hidden="1" x14ac:dyDescent="0.25">
      <c r="A1086">
        <f t="shared" si="34"/>
        <v>20</v>
      </c>
      <c r="B1086" s="37">
        <v>44185</v>
      </c>
      <c r="C1086" t="s">
        <v>34</v>
      </c>
      <c r="D1086">
        <f t="shared" si="35"/>
        <v>2020</v>
      </c>
      <c r="E1086">
        <v>1075290.81</v>
      </c>
      <c r="F1086">
        <v>1062380.477</v>
      </c>
    </row>
    <row r="1087" spans="1:6" hidden="1" x14ac:dyDescent="0.25">
      <c r="A1087">
        <f t="shared" si="34"/>
        <v>21</v>
      </c>
      <c r="B1087" s="37">
        <v>44186</v>
      </c>
      <c r="C1087" t="s">
        <v>34</v>
      </c>
      <c r="D1087">
        <f t="shared" si="35"/>
        <v>2020</v>
      </c>
      <c r="E1087">
        <v>1021174.02</v>
      </c>
      <c r="F1087">
        <v>1069360.3303</v>
      </c>
    </row>
    <row r="1088" spans="1:6" hidden="1" x14ac:dyDescent="0.25">
      <c r="A1088">
        <f t="shared" si="34"/>
        <v>22</v>
      </c>
      <c r="B1088" s="37">
        <v>44187</v>
      </c>
      <c r="C1088" t="s">
        <v>34</v>
      </c>
      <c r="D1088">
        <f t="shared" si="35"/>
        <v>2020</v>
      </c>
      <c r="E1088">
        <v>983852.87</v>
      </c>
      <c r="F1088">
        <v>1063464.9046</v>
      </c>
    </row>
    <row r="1089" spans="1:6" hidden="1" x14ac:dyDescent="0.25">
      <c r="A1089">
        <f t="shared" si="34"/>
        <v>23</v>
      </c>
      <c r="B1089" s="37">
        <v>44188</v>
      </c>
      <c r="C1089" t="s">
        <v>34</v>
      </c>
      <c r="D1089">
        <f t="shared" si="35"/>
        <v>2020</v>
      </c>
      <c r="E1089">
        <v>946940.03</v>
      </c>
      <c r="F1089">
        <v>1037851.2511</v>
      </c>
    </row>
    <row r="1090" spans="1:6" hidden="1" x14ac:dyDescent="0.25">
      <c r="A1090">
        <f t="shared" si="34"/>
        <v>24</v>
      </c>
      <c r="B1090" s="37">
        <v>44189</v>
      </c>
      <c r="C1090" t="s">
        <v>34</v>
      </c>
      <c r="D1090">
        <f t="shared" si="35"/>
        <v>2020</v>
      </c>
      <c r="E1090">
        <v>946940.03</v>
      </c>
      <c r="F1090">
        <v>1037851.2511</v>
      </c>
    </row>
    <row r="1091" spans="1:6" hidden="1" x14ac:dyDescent="0.25">
      <c r="A1091">
        <f t="shared" si="34"/>
        <v>25</v>
      </c>
      <c r="B1091" s="37">
        <v>44190</v>
      </c>
      <c r="C1091" t="s">
        <v>34</v>
      </c>
      <c r="D1091">
        <f t="shared" si="35"/>
        <v>2020</v>
      </c>
      <c r="E1091">
        <v>946940.03</v>
      </c>
      <c r="F1091">
        <v>1037851.2511</v>
      </c>
    </row>
    <row r="1092" spans="1:6" hidden="1" x14ac:dyDescent="0.25">
      <c r="A1092">
        <f t="shared" si="34"/>
        <v>26</v>
      </c>
      <c r="B1092" s="37">
        <v>44191</v>
      </c>
      <c r="C1092" t="s">
        <v>34</v>
      </c>
      <c r="D1092">
        <f t="shared" si="35"/>
        <v>2020</v>
      </c>
      <c r="E1092">
        <v>946940.03</v>
      </c>
      <c r="F1092">
        <v>1037851.2511</v>
      </c>
    </row>
    <row r="1093" spans="1:6" hidden="1" x14ac:dyDescent="0.25">
      <c r="A1093">
        <f t="shared" si="34"/>
        <v>27</v>
      </c>
      <c r="B1093" s="37">
        <v>44192</v>
      </c>
      <c r="C1093" t="s">
        <v>34</v>
      </c>
      <c r="D1093">
        <f t="shared" si="35"/>
        <v>2020</v>
      </c>
      <c r="E1093">
        <v>946940.03</v>
      </c>
      <c r="F1093">
        <v>1037851.2511</v>
      </c>
    </row>
    <row r="1094" spans="1:6" hidden="1" x14ac:dyDescent="0.25">
      <c r="A1094">
        <f t="shared" si="34"/>
        <v>28</v>
      </c>
      <c r="B1094" s="37">
        <v>44193</v>
      </c>
      <c r="C1094" t="s">
        <v>34</v>
      </c>
      <c r="D1094">
        <f t="shared" si="35"/>
        <v>2020</v>
      </c>
      <c r="E1094">
        <v>1097456.3600000001</v>
      </c>
      <c r="F1094">
        <v>1036631.0175</v>
      </c>
    </row>
    <row r="1095" spans="1:6" hidden="1" x14ac:dyDescent="0.25">
      <c r="A1095">
        <f t="shared" si="34"/>
        <v>29</v>
      </c>
      <c r="B1095" s="37">
        <v>44194</v>
      </c>
      <c r="C1095" t="s">
        <v>34</v>
      </c>
      <c r="D1095">
        <f t="shared" si="35"/>
        <v>2020</v>
      </c>
      <c r="E1095">
        <v>1178597.96</v>
      </c>
      <c r="F1095">
        <v>1089058.0734999999</v>
      </c>
    </row>
    <row r="1096" spans="1:6" hidden="1" x14ac:dyDescent="0.25">
      <c r="A1096">
        <f t="shared" si="34"/>
        <v>30</v>
      </c>
      <c r="B1096" s="37">
        <v>44195</v>
      </c>
      <c r="C1096" t="s">
        <v>34</v>
      </c>
      <c r="D1096">
        <f t="shared" si="35"/>
        <v>2020</v>
      </c>
      <c r="E1096">
        <v>1027812.89</v>
      </c>
      <c r="F1096">
        <v>1089058.0734999999</v>
      </c>
    </row>
    <row r="1097" spans="1:6" hidden="1" x14ac:dyDescent="0.25">
      <c r="A1097">
        <f t="shared" si="34"/>
        <v>31</v>
      </c>
      <c r="B1097" s="37">
        <v>44196</v>
      </c>
      <c r="C1097" t="s">
        <v>23</v>
      </c>
      <c r="D1097">
        <f t="shared" si="35"/>
        <v>2020</v>
      </c>
      <c r="E1097">
        <v>1027812.89</v>
      </c>
    </row>
    <row r="1098" spans="1:6" hidden="1" x14ac:dyDescent="0.25">
      <c r="A1098">
        <f t="shared" ref="A1098:A1161" si="36">DAY(B1098)</f>
        <v>1</v>
      </c>
      <c r="B1098" s="37">
        <v>44197</v>
      </c>
      <c r="C1098" t="s">
        <v>23</v>
      </c>
      <c r="D1098">
        <f t="shared" ref="D1098:D1161" si="37">YEAR(B1098)</f>
        <v>2021</v>
      </c>
      <c r="E1098">
        <v>1027812.89</v>
      </c>
      <c r="F1098">
        <v>1107198.58</v>
      </c>
    </row>
    <row r="1099" spans="1:6" hidden="1" x14ac:dyDescent="0.25">
      <c r="A1099">
        <f t="shared" si="36"/>
        <v>2</v>
      </c>
      <c r="B1099" s="37">
        <v>44198</v>
      </c>
      <c r="C1099" t="s">
        <v>23</v>
      </c>
      <c r="D1099">
        <f t="shared" si="37"/>
        <v>2021</v>
      </c>
      <c r="E1099">
        <v>1027812.89</v>
      </c>
      <c r="F1099">
        <v>1107198.58</v>
      </c>
    </row>
    <row r="1100" spans="1:6" hidden="1" x14ac:dyDescent="0.25">
      <c r="A1100">
        <f t="shared" si="36"/>
        <v>3</v>
      </c>
      <c r="B1100" s="37">
        <v>44199</v>
      </c>
      <c r="C1100" t="s">
        <v>23</v>
      </c>
      <c r="D1100">
        <f t="shared" si="37"/>
        <v>2021</v>
      </c>
      <c r="E1100">
        <v>1027812.89</v>
      </c>
      <c r="F1100">
        <v>1107198.58</v>
      </c>
    </row>
    <row r="1101" spans="1:6" hidden="1" x14ac:dyDescent="0.25">
      <c r="A1101">
        <f t="shared" si="36"/>
        <v>4</v>
      </c>
      <c r="B1101" s="37">
        <v>44200</v>
      </c>
      <c r="C1101" t="s">
        <v>23</v>
      </c>
      <c r="D1101">
        <f t="shared" si="37"/>
        <v>2021</v>
      </c>
      <c r="E1101">
        <v>1149425.8500000001</v>
      </c>
      <c r="F1101">
        <v>1114769.0930000001</v>
      </c>
    </row>
    <row r="1102" spans="1:6" hidden="1" x14ac:dyDescent="0.25">
      <c r="A1102">
        <f t="shared" si="36"/>
        <v>5</v>
      </c>
      <c r="B1102" s="37">
        <v>44201</v>
      </c>
      <c r="C1102" t="s">
        <v>23</v>
      </c>
      <c r="D1102">
        <f t="shared" si="37"/>
        <v>2021</v>
      </c>
      <c r="E1102">
        <v>1247798</v>
      </c>
      <c r="F1102">
        <v>1174992.6146</v>
      </c>
    </row>
    <row r="1103" spans="1:6" hidden="1" x14ac:dyDescent="0.25">
      <c r="A1103">
        <f t="shared" si="36"/>
        <v>6</v>
      </c>
      <c r="B1103" s="37">
        <v>44202</v>
      </c>
      <c r="C1103" t="s">
        <v>23</v>
      </c>
      <c r="D1103">
        <f t="shared" si="37"/>
        <v>2021</v>
      </c>
      <c r="E1103">
        <v>1361298.3</v>
      </c>
      <c r="F1103">
        <v>1174992.6146</v>
      </c>
    </row>
    <row r="1104" spans="1:6" hidden="1" x14ac:dyDescent="0.25">
      <c r="A1104">
        <f t="shared" si="36"/>
        <v>7</v>
      </c>
      <c r="B1104" s="37">
        <v>44203</v>
      </c>
      <c r="C1104" t="s">
        <v>23</v>
      </c>
      <c r="D1104">
        <f t="shared" si="37"/>
        <v>2021</v>
      </c>
      <c r="E1104">
        <v>1480281.82</v>
      </c>
      <c r="F1104">
        <v>1317659.5773</v>
      </c>
    </row>
    <row r="1105" spans="1:6" hidden="1" x14ac:dyDescent="0.25">
      <c r="A1105">
        <f t="shared" si="36"/>
        <v>8</v>
      </c>
      <c r="B1105" s="37">
        <v>44204</v>
      </c>
      <c r="C1105" t="s">
        <v>23</v>
      </c>
      <c r="D1105">
        <f t="shared" si="37"/>
        <v>2021</v>
      </c>
      <c r="E1105">
        <v>1559524.57</v>
      </c>
      <c r="F1105">
        <v>1468241.1492000001</v>
      </c>
    </row>
    <row r="1106" spans="1:6" hidden="1" x14ac:dyDescent="0.25">
      <c r="A1106">
        <f t="shared" si="36"/>
        <v>9</v>
      </c>
      <c r="B1106" s="37">
        <v>44205</v>
      </c>
      <c r="C1106" t="s">
        <v>23</v>
      </c>
      <c r="D1106">
        <f t="shared" si="37"/>
        <v>2021</v>
      </c>
      <c r="E1106">
        <v>1559524.57</v>
      </c>
      <c r="F1106">
        <v>1468241.1492000001</v>
      </c>
    </row>
    <row r="1107" spans="1:6" hidden="1" x14ac:dyDescent="0.25">
      <c r="A1107">
        <f t="shared" si="36"/>
        <v>10</v>
      </c>
      <c r="B1107" s="37">
        <v>44206</v>
      </c>
      <c r="C1107" t="s">
        <v>23</v>
      </c>
      <c r="D1107">
        <f t="shared" si="37"/>
        <v>2021</v>
      </c>
      <c r="E1107">
        <v>1559524.57</v>
      </c>
      <c r="F1107">
        <v>1468241.1492000001</v>
      </c>
    </row>
    <row r="1108" spans="1:6" hidden="1" x14ac:dyDescent="0.25">
      <c r="A1108">
        <f t="shared" si="36"/>
        <v>11</v>
      </c>
      <c r="B1108" s="37">
        <v>44207</v>
      </c>
      <c r="C1108" t="s">
        <v>23</v>
      </c>
      <c r="D1108">
        <f t="shared" si="37"/>
        <v>2021</v>
      </c>
      <c r="E1108">
        <v>1559949.3</v>
      </c>
      <c r="F1108">
        <v>1468241.1492000001</v>
      </c>
    </row>
    <row r="1109" spans="1:6" hidden="1" x14ac:dyDescent="0.25">
      <c r="A1109">
        <f t="shared" si="36"/>
        <v>12</v>
      </c>
      <c r="B1109" s="37">
        <v>44208</v>
      </c>
      <c r="C1109" t="s">
        <v>23</v>
      </c>
      <c r="D1109">
        <f t="shared" si="37"/>
        <v>2021</v>
      </c>
      <c r="E1109">
        <v>1492477.8</v>
      </c>
      <c r="F1109">
        <v>1504750.2228999999</v>
      </c>
    </row>
    <row r="1110" spans="1:6" hidden="1" x14ac:dyDescent="0.25">
      <c r="A1110">
        <f t="shared" si="36"/>
        <v>13</v>
      </c>
      <c r="B1110" s="37">
        <v>44209</v>
      </c>
      <c r="C1110" t="s">
        <v>23</v>
      </c>
      <c r="D1110">
        <f t="shared" si="37"/>
        <v>2021</v>
      </c>
      <c r="E1110">
        <v>1491874.82</v>
      </c>
      <c r="F1110">
        <v>1495567.5708999999</v>
      </c>
    </row>
    <row r="1111" spans="1:6" hidden="1" x14ac:dyDescent="0.25">
      <c r="A1111">
        <f t="shared" si="36"/>
        <v>14</v>
      </c>
      <c r="B1111" s="37">
        <v>44210</v>
      </c>
      <c r="C1111" t="s">
        <v>23</v>
      </c>
      <c r="D1111">
        <f t="shared" si="37"/>
        <v>2021</v>
      </c>
      <c r="E1111">
        <v>1542181.59</v>
      </c>
      <c r="F1111">
        <v>1500315.9749</v>
      </c>
    </row>
    <row r="1112" spans="1:6" hidden="1" x14ac:dyDescent="0.25">
      <c r="A1112">
        <f t="shared" si="36"/>
        <v>15</v>
      </c>
      <c r="B1112" s="37">
        <v>44211</v>
      </c>
      <c r="C1112" t="s">
        <v>23</v>
      </c>
      <c r="D1112">
        <f t="shared" si="37"/>
        <v>2021</v>
      </c>
      <c r="E1112">
        <v>1618580.1</v>
      </c>
      <c r="F1112">
        <v>1548933.3151</v>
      </c>
    </row>
    <row r="1113" spans="1:6" hidden="1" x14ac:dyDescent="0.25">
      <c r="A1113">
        <f t="shared" si="36"/>
        <v>16</v>
      </c>
      <c r="B1113" s="37">
        <v>44212</v>
      </c>
      <c r="C1113" t="s">
        <v>23</v>
      </c>
      <c r="D1113">
        <f t="shared" si="37"/>
        <v>2021</v>
      </c>
      <c r="E1113">
        <v>1618580.1</v>
      </c>
      <c r="F1113">
        <v>1548933.3151</v>
      </c>
    </row>
    <row r="1114" spans="1:6" hidden="1" x14ac:dyDescent="0.25">
      <c r="A1114">
        <f t="shared" si="36"/>
        <v>17</v>
      </c>
      <c r="B1114" s="37">
        <v>44213</v>
      </c>
      <c r="C1114" t="s">
        <v>23</v>
      </c>
      <c r="D1114">
        <f t="shared" si="37"/>
        <v>2021</v>
      </c>
      <c r="E1114">
        <v>1618580.1</v>
      </c>
      <c r="F1114">
        <v>1548933.3151</v>
      </c>
    </row>
    <row r="1115" spans="1:6" hidden="1" x14ac:dyDescent="0.25">
      <c r="A1115">
        <f t="shared" si="36"/>
        <v>18</v>
      </c>
      <c r="B1115" s="37">
        <v>44214</v>
      </c>
      <c r="C1115" t="s">
        <v>23</v>
      </c>
      <c r="D1115">
        <f t="shared" si="37"/>
        <v>2021</v>
      </c>
      <c r="E1115">
        <v>1587211.92</v>
      </c>
      <c r="F1115">
        <v>1548933.3151</v>
      </c>
    </row>
    <row r="1116" spans="1:6" hidden="1" x14ac:dyDescent="0.25">
      <c r="A1116">
        <f t="shared" si="36"/>
        <v>19</v>
      </c>
      <c r="B1116" s="37">
        <v>44215</v>
      </c>
      <c r="C1116" t="s">
        <v>23</v>
      </c>
      <c r="D1116">
        <f t="shared" si="37"/>
        <v>2021</v>
      </c>
      <c r="E1116">
        <v>1518865.71</v>
      </c>
      <c r="F1116">
        <v>1555320.5463</v>
      </c>
    </row>
    <row r="1117" spans="1:6" hidden="1" x14ac:dyDescent="0.25">
      <c r="A1117">
        <f t="shared" si="36"/>
        <v>20</v>
      </c>
      <c r="B1117" s="37">
        <v>44216</v>
      </c>
      <c r="C1117" t="s">
        <v>23</v>
      </c>
      <c r="D1117">
        <f t="shared" si="37"/>
        <v>2021</v>
      </c>
      <c r="E1117">
        <v>1634318.38</v>
      </c>
      <c r="F1117">
        <v>1561382.1279</v>
      </c>
    </row>
    <row r="1118" spans="1:6" hidden="1" x14ac:dyDescent="0.25">
      <c r="A1118">
        <f t="shared" si="36"/>
        <v>21</v>
      </c>
      <c r="B1118" s="37">
        <v>44217</v>
      </c>
      <c r="C1118" t="s">
        <v>23</v>
      </c>
      <c r="D1118">
        <f t="shared" si="37"/>
        <v>2021</v>
      </c>
      <c r="E1118">
        <v>1782534.19</v>
      </c>
      <c r="F1118">
        <v>1651774.351</v>
      </c>
    </row>
    <row r="1119" spans="1:6" hidden="1" x14ac:dyDescent="0.25">
      <c r="A1119">
        <f t="shared" si="36"/>
        <v>22</v>
      </c>
      <c r="B1119" s="37">
        <v>44218</v>
      </c>
      <c r="C1119" t="s">
        <v>23</v>
      </c>
      <c r="D1119">
        <f t="shared" si="37"/>
        <v>2021</v>
      </c>
      <c r="E1119">
        <v>1792532.14</v>
      </c>
      <c r="F1119">
        <v>1738760.9964999999</v>
      </c>
    </row>
    <row r="1120" spans="1:6" hidden="1" x14ac:dyDescent="0.25">
      <c r="A1120">
        <f t="shared" si="36"/>
        <v>23</v>
      </c>
      <c r="B1120" s="37">
        <v>44219</v>
      </c>
      <c r="C1120" t="s">
        <v>23</v>
      </c>
      <c r="D1120">
        <f t="shared" si="37"/>
        <v>2021</v>
      </c>
      <c r="E1120">
        <v>1792532.14</v>
      </c>
      <c r="F1120">
        <v>1738760.9964999999</v>
      </c>
    </row>
    <row r="1121" spans="1:6" hidden="1" x14ac:dyDescent="0.25">
      <c r="A1121">
        <f t="shared" si="36"/>
        <v>24</v>
      </c>
      <c r="B1121" s="37">
        <v>44220</v>
      </c>
      <c r="C1121" t="s">
        <v>23</v>
      </c>
      <c r="D1121">
        <f t="shared" si="37"/>
        <v>2021</v>
      </c>
      <c r="E1121">
        <v>1792532.14</v>
      </c>
      <c r="F1121">
        <v>1738760.9964999999</v>
      </c>
    </row>
    <row r="1122" spans="1:6" hidden="1" x14ac:dyDescent="0.25">
      <c r="A1122">
        <f t="shared" si="36"/>
        <v>25</v>
      </c>
      <c r="B1122" s="37">
        <v>44221</v>
      </c>
      <c r="C1122" t="s">
        <v>23</v>
      </c>
      <c r="D1122">
        <f t="shared" si="37"/>
        <v>2021</v>
      </c>
      <c r="E1122">
        <v>1734112.24</v>
      </c>
      <c r="F1122">
        <v>1732056.0111</v>
      </c>
    </row>
    <row r="1123" spans="1:6" hidden="1" x14ac:dyDescent="0.25">
      <c r="A1123">
        <f t="shared" si="36"/>
        <v>26</v>
      </c>
      <c r="B1123" s="37">
        <v>44222</v>
      </c>
      <c r="C1123" t="s">
        <v>23</v>
      </c>
      <c r="D1123">
        <f t="shared" si="37"/>
        <v>2021</v>
      </c>
      <c r="E1123">
        <v>1828660.1</v>
      </c>
      <c r="F1123">
        <v>1786690.2583999999</v>
      </c>
    </row>
    <row r="1124" spans="1:6" hidden="1" x14ac:dyDescent="0.25">
      <c r="A1124">
        <f t="shared" si="36"/>
        <v>27</v>
      </c>
      <c r="B1124" s="37">
        <v>44223</v>
      </c>
      <c r="C1124" t="s">
        <v>23</v>
      </c>
      <c r="D1124">
        <f t="shared" si="37"/>
        <v>2021</v>
      </c>
      <c r="E1124">
        <v>1857051.5</v>
      </c>
      <c r="F1124">
        <v>1823711.0623999999</v>
      </c>
    </row>
    <row r="1125" spans="1:6" hidden="1" x14ac:dyDescent="0.25">
      <c r="A1125">
        <f t="shared" si="36"/>
        <v>28</v>
      </c>
      <c r="B1125" s="37">
        <v>44224</v>
      </c>
      <c r="C1125" t="s">
        <v>23</v>
      </c>
      <c r="D1125">
        <f t="shared" si="37"/>
        <v>2021</v>
      </c>
      <c r="E1125">
        <v>1768789.89</v>
      </c>
      <c r="F1125">
        <v>1823627.3195</v>
      </c>
    </row>
    <row r="1126" spans="1:6" hidden="1" x14ac:dyDescent="0.25">
      <c r="A1126">
        <f t="shared" si="36"/>
        <v>29</v>
      </c>
      <c r="B1126" s="37">
        <v>44225</v>
      </c>
      <c r="C1126" t="s">
        <v>23</v>
      </c>
      <c r="D1126">
        <f t="shared" si="37"/>
        <v>2021</v>
      </c>
      <c r="E1126">
        <v>1765308.68</v>
      </c>
      <c r="F1126">
        <v>1821534.6745</v>
      </c>
    </row>
    <row r="1127" spans="1:6" hidden="1" x14ac:dyDescent="0.25">
      <c r="A1127">
        <f t="shared" si="36"/>
        <v>30</v>
      </c>
      <c r="B1127" s="37">
        <v>44226</v>
      </c>
      <c r="C1127" t="s">
        <v>23</v>
      </c>
      <c r="D1127">
        <f t="shared" si="37"/>
        <v>2021</v>
      </c>
      <c r="E1127">
        <v>1765308.68</v>
      </c>
      <c r="F1127">
        <v>1821534.6745</v>
      </c>
    </row>
    <row r="1128" spans="1:6" hidden="1" x14ac:dyDescent="0.25">
      <c r="A1128">
        <f t="shared" si="36"/>
        <v>31</v>
      </c>
      <c r="B1128" s="37">
        <v>44227</v>
      </c>
      <c r="C1128" t="s">
        <v>24</v>
      </c>
      <c r="D1128">
        <f t="shared" si="37"/>
        <v>2021</v>
      </c>
      <c r="E1128">
        <v>1765308.68</v>
      </c>
      <c r="F1128">
        <v>1821534.6745</v>
      </c>
    </row>
    <row r="1129" spans="1:6" hidden="1" x14ac:dyDescent="0.25">
      <c r="A1129">
        <f t="shared" si="36"/>
        <v>1</v>
      </c>
      <c r="B1129" s="37">
        <v>44228</v>
      </c>
      <c r="C1129" t="s">
        <v>24</v>
      </c>
      <c r="D1129">
        <f t="shared" si="37"/>
        <v>2021</v>
      </c>
      <c r="E1129">
        <v>1720166.17</v>
      </c>
      <c r="F1129">
        <v>1805260.6523</v>
      </c>
    </row>
    <row r="1130" spans="1:6" hidden="1" x14ac:dyDescent="0.25">
      <c r="A1130">
        <f t="shared" si="36"/>
        <v>2</v>
      </c>
      <c r="B1130" s="37">
        <v>44229</v>
      </c>
      <c r="C1130" t="s">
        <v>24</v>
      </c>
      <c r="D1130">
        <f t="shared" si="37"/>
        <v>2021</v>
      </c>
      <c r="E1130">
        <v>1757777.59</v>
      </c>
      <c r="F1130">
        <v>1790207.3487</v>
      </c>
    </row>
    <row r="1131" spans="1:6" hidden="1" x14ac:dyDescent="0.25">
      <c r="A1131">
        <f t="shared" si="36"/>
        <v>3</v>
      </c>
      <c r="B1131" s="37">
        <v>44230</v>
      </c>
      <c r="C1131" t="s">
        <v>24</v>
      </c>
      <c r="D1131">
        <f t="shared" si="37"/>
        <v>2021</v>
      </c>
      <c r="E1131">
        <v>1811388.87</v>
      </c>
      <c r="F1131">
        <v>1789925.2137</v>
      </c>
    </row>
    <row r="1132" spans="1:6" hidden="1" x14ac:dyDescent="0.25">
      <c r="A1132">
        <f t="shared" si="36"/>
        <v>4</v>
      </c>
      <c r="B1132" s="37">
        <v>44231</v>
      </c>
      <c r="C1132" t="s">
        <v>24</v>
      </c>
      <c r="D1132">
        <f t="shared" si="37"/>
        <v>2021</v>
      </c>
      <c r="E1132">
        <v>1861016.04</v>
      </c>
      <c r="F1132">
        <v>1828405.5004</v>
      </c>
    </row>
    <row r="1133" spans="1:6" hidden="1" x14ac:dyDescent="0.25">
      <c r="A1133">
        <f t="shared" si="36"/>
        <v>5</v>
      </c>
      <c r="B1133" s="37">
        <v>44232</v>
      </c>
      <c r="C1133" t="s">
        <v>24</v>
      </c>
      <c r="D1133">
        <f t="shared" si="37"/>
        <v>2021</v>
      </c>
      <c r="E1133">
        <v>1790271.69</v>
      </c>
      <c r="F1133">
        <v>1837423.4604</v>
      </c>
    </row>
    <row r="1134" spans="1:6" hidden="1" x14ac:dyDescent="0.25">
      <c r="A1134">
        <f t="shared" si="36"/>
        <v>6</v>
      </c>
      <c r="B1134" s="37">
        <v>44233</v>
      </c>
      <c r="C1134" t="s">
        <v>24</v>
      </c>
      <c r="D1134">
        <f t="shared" si="37"/>
        <v>2021</v>
      </c>
      <c r="E1134">
        <v>1790271.69</v>
      </c>
      <c r="F1134">
        <v>1837423.4604</v>
      </c>
    </row>
    <row r="1135" spans="1:6" hidden="1" x14ac:dyDescent="0.25">
      <c r="A1135">
        <f t="shared" si="36"/>
        <v>7</v>
      </c>
      <c r="B1135" s="37">
        <v>44234</v>
      </c>
      <c r="C1135" t="s">
        <v>24</v>
      </c>
      <c r="D1135">
        <f t="shared" si="37"/>
        <v>2021</v>
      </c>
      <c r="E1135">
        <v>1790271.69</v>
      </c>
      <c r="F1135">
        <v>1837423.4604</v>
      </c>
    </row>
    <row r="1136" spans="1:6" hidden="1" x14ac:dyDescent="0.25">
      <c r="A1136">
        <f t="shared" si="36"/>
        <v>8</v>
      </c>
      <c r="B1136" s="37">
        <v>44235</v>
      </c>
      <c r="C1136" t="s">
        <v>24</v>
      </c>
      <c r="D1136">
        <f t="shared" si="37"/>
        <v>2021</v>
      </c>
      <c r="E1136">
        <v>1790271.69</v>
      </c>
      <c r="F1136">
        <v>1812462.9240999999</v>
      </c>
    </row>
    <row r="1137" spans="1:6" hidden="1" x14ac:dyDescent="0.25">
      <c r="A1137">
        <f t="shared" si="36"/>
        <v>9</v>
      </c>
      <c r="B1137" s="37">
        <v>44236</v>
      </c>
      <c r="C1137" t="s">
        <v>24</v>
      </c>
      <c r="D1137">
        <f t="shared" si="37"/>
        <v>2021</v>
      </c>
      <c r="E1137">
        <v>1700438.27</v>
      </c>
      <c r="F1137">
        <v>1803816.6228</v>
      </c>
    </row>
    <row r="1138" spans="1:6" hidden="1" x14ac:dyDescent="0.25">
      <c r="A1138">
        <f t="shared" si="36"/>
        <v>10</v>
      </c>
      <c r="B1138" s="37">
        <v>44237</v>
      </c>
      <c r="C1138" t="s">
        <v>24</v>
      </c>
      <c r="D1138">
        <f t="shared" si="37"/>
        <v>2021</v>
      </c>
      <c r="E1138">
        <v>1734464.41</v>
      </c>
      <c r="F1138">
        <v>1788247.0795</v>
      </c>
    </row>
    <row r="1139" spans="1:6" hidden="1" x14ac:dyDescent="0.25">
      <c r="A1139">
        <f t="shared" si="36"/>
        <v>11</v>
      </c>
      <c r="B1139" s="37">
        <v>44238</v>
      </c>
      <c r="C1139" t="s">
        <v>24</v>
      </c>
      <c r="D1139">
        <f t="shared" si="37"/>
        <v>2021</v>
      </c>
      <c r="E1139">
        <v>1704190.28</v>
      </c>
      <c r="F1139">
        <v>1768156.5739</v>
      </c>
    </row>
    <row r="1140" spans="1:6" hidden="1" x14ac:dyDescent="0.25">
      <c r="A1140">
        <f t="shared" si="36"/>
        <v>12</v>
      </c>
      <c r="B1140" s="37">
        <v>44239</v>
      </c>
      <c r="C1140" t="s">
        <v>24</v>
      </c>
      <c r="D1140">
        <f t="shared" si="37"/>
        <v>2021</v>
      </c>
      <c r="E1140">
        <v>1652717.15</v>
      </c>
      <c r="F1140">
        <v>1728295.9767</v>
      </c>
    </row>
    <row r="1141" spans="1:6" hidden="1" x14ac:dyDescent="0.25">
      <c r="A1141">
        <f t="shared" si="36"/>
        <v>13</v>
      </c>
      <c r="B1141" s="37">
        <v>44240</v>
      </c>
      <c r="C1141" t="s">
        <v>24</v>
      </c>
      <c r="D1141">
        <f t="shared" si="37"/>
        <v>2021</v>
      </c>
      <c r="E1141">
        <v>1652717.15</v>
      </c>
      <c r="F1141">
        <v>1728295.9767</v>
      </c>
    </row>
    <row r="1142" spans="1:6" hidden="1" x14ac:dyDescent="0.25">
      <c r="A1142">
        <f t="shared" si="36"/>
        <v>14</v>
      </c>
      <c r="B1142" s="37">
        <v>44241</v>
      </c>
      <c r="C1142" t="s">
        <v>24</v>
      </c>
      <c r="D1142">
        <f t="shared" si="37"/>
        <v>2021</v>
      </c>
      <c r="E1142">
        <v>1652717.15</v>
      </c>
      <c r="F1142">
        <v>1728295.9767</v>
      </c>
    </row>
    <row r="1143" spans="1:6" hidden="1" x14ac:dyDescent="0.25">
      <c r="A1143">
        <f t="shared" si="36"/>
        <v>15</v>
      </c>
      <c r="B1143" s="37">
        <v>44242</v>
      </c>
      <c r="C1143" t="s">
        <v>24</v>
      </c>
      <c r="D1143">
        <f t="shared" si="37"/>
        <v>2021</v>
      </c>
      <c r="E1143">
        <v>1720185.27</v>
      </c>
      <c r="F1143">
        <v>1728295.9767</v>
      </c>
    </row>
    <row r="1144" spans="1:6" hidden="1" x14ac:dyDescent="0.25">
      <c r="A1144">
        <f t="shared" si="36"/>
        <v>16</v>
      </c>
      <c r="B1144" s="37">
        <v>44243</v>
      </c>
      <c r="C1144" t="s">
        <v>24</v>
      </c>
      <c r="D1144">
        <f t="shared" si="37"/>
        <v>2021</v>
      </c>
      <c r="E1144">
        <v>1738054</v>
      </c>
      <c r="F1144">
        <v>1728295.9767</v>
      </c>
    </row>
    <row r="1145" spans="1:6" hidden="1" x14ac:dyDescent="0.25">
      <c r="A1145">
        <f t="shared" si="36"/>
        <v>17</v>
      </c>
      <c r="B1145" s="37">
        <v>44244</v>
      </c>
      <c r="C1145" t="s">
        <v>24</v>
      </c>
      <c r="D1145">
        <f t="shared" si="37"/>
        <v>2021</v>
      </c>
      <c r="E1145">
        <v>1677658.98</v>
      </c>
      <c r="F1145">
        <v>1721287.1009</v>
      </c>
    </row>
    <row r="1146" spans="1:6" hidden="1" x14ac:dyDescent="0.25">
      <c r="A1146">
        <f t="shared" si="36"/>
        <v>18</v>
      </c>
      <c r="B1146" s="37">
        <v>44245</v>
      </c>
      <c r="C1146" t="s">
        <v>24</v>
      </c>
      <c r="D1146">
        <f t="shared" si="37"/>
        <v>2021</v>
      </c>
      <c r="E1146">
        <v>1762182.36</v>
      </c>
      <c r="F1146">
        <v>1720426.0475000001</v>
      </c>
    </row>
    <row r="1147" spans="1:6" hidden="1" x14ac:dyDescent="0.25">
      <c r="A1147">
        <f t="shared" si="36"/>
        <v>19</v>
      </c>
      <c r="B1147" s="37">
        <v>44246</v>
      </c>
      <c r="C1147" t="s">
        <v>24</v>
      </c>
      <c r="D1147">
        <f t="shared" si="37"/>
        <v>2021</v>
      </c>
      <c r="E1147">
        <v>1810008.8</v>
      </c>
      <c r="F1147">
        <v>1757608.7767</v>
      </c>
    </row>
    <row r="1148" spans="1:6" hidden="1" x14ac:dyDescent="0.25">
      <c r="A1148">
        <f t="shared" si="36"/>
        <v>20</v>
      </c>
      <c r="B1148" s="37">
        <v>44247</v>
      </c>
      <c r="C1148" t="s">
        <v>24</v>
      </c>
      <c r="D1148">
        <f t="shared" si="37"/>
        <v>2021</v>
      </c>
      <c r="E1148">
        <v>1810008.8</v>
      </c>
      <c r="F1148">
        <v>1757608.7767</v>
      </c>
    </row>
    <row r="1149" spans="1:6" hidden="1" x14ac:dyDescent="0.25">
      <c r="A1149">
        <f t="shared" si="36"/>
        <v>21</v>
      </c>
      <c r="B1149" s="37">
        <v>44248</v>
      </c>
      <c r="C1149" t="s">
        <v>24</v>
      </c>
      <c r="D1149">
        <f t="shared" si="37"/>
        <v>2021</v>
      </c>
      <c r="E1149">
        <v>1810008.8</v>
      </c>
      <c r="F1149">
        <v>1757608.7767</v>
      </c>
    </row>
    <row r="1150" spans="1:6" hidden="1" x14ac:dyDescent="0.25">
      <c r="A1150">
        <f t="shared" si="36"/>
        <v>22</v>
      </c>
      <c r="B1150" s="37">
        <v>44249</v>
      </c>
      <c r="C1150" t="s">
        <v>24</v>
      </c>
      <c r="D1150">
        <f t="shared" si="37"/>
        <v>2021</v>
      </c>
      <c r="E1150">
        <v>1872718.57</v>
      </c>
      <c r="F1150">
        <v>1803699.7156</v>
      </c>
    </row>
    <row r="1151" spans="1:6" hidden="1" x14ac:dyDescent="0.25">
      <c r="A1151">
        <f t="shared" si="36"/>
        <v>23</v>
      </c>
      <c r="B1151" s="37">
        <v>44250</v>
      </c>
      <c r="C1151" t="s">
        <v>24</v>
      </c>
      <c r="D1151">
        <f t="shared" si="37"/>
        <v>2021</v>
      </c>
      <c r="E1151">
        <v>1932752.19</v>
      </c>
      <c r="F1151">
        <v>1829671.7944</v>
      </c>
    </row>
    <row r="1152" spans="1:6" hidden="1" x14ac:dyDescent="0.25">
      <c r="A1152">
        <f t="shared" si="36"/>
        <v>24</v>
      </c>
      <c r="B1152" s="37">
        <v>44251</v>
      </c>
      <c r="C1152" t="s">
        <v>24</v>
      </c>
      <c r="D1152">
        <f t="shared" si="37"/>
        <v>2021</v>
      </c>
      <c r="E1152">
        <v>1926255.23</v>
      </c>
      <c r="F1152">
        <v>1872651.3781000001</v>
      </c>
    </row>
    <row r="1153" spans="1:6" hidden="1" x14ac:dyDescent="0.25">
      <c r="A1153">
        <f t="shared" si="36"/>
        <v>25</v>
      </c>
      <c r="B1153" s="37">
        <v>44252</v>
      </c>
      <c r="C1153" t="s">
        <v>24</v>
      </c>
      <c r="D1153">
        <f t="shared" si="37"/>
        <v>2021</v>
      </c>
      <c r="E1153">
        <v>1850466.34</v>
      </c>
      <c r="F1153">
        <v>1871361.1346</v>
      </c>
    </row>
    <row r="1154" spans="1:6" hidden="1" x14ac:dyDescent="0.25">
      <c r="A1154">
        <f t="shared" si="36"/>
        <v>26</v>
      </c>
      <c r="B1154" s="37">
        <v>44253</v>
      </c>
      <c r="C1154" t="s">
        <v>24</v>
      </c>
      <c r="D1154">
        <f t="shared" si="37"/>
        <v>2021</v>
      </c>
      <c r="E1154">
        <v>1890917.02</v>
      </c>
      <c r="F1154">
        <v>1865613.8866000001</v>
      </c>
    </row>
    <row r="1155" spans="1:6" hidden="1" x14ac:dyDescent="0.25">
      <c r="A1155">
        <f t="shared" si="36"/>
        <v>27</v>
      </c>
      <c r="B1155" s="37">
        <v>44254</v>
      </c>
      <c r="C1155" t="s">
        <v>24</v>
      </c>
      <c r="D1155">
        <f t="shared" si="37"/>
        <v>2021</v>
      </c>
      <c r="E1155">
        <v>1890917.02</v>
      </c>
      <c r="F1155">
        <v>1865613.8866000001</v>
      </c>
    </row>
    <row r="1156" spans="1:6" hidden="1" x14ac:dyDescent="0.25">
      <c r="A1156">
        <f t="shared" si="36"/>
        <v>28</v>
      </c>
      <c r="B1156" s="37">
        <v>44255</v>
      </c>
      <c r="C1156" t="s">
        <v>24</v>
      </c>
      <c r="D1156">
        <f t="shared" si="37"/>
        <v>2021</v>
      </c>
      <c r="E1156">
        <v>1890917.02</v>
      </c>
      <c r="F1156">
        <v>1865613.8866000001</v>
      </c>
    </row>
    <row r="1157" spans="1:6" hidden="1" x14ac:dyDescent="0.25">
      <c r="A1157">
        <f t="shared" si="36"/>
        <v>1</v>
      </c>
      <c r="B1157" s="37">
        <v>44256</v>
      </c>
      <c r="C1157" t="s">
        <v>25</v>
      </c>
      <c r="D1157">
        <f t="shared" si="37"/>
        <v>2021</v>
      </c>
      <c r="E1157">
        <v>1822661.64</v>
      </c>
      <c r="F1157">
        <v>1865857.9972999999</v>
      </c>
    </row>
    <row r="1158" spans="1:6" hidden="1" x14ac:dyDescent="0.25">
      <c r="A1158">
        <f t="shared" si="36"/>
        <v>2</v>
      </c>
      <c r="B1158" s="37">
        <v>44257</v>
      </c>
      <c r="C1158" t="s">
        <v>25</v>
      </c>
      <c r="D1158">
        <f t="shared" si="37"/>
        <v>2021</v>
      </c>
      <c r="E1158">
        <v>1877696.02</v>
      </c>
      <c r="F1158">
        <v>1863252.9372</v>
      </c>
    </row>
    <row r="1159" spans="1:6" hidden="1" x14ac:dyDescent="0.25">
      <c r="A1159">
        <f t="shared" si="36"/>
        <v>3</v>
      </c>
      <c r="B1159" s="37">
        <v>44258</v>
      </c>
      <c r="C1159" t="s">
        <v>25</v>
      </c>
      <c r="D1159">
        <f t="shared" si="37"/>
        <v>2021</v>
      </c>
      <c r="E1159">
        <v>1853330.11</v>
      </c>
      <c r="F1159">
        <v>1865046.2874</v>
      </c>
    </row>
    <row r="1160" spans="1:6" hidden="1" x14ac:dyDescent="0.25">
      <c r="A1160">
        <f t="shared" si="36"/>
        <v>4</v>
      </c>
      <c r="B1160" s="37">
        <v>44259</v>
      </c>
      <c r="C1160" t="s">
        <v>25</v>
      </c>
      <c r="D1160">
        <f t="shared" si="37"/>
        <v>2021</v>
      </c>
      <c r="E1160">
        <v>1895903.92</v>
      </c>
      <c r="F1160">
        <v>1874605.3587</v>
      </c>
    </row>
    <row r="1161" spans="1:6" hidden="1" x14ac:dyDescent="0.25">
      <c r="A1161">
        <f t="shared" si="36"/>
        <v>5</v>
      </c>
      <c r="B1161" s="37">
        <v>44260</v>
      </c>
      <c r="C1161" t="s">
        <v>25</v>
      </c>
      <c r="D1161">
        <f t="shared" si="37"/>
        <v>2021</v>
      </c>
      <c r="E1161">
        <v>1891597.11</v>
      </c>
      <c r="F1161">
        <v>1889184.9081999999</v>
      </c>
    </row>
    <row r="1162" spans="1:6" hidden="1" x14ac:dyDescent="0.25">
      <c r="A1162">
        <f t="shared" ref="A1162:A1225" si="38">DAY(B1162)</f>
        <v>6</v>
      </c>
      <c r="B1162" s="37">
        <v>44261</v>
      </c>
      <c r="C1162" t="s">
        <v>25</v>
      </c>
      <c r="D1162">
        <f t="shared" ref="D1162:D1225" si="39">YEAR(B1162)</f>
        <v>2021</v>
      </c>
      <c r="E1162">
        <v>1891597.11</v>
      </c>
      <c r="F1162">
        <v>1889184.9081999999</v>
      </c>
    </row>
    <row r="1163" spans="1:6" hidden="1" x14ac:dyDescent="0.25">
      <c r="A1163">
        <f t="shared" si="38"/>
        <v>7</v>
      </c>
      <c r="B1163" s="37">
        <v>44262</v>
      </c>
      <c r="C1163" t="s">
        <v>25</v>
      </c>
      <c r="D1163">
        <f t="shared" si="39"/>
        <v>2021</v>
      </c>
      <c r="E1163">
        <v>1891597.11</v>
      </c>
      <c r="F1163">
        <v>1889184.9081999999</v>
      </c>
    </row>
    <row r="1164" spans="1:6" hidden="1" x14ac:dyDescent="0.25">
      <c r="A1164">
        <f t="shared" si="38"/>
        <v>8</v>
      </c>
      <c r="B1164" s="37">
        <v>44263</v>
      </c>
      <c r="C1164" t="s">
        <v>25</v>
      </c>
      <c r="D1164">
        <f t="shared" si="39"/>
        <v>2021</v>
      </c>
      <c r="E1164">
        <v>1890676.83</v>
      </c>
      <c r="F1164">
        <v>1888035.8474000001</v>
      </c>
    </row>
    <row r="1165" spans="1:6" hidden="1" x14ac:dyDescent="0.25">
      <c r="A1165">
        <f t="shared" si="38"/>
        <v>9</v>
      </c>
      <c r="B1165" s="37">
        <v>44264</v>
      </c>
      <c r="C1165" t="s">
        <v>25</v>
      </c>
      <c r="D1165">
        <f t="shared" si="39"/>
        <v>2021</v>
      </c>
      <c r="E1165">
        <v>1881622.97</v>
      </c>
      <c r="F1165">
        <v>1881868.7398999999</v>
      </c>
    </row>
    <row r="1166" spans="1:6" hidden="1" x14ac:dyDescent="0.25">
      <c r="A1166">
        <f t="shared" si="38"/>
        <v>10</v>
      </c>
      <c r="B1166" s="37">
        <v>44265</v>
      </c>
      <c r="C1166" t="s">
        <v>25</v>
      </c>
      <c r="D1166">
        <f t="shared" si="39"/>
        <v>2021</v>
      </c>
      <c r="E1166">
        <v>1861051.58</v>
      </c>
      <c r="F1166">
        <v>1874468.1221</v>
      </c>
    </row>
    <row r="1167" spans="1:6" hidden="1" x14ac:dyDescent="0.25">
      <c r="A1167">
        <f t="shared" si="38"/>
        <v>11</v>
      </c>
      <c r="B1167" s="37">
        <v>44266</v>
      </c>
      <c r="C1167" t="s">
        <v>25</v>
      </c>
      <c r="D1167">
        <f t="shared" si="39"/>
        <v>2021</v>
      </c>
      <c r="E1167">
        <v>1840721.36</v>
      </c>
      <c r="F1167">
        <v>1858754.101</v>
      </c>
    </row>
    <row r="1168" spans="1:6" hidden="1" x14ac:dyDescent="0.25">
      <c r="A1168">
        <f t="shared" si="38"/>
        <v>12</v>
      </c>
      <c r="B1168" s="37">
        <v>44267</v>
      </c>
      <c r="C1168" t="s">
        <v>25</v>
      </c>
      <c r="D1168">
        <f t="shared" si="39"/>
        <v>2021</v>
      </c>
      <c r="E1168">
        <v>1834093.99</v>
      </c>
      <c r="F1168">
        <v>1848567.5699</v>
      </c>
    </row>
    <row r="1169" spans="1:6" hidden="1" x14ac:dyDescent="0.25">
      <c r="A1169">
        <f t="shared" si="38"/>
        <v>13</v>
      </c>
      <c r="B1169" s="37">
        <v>44268</v>
      </c>
      <c r="C1169" t="s">
        <v>25</v>
      </c>
      <c r="D1169">
        <f t="shared" si="39"/>
        <v>2021</v>
      </c>
      <c r="E1169">
        <v>1834093.99</v>
      </c>
      <c r="F1169">
        <v>1848567.5699</v>
      </c>
    </row>
    <row r="1170" spans="1:6" hidden="1" x14ac:dyDescent="0.25">
      <c r="A1170">
        <f t="shared" si="38"/>
        <v>14</v>
      </c>
      <c r="B1170" s="37">
        <v>44269</v>
      </c>
      <c r="C1170" t="s">
        <v>25</v>
      </c>
      <c r="D1170">
        <f t="shared" si="39"/>
        <v>2021</v>
      </c>
      <c r="E1170">
        <v>1834093.99</v>
      </c>
      <c r="F1170">
        <v>1848567.5699</v>
      </c>
    </row>
    <row r="1171" spans="1:6" hidden="1" x14ac:dyDescent="0.25">
      <c r="A1171">
        <f t="shared" si="38"/>
        <v>15</v>
      </c>
      <c r="B1171" s="37">
        <v>44270</v>
      </c>
      <c r="C1171" t="s">
        <v>25</v>
      </c>
      <c r="D1171">
        <f t="shared" si="39"/>
        <v>2021</v>
      </c>
      <c r="E1171">
        <v>1830839.11</v>
      </c>
      <c r="F1171">
        <v>1827284.7922</v>
      </c>
    </row>
    <row r="1172" spans="1:6" hidden="1" x14ac:dyDescent="0.25">
      <c r="A1172">
        <f t="shared" si="38"/>
        <v>16</v>
      </c>
      <c r="B1172" s="37">
        <v>44271</v>
      </c>
      <c r="C1172" t="s">
        <v>25</v>
      </c>
      <c r="D1172">
        <f t="shared" si="39"/>
        <v>2021</v>
      </c>
      <c r="E1172">
        <v>1838199.3</v>
      </c>
      <c r="F1172">
        <v>1822320.2778</v>
      </c>
    </row>
    <row r="1173" spans="1:6" hidden="1" x14ac:dyDescent="0.25">
      <c r="A1173">
        <f t="shared" si="38"/>
        <v>17</v>
      </c>
      <c r="B1173" s="37">
        <v>44272</v>
      </c>
      <c r="C1173" t="s">
        <v>25</v>
      </c>
      <c r="D1173">
        <f t="shared" si="39"/>
        <v>2021</v>
      </c>
      <c r="E1173">
        <v>1811680.92</v>
      </c>
      <c r="F1173">
        <v>1804479.6606999999</v>
      </c>
    </row>
    <row r="1174" spans="1:6" hidden="1" x14ac:dyDescent="0.25">
      <c r="A1174">
        <f t="shared" si="38"/>
        <v>18</v>
      </c>
      <c r="B1174" s="37">
        <v>44273</v>
      </c>
      <c r="C1174" t="s">
        <v>25</v>
      </c>
      <c r="D1174">
        <f t="shared" si="39"/>
        <v>2021</v>
      </c>
      <c r="E1174">
        <v>1819066.4</v>
      </c>
      <c r="F1174">
        <v>1804994.4561999999</v>
      </c>
    </row>
    <row r="1175" spans="1:6" hidden="1" x14ac:dyDescent="0.25">
      <c r="A1175">
        <f t="shared" si="38"/>
        <v>19</v>
      </c>
      <c r="B1175" s="37">
        <v>44274</v>
      </c>
      <c r="C1175" t="s">
        <v>25</v>
      </c>
      <c r="D1175">
        <f t="shared" si="39"/>
        <v>2021</v>
      </c>
      <c r="E1175">
        <v>1847538.6</v>
      </c>
      <c r="F1175">
        <v>1804994.4561999999</v>
      </c>
    </row>
    <row r="1176" spans="1:6" hidden="1" x14ac:dyDescent="0.25">
      <c r="A1176">
        <f t="shared" si="38"/>
        <v>20</v>
      </c>
      <c r="B1176" s="37">
        <v>44275</v>
      </c>
      <c r="C1176" t="s">
        <v>25</v>
      </c>
      <c r="D1176">
        <f t="shared" si="39"/>
        <v>2021</v>
      </c>
      <c r="E1176">
        <v>1847538.6</v>
      </c>
      <c r="F1176">
        <v>1804994.4561999999</v>
      </c>
    </row>
    <row r="1177" spans="1:6" hidden="1" x14ac:dyDescent="0.25">
      <c r="A1177">
        <f t="shared" si="38"/>
        <v>21</v>
      </c>
      <c r="B1177" s="37">
        <v>44276</v>
      </c>
      <c r="C1177" t="s">
        <v>25</v>
      </c>
      <c r="D1177">
        <f t="shared" si="39"/>
        <v>2021</v>
      </c>
      <c r="E1177">
        <v>1847538.6</v>
      </c>
      <c r="F1177">
        <v>1804994.4561999999</v>
      </c>
    </row>
    <row r="1178" spans="1:6" hidden="1" x14ac:dyDescent="0.25">
      <c r="A1178">
        <f t="shared" si="38"/>
        <v>22</v>
      </c>
      <c r="B1178" s="37">
        <v>44277</v>
      </c>
      <c r="C1178" t="s">
        <v>25</v>
      </c>
      <c r="D1178">
        <f t="shared" si="39"/>
        <v>2021</v>
      </c>
      <c r="E1178">
        <v>1856042.32</v>
      </c>
      <c r="F1178">
        <v>1821810.808</v>
      </c>
    </row>
    <row r="1179" spans="1:6" hidden="1" x14ac:dyDescent="0.25">
      <c r="A1179">
        <f t="shared" si="38"/>
        <v>23</v>
      </c>
      <c r="B1179" s="37">
        <v>44278</v>
      </c>
      <c r="C1179" t="s">
        <v>25</v>
      </c>
      <c r="D1179">
        <f t="shared" si="39"/>
        <v>2021</v>
      </c>
      <c r="E1179">
        <v>1865403.36</v>
      </c>
      <c r="F1179">
        <v>1827910.5729</v>
      </c>
    </row>
    <row r="1180" spans="1:6" hidden="1" x14ac:dyDescent="0.25">
      <c r="A1180">
        <f t="shared" si="38"/>
        <v>24</v>
      </c>
      <c r="B1180" s="37">
        <v>44279</v>
      </c>
      <c r="C1180" t="s">
        <v>25</v>
      </c>
      <c r="D1180">
        <f t="shared" si="39"/>
        <v>2021</v>
      </c>
      <c r="E1180">
        <v>1876442.82</v>
      </c>
      <c r="F1180">
        <v>1845928.6599000001</v>
      </c>
    </row>
    <row r="1181" spans="1:6" hidden="1" x14ac:dyDescent="0.25">
      <c r="A1181">
        <f t="shared" si="38"/>
        <v>25</v>
      </c>
      <c r="B1181" s="37">
        <v>44280</v>
      </c>
      <c r="C1181" t="s">
        <v>25</v>
      </c>
      <c r="D1181">
        <f t="shared" si="39"/>
        <v>2021</v>
      </c>
      <c r="E1181">
        <v>1907399.88</v>
      </c>
      <c r="F1181">
        <v>1852972.1242</v>
      </c>
    </row>
    <row r="1182" spans="1:6" hidden="1" x14ac:dyDescent="0.25">
      <c r="A1182">
        <f t="shared" si="38"/>
        <v>26</v>
      </c>
      <c r="B1182" s="37">
        <v>44281</v>
      </c>
      <c r="C1182" t="s">
        <v>25</v>
      </c>
      <c r="D1182">
        <f t="shared" si="39"/>
        <v>2021</v>
      </c>
      <c r="E1182">
        <v>1931439.15</v>
      </c>
      <c r="F1182">
        <v>1890076.7446000001</v>
      </c>
    </row>
    <row r="1183" spans="1:6" hidden="1" x14ac:dyDescent="0.25">
      <c r="A1183">
        <f t="shared" si="38"/>
        <v>27</v>
      </c>
      <c r="B1183" s="37">
        <v>44282</v>
      </c>
      <c r="C1183" t="s">
        <v>25</v>
      </c>
      <c r="D1183">
        <f t="shared" si="39"/>
        <v>2021</v>
      </c>
      <c r="E1183">
        <v>1931439.15</v>
      </c>
      <c r="F1183">
        <v>1890076.7446000001</v>
      </c>
    </row>
    <row r="1184" spans="1:6" hidden="1" x14ac:dyDescent="0.25">
      <c r="A1184">
        <f t="shared" si="38"/>
        <v>28</v>
      </c>
      <c r="B1184" s="37">
        <v>44283</v>
      </c>
      <c r="C1184" t="s">
        <v>25</v>
      </c>
      <c r="D1184">
        <f t="shared" si="39"/>
        <v>2021</v>
      </c>
      <c r="E1184">
        <v>1931439.15</v>
      </c>
      <c r="F1184">
        <v>1890076.7446000001</v>
      </c>
    </row>
    <row r="1185" spans="1:6" hidden="1" x14ac:dyDescent="0.25">
      <c r="A1185">
        <f t="shared" si="38"/>
        <v>29</v>
      </c>
      <c r="B1185" s="37">
        <v>44284</v>
      </c>
      <c r="C1185" t="s">
        <v>25</v>
      </c>
      <c r="D1185">
        <f t="shared" si="39"/>
        <v>2021</v>
      </c>
      <c r="E1185">
        <v>1971531.94</v>
      </c>
      <c r="F1185">
        <v>1931176.1947999999</v>
      </c>
    </row>
    <row r="1186" spans="1:6" hidden="1" x14ac:dyDescent="0.25">
      <c r="A1186">
        <f t="shared" si="38"/>
        <v>30</v>
      </c>
      <c r="B1186" s="37">
        <v>44285</v>
      </c>
      <c r="C1186" t="s">
        <v>25</v>
      </c>
      <c r="D1186">
        <f t="shared" si="39"/>
        <v>2021</v>
      </c>
      <c r="E1186">
        <v>2014514.98</v>
      </c>
      <c r="F1186">
        <v>1968064.2250999999</v>
      </c>
    </row>
    <row r="1187" spans="1:6" hidden="1" x14ac:dyDescent="0.25">
      <c r="A1187">
        <f t="shared" si="38"/>
        <v>31</v>
      </c>
      <c r="B1187" s="37">
        <v>44286</v>
      </c>
      <c r="C1187" t="s">
        <v>25</v>
      </c>
      <c r="D1187">
        <f t="shared" si="39"/>
        <v>2021</v>
      </c>
      <c r="E1187">
        <v>2110430.6</v>
      </c>
      <c r="F1187">
        <v>1987184.7478</v>
      </c>
    </row>
    <row r="1188" spans="1:6" hidden="1" x14ac:dyDescent="0.25">
      <c r="A1188">
        <f t="shared" si="38"/>
        <v>1</v>
      </c>
      <c r="B1188" s="37">
        <v>44287</v>
      </c>
      <c r="C1188" t="s">
        <v>26</v>
      </c>
      <c r="D1188">
        <f t="shared" si="39"/>
        <v>2021</v>
      </c>
      <c r="E1188">
        <v>2161933.2310000001</v>
      </c>
      <c r="F1188">
        <v>1987184.7478</v>
      </c>
    </row>
    <row r="1189" spans="1:6" hidden="1" x14ac:dyDescent="0.25">
      <c r="A1189">
        <f t="shared" si="38"/>
        <v>2</v>
      </c>
      <c r="B1189" s="37">
        <v>44288</v>
      </c>
      <c r="C1189" t="s">
        <v>26</v>
      </c>
      <c r="D1189">
        <f t="shared" si="39"/>
        <v>2021</v>
      </c>
      <c r="E1189">
        <v>2161933.56</v>
      </c>
      <c r="F1189">
        <v>1987184.7478</v>
      </c>
    </row>
    <row r="1190" spans="1:6" hidden="1" x14ac:dyDescent="0.25">
      <c r="A1190">
        <f t="shared" si="38"/>
        <v>3</v>
      </c>
      <c r="B1190" s="37">
        <v>44289</v>
      </c>
      <c r="C1190" t="s">
        <v>26</v>
      </c>
      <c r="D1190">
        <f t="shared" si="39"/>
        <v>2021</v>
      </c>
      <c r="E1190">
        <v>2161933.56</v>
      </c>
      <c r="F1190">
        <v>1987184.7478</v>
      </c>
    </row>
    <row r="1191" spans="1:6" hidden="1" x14ac:dyDescent="0.25">
      <c r="A1191">
        <f t="shared" si="38"/>
        <v>4</v>
      </c>
      <c r="B1191" s="37">
        <v>44290</v>
      </c>
      <c r="C1191" t="s">
        <v>26</v>
      </c>
      <c r="D1191">
        <f t="shared" si="39"/>
        <v>2021</v>
      </c>
      <c r="E1191">
        <v>2161933.56</v>
      </c>
      <c r="F1191">
        <v>1987184.7478</v>
      </c>
    </row>
    <row r="1192" spans="1:6" hidden="1" x14ac:dyDescent="0.25">
      <c r="A1192">
        <f t="shared" si="38"/>
        <v>5</v>
      </c>
      <c r="B1192" s="37">
        <v>44291</v>
      </c>
      <c r="C1192" t="s">
        <v>26</v>
      </c>
      <c r="D1192">
        <f t="shared" si="39"/>
        <v>2021</v>
      </c>
      <c r="E1192">
        <v>2093843.55</v>
      </c>
      <c r="F1192">
        <v>2070854.9672000001</v>
      </c>
    </row>
    <row r="1193" spans="1:6" hidden="1" x14ac:dyDescent="0.25">
      <c r="A1193">
        <f t="shared" si="38"/>
        <v>6</v>
      </c>
      <c r="B1193" s="37">
        <v>44292</v>
      </c>
      <c r="C1193" t="s">
        <v>26</v>
      </c>
      <c r="D1193">
        <f t="shared" si="39"/>
        <v>2021</v>
      </c>
      <c r="E1193">
        <v>2103235.4900000002</v>
      </c>
      <c r="F1193">
        <v>2078720.571</v>
      </c>
    </row>
    <row r="1194" spans="1:6" hidden="1" x14ac:dyDescent="0.25">
      <c r="A1194">
        <f t="shared" si="38"/>
        <v>7</v>
      </c>
      <c r="B1194" s="37">
        <v>44293</v>
      </c>
      <c r="C1194" t="s">
        <v>26</v>
      </c>
      <c r="D1194">
        <f t="shared" si="39"/>
        <v>2021</v>
      </c>
      <c r="E1194">
        <v>2161250.9700000002</v>
      </c>
      <c r="F1194">
        <v>2109981.3964</v>
      </c>
    </row>
    <row r="1195" spans="1:6" hidden="1" x14ac:dyDescent="0.25">
      <c r="A1195">
        <f t="shared" si="38"/>
        <v>8</v>
      </c>
      <c r="B1195" s="37">
        <v>44294</v>
      </c>
      <c r="C1195" t="s">
        <v>26</v>
      </c>
      <c r="D1195">
        <f t="shared" si="39"/>
        <v>2021</v>
      </c>
      <c r="E1195">
        <v>2250296.4700000002</v>
      </c>
      <c r="F1195">
        <v>2142514.41</v>
      </c>
    </row>
    <row r="1196" spans="1:6" hidden="1" x14ac:dyDescent="0.25">
      <c r="A1196">
        <f t="shared" si="38"/>
        <v>9</v>
      </c>
      <c r="B1196" s="37">
        <v>44295</v>
      </c>
      <c r="C1196" t="s">
        <v>26</v>
      </c>
      <c r="D1196">
        <f t="shared" si="39"/>
        <v>2021</v>
      </c>
      <c r="E1196">
        <v>2304641.42</v>
      </c>
      <c r="F1196">
        <v>2235823.8067000001</v>
      </c>
    </row>
    <row r="1197" spans="1:6" hidden="1" x14ac:dyDescent="0.25">
      <c r="A1197">
        <f t="shared" si="38"/>
        <v>10</v>
      </c>
      <c r="B1197" s="37">
        <v>44296</v>
      </c>
      <c r="C1197" t="s">
        <v>26</v>
      </c>
      <c r="D1197">
        <f t="shared" si="39"/>
        <v>2021</v>
      </c>
      <c r="E1197">
        <v>2304641.42</v>
      </c>
      <c r="F1197">
        <v>2235823.8067000001</v>
      </c>
    </row>
    <row r="1198" spans="1:6" hidden="1" x14ac:dyDescent="0.25">
      <c r="A1198">
        <f t="shared" si="38"/>
        <v>11</v>
      </c>
      <c r="B1198" s="37">
        <v>44297</v>
      </c>
      <c r="C1198" t="s">
        <v>26</v>
      </c>
      <c r="D1198">
        <f t="shared" si="39"/>
        <v>2021</v>
      </c>
      <c r="E1198">
        <v>2304641.42</v>
      </c>
      <c r="F1198">
        <v>2235823.8067000001</v>
      </c>
    </row>
    <row r="1199" spans="1:6" hidden="1" x14ac:dyDescent="0.25">
      <c r="A1199">
        <f t="shared" si="38"/>
        <v>12</v>
      </c>
      <c r="B1199" s="37">
        <v>44298</v>
      </c>
      <c r="C1199" t="s">
        <v>26</v>
      </c>
      <c r="D1199">
        <f t="shared" si="39"/>
        <v>2021</v>
      </c>
      <c r="E1199">
        <v>2347748.35</v>
      </c>
      <c r="F1199">
        <v>2290488.2878999999</v>
      </c>
    </row>
    <row r="1200" spans="1:6" hidden="1" x14ac:dyDescent="0.25">
      <c r="A1200">
        <f t="shared" si="38"/>
        <v>13</v>
      </c>
      <c r="B1200" s="37">
        <v>44299</v>
      </c>
      <c r="C1200" t="s">
        <v>26</v>
      </c>
      <c r="D1200">
        <f t="shared" si="39"/>
        <v>2021</v>
      </c>
      <c r="E1200">
        <v>2364088.5299999998</v>
      </c>
      <c r="F1200">
        <v>2334983.5488</v>
      </c>
    </row>
    <row r="1201" spans="1:6" hidden="1" x14ac:dyDescent="0.25">
      <c r="A1201">
        <f t="shared" si="38"/>
        <v>14</v>
      </c>
      <c r="B1201" s="37">
        <v>44300</v>
      </c>
      <c r="C1201" t="s">
        <v>26</v>
      </c>
      <c r="D1201">
        <f t="shared" si="39"/>
        <v>2021</v>
      </c>
      <c r="E1201">
        <v>2415375.34</v>
      </c>
      <c r="F1201">
        <v>2315163.0203</v>
      </c>
    </row>
    <row r="1202" spans="1:6" hidden="1" x14ac:dyDescent="0.25">
      <c r="A1202">
        <f t="shared" si="38"/>
        <v>15</v>
      </c>
      <c r="B1202" s="37">
        <v>44301</v>
      </c>
      <c r="C1202" t="s">
        <v>26</v>
      </c>
      <c r="D1202">
        <f t="shared" si="39"/>
        <v>2021</v>
      </c>
      <c r="E1202">
        <v>2487100.17</v>
      </c>
      <c r="F1202">
        <v>2381793.6472999998</v>
      </c>
    </row>
    <row r="1203" spans="1:6" hidden="1" x14ac:dyDescent="0.25">
      <c r="A1203">
        <f t="shared" si="38"/>
        <v>16</v>
      </c>
      <c r="B1203" s="37">
        <v>44302</v>
      </c>
      <c r="C1203" t="s">
        <v>26</v>
      </c>
      <c r="D1203">
        <f t="shared" si="39"/>
        <v>2021</v>
      </c>
      <c r="E1203">
        <v>2455059.7400000002</v>
      </c>
      <c r="F1203">
        <v>2363585.2091000001</v>
      </c>
    </row>
    <row r="1204" spans="1:6" hidden="1" x14ac:dyDescent="0.25">
      <c r="A1204">
        <f t="shared" si="38"/>
        <v>17</v>
      </c>
      <c r="B1204" s="37">
        <v>44303</v>
      </c>
      <c r="C1204" t="s">
        <v>26</v>
      </c>
      <c r="D1204">
        <f t="shared" si="39"/>
        <v>2021</v>
      </c>
      <c r="E1204">
        <v>2455059.7400000002</v>
      </c>
      <c r="F1204">
        <v>2363585.2091000001</v>
      </c>
    </row>
    <row r="1205" spans="1:6" hidden="1" x14ac:dyDescent="0.25">
      <c r="A1205">
        <f t="shared" si="38"/>
        <v>18</v>
      </c>
      <c r="B1205" s="37">
        <v>44304</v>
      </c>
      <c r="C1205" t="s">
        <v>26</v>
      </c>
      <c r="D1205">
        <f t="shared" si="39"/>
        <v>2021</v>
      </c>
      <c r="E1205">
        <v>2455059.7400000002</v>
      </c>
      <c r="F1205">
        <v>2363585.2091000001</v>
      </c>
    </row>
    <row r="1206" spans="1:6" hidden="1" x14ac:dyDescent="0.25">
      <c r="A1206">
        <f t="shared" si="38"/>
        <v>19</v>
      </c>
      <c r="B1206" s="37">
        <v>44305</v>
      </c>
      <c r="C1206" t="s">
        <v>26</v>
      </c>
      <c r="D1206">
        <f t="shared" si="39"/>
        <v>2021</v>
      </c>
      <c r="E1206">
        <v>2524604.5699999998</v>
      </c>
      <c r="F1206">
        <v>2363585.2091000001</v>
      </c>
    </row>
    <row r="1207" spans="1:6" hidden="1" x14ac:dyDescent="0.25">
      <c r="A1207">
        <f t="shared" si="38"/>
        <v>20</v>
      </c>
      <c r="B1207" s="37">
        <v>44306</v>
      </c>
      <c r="C1207" t="s">
        <v>26</v>
      </c>
      <c r="D1207">
        <f t="shared" si="39"/>
        <v>2021</v>
      </c>
      <c r="E1207">
        <v>2533784.41</v>
      </c>
      <c r="F1207">
        <v>2467460.6984999999</v>
      </c>
    </row>
    <row r="1208" spans="1:6" hidden="1" x14ac:dyDescent="0.25">
      <c r="A1208">
        <f t="shared" si="38"/>
        <v>21</v>
      </c>
      <c r="B1208" s="37">
        <v>44307</v>
      </c>
      <c r="C1208" t="s">
        <v>26</v>
      </c>
      <c r="D1208">
        <f t="shared" si="39"/>
        <v>2021</v>
      </c>
      <c r="E1208">
        <v>2560362.67</v>
      </c>
      <c r="F1208">
        <v>2518331.4824999999</v>
      </c>
    </row>
    <row r="1209" spans="1:6" hidden="1" x14ac:dyDescent="0.25">
      <c r="A1209">
        <f t="shared" si="38"/>
        <v>22</v>
      </c>
      <c r="B1209" s="37">
        <v>44308</v>
      </c>
      <c r="C1209" t="s">
        <v>26</v>
      </c>
      <c r="D1209">
        <f t="shared" si="39"/>
        <v>2021</v>
      </c>
      <c r="E1209">
        <v>2646344.08</v>
      </c>
      <c r="F1209">
        <v>2506329.9142</v>
      </c>
    </row>
    <row r="1210" spans="1:6" hidden="1" x14ac:dyDescent="0.25">
      <c r="A1210">
        <f t="shared" si="38"/>
        <v>23</v>
      </c>
      <c r="B1210" s="37">
        <v>44309</v>
      </c>
      <c r="C1210" t="s">
        <v>26</v>
      </c>
      <c r="D1210">
        <f t="shared" si="39"/>
        <v>2021</v>
      </c>
      <c r="E1210">
        <v>2787663.64</v>
      </c>
      <c r="F1210">
        <v>2647851.6636000001</v>
      </c>
    </row>
    <row r="1211" spans="1:6" hidden="1" x14ac:dyDescent="0.25">
      <c r="A1211">
        <f t="shared" si="38"/>
        <v>24</v>
      </c>
      <c r="B1211" s="37">
        <v>44310</v>
      </c>
      <c r="C1211" t="s">
        <v>26</v>
      </c>
      <c r="D1211">
        <f t="shared" si="39"/>
        <v>2021</v>
      </c>
      <c r="E1211">
        <v>2787663.64</v>
      </c>
      <c r="F1211">
        <v>2647851.6636000001</v>
      </c>
    </row>
    <row r="1212" spans="1:6" hidden="1" x14ac:dyDescent="0.25">
      <c r="A1212">
        <f t="shared" si="38"/>
        <v>25</v>
      </c>
      <c r="B1212" s="37">
        <v>44311</v>
      </c>
      <c r="C1212" t="s">
        <v>26</v>
      </c>
      <c r="D1212">
        <f t="shared" si="39"/>
        <v>2021</v>
      </c>
      <c r="E1212">
        <v>2787663.64</v>
      </c>
      <c r="F1212">
        <v>2647851.6636000001</v>
      </c>
    </row>
    <row r="1213" spans="1:6" hidden="1" x14ac:dyDescent="0.25">
      <c r="A1213">
        <f t="shared" si="38"/>
        <v>26</v>
      </c>
      <c r="B1213" s="37">
        <v>44312</v>
      </c>
      <c r="C1213" t="s">
        <v>26</v>
      </c>
      <c r="D1213">
        <f t="shared" si="39"/>
        <v>2021</v>
      </c>
      <c r="E1213">
        <v>2741675.94</v>
      </c>
      <c r="F1213">
        <v>2721326.1231</v>
      </c>
    </row>
    <row r="1214" spans="1:6" hidden="1" x14ac:dyDescent="0.25">
      <c r="A1214">
        <f t="shared" si="38"/>
        <v>27</v>
      </c>
      <c r="B1214" s="37">
        <v>44313</v>
      </c>
      <c r="C1214" t="s">
        <v>26</v>
      </c>
      <c r="D1214">
        <f t="shared" si="39"/>
        <v>2021</v>
      </c>
      <c r="E1214">
        <v>2732307.69</v>
      </c>
      <c r="F1214">
        <v>2688830.3873999999</v>
      </c>
    </row>
    <row r="1215" spans="1:6" hidden="1" x14ac:dyDescent="0.25">
      <c r="A1215">
        <f t="shared" si="38"/>
        <v>28</v>
      </c>
      <c r="B1215" s="37">
        <v>44314</v>
      </c>
      <c r="C1215" t="s">
        <v>26</v>
      </c>
      <c r="D1215">
        <f t="shared" si="39"/>
        <v>2021</v>
      </c>
      <c r="E1215">
        <v>2799099.79</v>
      </c>
      <c r="F1215">
        <v>2724717.5208999999</v>
      </c>
    </row>
    <row r="1216" spans="1:6" hidden="1" x14ac:dyDescent="0.25">
      <c r="A1216">
        <f t="shared" si="38"/>
        <v>29</v>
      </c>
      <c r="B1216" s="37">
        <v>44315</v>
      </c>
      <c r="C1216" t="s">
        <v>26</v>
      </c>
      <c r="D1216">
        <f t="shared" si="39"/>
        <v>2021</v>
      </c>
      <c r="E1216">
        <v>2886276.71</v>
      </c>
      <c r="F1216">
        <v>2746151.8111999999</v>
      </c>
    </row>
    <row r="1217" spans="1:6" hidden="1" x14ac:dyDescent="0.25">
      <c r="A1217">
        <f t="shared" si="38"/>
        <v>30</v>
      </c>
      <c r="B1217" s="37">
        <v>44316</v>
      </c>
      <c r="C1217" t="s">
        <v>26</v>
      </c>
      <c r="D1217">
        <f t="shared" si="39"/>
        <v>2021</v>
      </c>
      <c r="E1217">
        <v>2770844.85</v>
      </c>
      <c r="F1217">
        <v>2822874.4822</v>
      </c>
    </row>
    <row r="1218" spans="1:6" hidden="1" x14ac:dyDescent="0.25">
      <c r="A1218">
        <f t="shared" si="38"/>
        <v>1</v>
      </c>
      <c r="B1218" s="37">
        <v>44317</v>
      </c>
      <c r="C1218" t="s">
        <v>27</v>
      </c>
      <c r="D1218">
        <f t="shared" si="39"/>
        <v>2021</v>
      </c>
      <c r="E1218">
        <v>2770844.85</v>
      </c>
      <c r="F1218">
        <v>2822874.4822</v>
      </c>
    </row>
    <row r="1219" spans="1:6" hidden="1" x14ac:dyDescent="0.25">
      <c r="A1219">
        <f t="shared" si="38"/>
        <v>2</v>
      </c>
      <c r="B1219" s="37">
        <v>44318</v>
      </c>
      <c r="C1219" t="s">
        <v>27</v>
      </c>
      <c r="D1219">
        <f t="shared" si="39"/>
        <v>2021</v>
      </c>
      <c r="E1219">
        <v>2770844.85</v>
      </c>
      <c r="F1219">
        <v>2822874.4822</v>
      </c>
    </row>
    <row r="1220" spans="1:6" hidden="1" x14ac:dyDescent="0.25">
      <c r="A1220">
        <f t="shared" si="38"/>
        <v>3</v>
      </c>
      <c r="B1220" s="37">
        <v>44319</v>
      </c>
      <c r="C1220" t="s">
        <v>27</v>
      </c>
      <c r="D1220">
        <f t="shared" si="39"/>
        <v>2021</v>
      </c>
      <c r="E1220">
        <v>2848211.06</v>
      </c>
      <c r="F1220">
        <v>2796868.8056000001</v>
      </c>
    </row>
    <row r="1221" spans="1:6" hidden="1" x14ac:dyDescent="0.25">
      <c r="A1221">
        <f t="shared" si="38"/>
        <v>4</v>
      </c>
      <c r="B1221" s="37">
        <v>44320</v>
      </c>
      <c r="C1221" t="s">
        <v>27</v>
      </c>
      <c r="D1221">
        <f t="shared" si="39"/>
        <v>2021</v>
      </c>
      <c r="E1221">
        <v>2868908.36</v>
      </c>
      <c r="F1221">
        <v>2840459.1127999998</v>
      </c>
    </row>
    <row r="1222" spans="1:6" hidden="1" x14ac:dyDescent="0.25">
      <c r="A1222">
        <f t="shared" si="38"/>
        <v>5</v>
      </c>
      <c r="B1222" s="37">
        <v>44321</v>
      </c>
      <c r="C1222" t="s">
        <v>27</v>
      </c>
      <c r="D1222">
        <f t="shared" si="39"/>
        <v>2021</v>
      </c>
      <c r="E1222">
        <v>2873860.61</v>
      </c>
      <c r="F1222">
        <v>2866324.5189</v>
      </c>
    </row>
    <row r="1223" spans="1:6" hidden="1" x14ac:dyDescent="0.25">
      <c r="A1223">
        <f t="shared" si="38"/>
        <v>6</v>
      </c>
      <c r="B1223" s="37">
        <v>44322</v>
      </c>
      <c r="C1223" t="s">
        <v>27</v>
      </c>
      <c r="D1223">
        <f t="shared" si="39"/>
        <v>2021</v>
      </c>
      <c r="E1223">
        <v>2835156.71</v>
      </c>
      <c r="F1223">
        <v>2861988.4243000001</v>
      </c>
    </row>
    <row r="1224" spans="1:6" hidden="1" x14ac:dyDescent="0.25">
      <c r="A1224">
        <f t="shared" si="38"/>
        <v>7</v>
      </c>
      <c r="B1224" s="37">
        <v>44323</v>
      </c>
      <c r="C1224" t="s">
        <v>27</v>
      </c>
      <c r="D1224">
        <f t="shared" si="39"/>
        <v>2021</v>
      </c>
      <c r="E1224">
        <v>2774535.52</v>
      </c>
      <c r="F1224">
        <v>2847609.4333000001</v>
      </c>
    </row>
    <row r="1225" spans="1:6" hidden="1" x14ac:dyDescent="0.25">
      <c r="A1225">
        <f t="shared" si="38"/>
        <v>8</v>
      </c>
      <c r="B1225" s="37">
        <v>44324</v>
      </c>
      <c r="C1225" t="s">
        <v>27</v>
      </c>
      <c r="D1225">
        <f t="shared" si="39"/>
        <v>2021</v>
      </c>
      <c r="E1225">
        <v>2774535.52</v>
      </c>
      <c r="F1225">
        <v>2847609.4333000001</v>
      </c>
    </row>
    <row r="1226" spans="1:6" hidden="1" x14ac:dyDescent="0.25">
      <c r="A1226">
        <f t="shared" ref="A1226:A1289" si="40">DAY(B1226)</f>
        <v>9</v>
      </c>
      <c r="B1226" s="37">
        <v>44325</v>
      </c>
      <c r="C1226" t="s">
        <v>27</v>
      </c>
      <c r="D1226">
        <f t="shared" ref="D1226:D1289" si="41">YEAR(B1226)</f>
        <v>2021</v>
      </c>
      <c r="E1226">
        <v>2774535.52</v>
      </c>
      <c r="F1226">
        <v>2847609.4333000001</v>
      </c>
    </row>
    <row r="1227" spans="1:6" hidden="1" x14ac:dyDescent="0.25">
      <c r="A1227">
        <f t="shared" si="40"/>
        <v>10</v>
      </c>
      <c r="B1227" s="37">
        <v>44326</v>
      </c>
      <c r="C1227" t="s">
        <v>27</v>
      </c>
      <c r="D1227">
        <f t="shared" si="41"/>
        <v>2021</v>
      </c>
      <c r="E1227">
        <v>2751643.01</v>
      </c>
      <c r="F1227">
        <v>2836569.6373999999</v>
      </c>
    </row>
    <row r="1228" spans="1:6" hidden="1" x14ac:dyDescent="0.25">
      <c r="A1228">
        <f t="shared" si="40"/>
        <v>11</v>
      </c>
      <c r="B1228" s="37">
        <v>44327</v>
      </c>
      <c r="C1228" t="s">
        <v>27</v>
      </c>
      <c r="D1228">
        <f t="shared" si="41"/>
        <v>2021</v>
      </c>
      <c r="E1228">
        <v>2810397.09</v>
      </c>
      <c r="F1228">
        <v>2824879.8294000002</v>
      </c>
    </row>
    <row r="1229" spans="1:6" hidden="1" x14ac:dyDescent="0.25">
      <c r="A1229">
        <f t="shared" si="40"/>
        <v>12</v>
      </c>
      <c r="B1229" s="37">
        <v>44328</v>
      </c>
      <c r="C1229" t="s">
        <v>27</v>
      </c>
      <c r="D1229">
        <f t="shared" si="41"/>
        <v>2021</v>
      </c>
      <c r="E1229">
        <v>2873956.3</v>
      </c>
      <c r="F1229">
        <v>2835035.0650999998</v>
      </c>
    </row>
    <row r="1230" spans="1:6" hidden="1" x14ac:dyDescent="0.25">
      <c r="A1230">
        <f t="shared" si="40"/>
        <v>13</v>
      </c>
      <c r="B1230" s="37">
        <v>44329</v>
      </c>
      <c r="C1230" t="s">
        <v>27</v>
      </c>
      <c r="D1230">
        <f t="shared" si="41"/>
        <v>2021</v>
      </c>
      <c r="E1230">
        <v>3021338.41</v>
      </c>
      <c r="F1230">
        <v>2909844.3632999999</v>
      </c>
    </row>
    <row r="1231" spans="1:6" hidden="1" x14ac:dyDescent="0.25">
      <c r="A1231">
        <f t="shared" si="40"/>
        <v>14</v>
      </c>
      <c r="B1231" s="37">
        <v>44330</v>
      </c>
      <c r="C1231" t="s">
        <v>27</v>
      </c>
      <c r="D1231">
        <f t="shared" si="41"/>
        <v>2021</v>
      </c>
      <c r="E1231">
        <v>2916071.3</v>
      </c>
      <c r="F1231">
        <v>2966678.9558000001</v>
      </c>
    </row>
    <row r="1232" spans="1:6" hidden="1" x14ac:dyDescent="0.25">
      <c r="A1232">
        <f t="shared" si="40"/>
        <v>15</v>
      </c>
      <c r="B1232" s="37">
        <v>44331</v>
      </c>
      <c r="C1232" t="s">
        <v>27</v>
      </c>
      <c r="D1232">
        <f t="shared" si="41"/>
        <v>2021</v>
      </c>
      <c r="E1232">
        <v>2916071.3</v>
      </c>
      <c r="F1232">
        <v>2966678.9558000001</v>
      </c>
    </row>
    <row r="1233" spans="1:6" hidden="1" x14ac:dyDescent="0.25">
      <c r="A1233">
        <f t="shared" si="40"/>
        <v>16</v>
      </c>
      <c r="B1233" s="37">
        <v>44332</v>
      </c>
      <c r="C1233" t="s">
        <v>27</v>
      </c>
      <c r="D1233">
        <f t="shared" si="41"/>
        <v>2021</v>
      </c>
      <c r="E1233">
        <v>2916071.3</v>
      </c>
      <c r="F1233">
        <v>2966678.9558000001</v>
      </c>
    </row>
    <row r="1234" spans="1:6" hidden="1" x14ac:dyDescent="0.25">
      <c r="A1234">
        <f t="shared" si="40"/>
        <v>17</v>
      </c>
      <c r="B1234" s="37">
        <v>44333</v>
      </c>
      <c r="C1234" t="s">
        <v>27</v>
      </c>
      <c r="D1234">
        <f t="shared" si="41"/>
        <v>2021</v>
      </c>
      <c r="E1234">
        <v>2940591.38</v>
      </c>
      <c r="F1234">
        <v>2931949.4040000001</v>
      </c>
    </row>
    <row r="1235" spans="1:6" hidden="1" x14ac:dyDescent="0.25">
      <c r="A1235">
        <f t="shared" si="40"/>
        <v>18</v>
      </c>
      <c r="B1235" s="37">
        <v>44334</v>
      </c>
      <c r="C1235" t="s">
        <v>27</v>
      </c>
      <c r="D1235">
        <f t="shared" si="41"/>
        <v>2021</v>
      </c>
      <c r="E1235">
        <v>2987959.21</v>
      </c>
      <c r="F1235">
        <v>2954844.3607999999</v>
      </c>
    </row>
    <row r="1236" spans="1:6" hidden="1" x14ac:dyDescent="0.25">
      <c r="A1236">
        <f t="shared" si="40"/>
        <v>19</v>
      </c>
      <c r="B1236" s="37">
        <v>44335</v>
      </c>
      <c r="C1236" t="s">
        <v>27</v>
      </c>
      <c r="D1236">
        <f t="shared" si="41"/>
        <v>2021</v>
      </c>
      <c r="E1236">
        <v>3055266.58</v>
      </c>
      <c r="F1236">
        <v>3026929.2651999998</v>
      </c>
    </row>
    <row r="1237" spans="1:6" hidden="1" x14ac:dyDescent="0.25">
      <c r="A1237">
        <f t="shared" si="40"/>
        <v>20</v>
      </c>
      <c r="B1237" s="37">
        <v>44336</v>
      </c>
      <c r="C1237" t="s">
        <v>27</v>
      </c>
      <c r="D1237">
        <f t="shared" si="41"/>
        <v>2021</v>
      </c>
      <c r="E1237">
        <v>3122410.66</v>
      </c>
      <c r="F1237">
        <v>3050025.8383999998</v>
      </c>
    </row>
    <row r="1238" spans="1:6" hidden="1" x14ac:dyDescent="0.25">
      <c r="A1238">
        <f t="shared" si="40"/>
        <v>21</v>
      </c>
      <c r="B1238" s="37">
        <v>44337</v>
      </c>
      <c r="C1238" t="s">
        <v>27</v>
      </c>
      <c r="D1238">
        <f t="shared" si="41"/>
        <v>2021</v>
      </c>
      <c r="E1238">
        <v>3115347.3</v>
      </c>
      <c r="F1238">
        <v>3045129.9095999999</v>
      </c>
    </row>
    <row r="1239" spans="1:6" hidden="1" x14ac:dyDescent="0.25">
      <c r="A1239">
        <f t="shared" si="40"/>
        <v>22</v>
      </c>
      <c r="B1239" s="37">
        <v>44338</v>
      </c>
      <c r="C1239" t="s">
        <v>27</v>
      </c>
      <c r="D1239">
        <f t="shared" si="41"/>
        <v>2021</v>
      </c>
      <c r="E1239">
        <v>3115347.3</v>
      </c>
      <c r="F1239">
        <v>3045129.9095999999</v>
      </c>
    </row>
    <row r="1240" spans="1:6" hidden="1" x14ac:dyDescent="0.25">
      <c r="A1240">
        <f t="shared" si="40"/>
        <v>23</v>
      </c>
      <c r="B1240" s="37">
        <v>44339</v>
      </c>
      <c r="C1240" t="s">
        <v>27</v>
      </c>
      <c r="D1240">
        <f t="shared" si="41"/>
        <v>2021</v>
      </c>
      <c r="E1240">
        <v>3115347.3</v>
      </c>
      <c r="F1240">
        <v>3045129.9095999999</v>
      </c>
    </row>
    <row r="1241" spans="1:6" hidden="1" x14ac:dyDescent="0.25">
      <c r="A1241">
        <f t="shared" si="40"/>
        <v>24</v>
      </c>
      <c r="B1241" s="37">
        <v>44340</v>
      </c>
      <c r="C1241" t="s">
        <v>27</v>
      </c>
      <c r="D1241">
        <f t="shared" si="41"/>
        <v>2021</v>
      </c>
      <c r="E1241">
        <v>3082193.09</v>
      </c>
      <c r="F1241">
        <v>3045129.9095999999</v>
      </c>
    </row>
    <row r="1242" spans="1:6" hidden="1" x14ac:dyDescent="0.25">
      <c r="A1242">
        <f t="shared" si="40"/>
        <v>25</v>
      </c>
      <c r="B1242" s="37">
        <v>44341</v>
      </c>
      <c r="C1242" t="s">
        <v>27</v>
      </c>
      <c r="D1242">
        <f t="shared" si="41"/>
        <v>2021</v>
      </c>
      <c r="E1242">
        <v>3091251.83</v>
      </c>
      <c r="F1242">
        <v>3055549.9961999999</v>
      </c>
    </row>
    <row r="1243" spans="1:6" hidden="1" x14ac:dyDescent="0.25">
      <c r="A1243">
        <f t="shared" si="40"/>
        <v>26</v>
      </c>
      <c r="B1243" s="37">
        <v>44342</v>
      </c>
      <c r="C1243" t="s">
        <v>27</v>
      </c>
      <c r="D1243">
        <f t="shared" si="41"/>
        <v>2021</v>
      </c>
      <c r="E1243">
        <v>3055214.37</v>
      </c>
      <c r="F1243">
        <v>3070282.8335000002</v>
      </c>
    </row>
    <row r="1244" spans="1:6" hidden="1" x14ac:dyDescent="0.25">
      <c r="A1244">
        <f t="shared" si="40"/>
        <v>27</v>
      </c>
      <c r="B1244" s="37">
        <v>44343</v>
      </c>
      <c r="C1244" t="s">
        <v>27</v>
      </c>
      <c r="D1244">
        <f t="shared" si="41"/>
        <v>2021</v>
      </c>
      <c r="E1244">
        <v>3130638.8</v>
      </c>
      <c r="F1244">
        <v>3066706.0293999999</v>
      </c>
    </row>
    <row r="1245" spans="1:6" hidden="1" x14ac:dyDescent="0.25">
      <c r="A1245">
        <f t="shared" si="40"/>
        <v>28</v>
      </c>
      <c r="B1245" s="37">
        <v>44344</v>
      </c>
      <c r="C1245" t="s">
        <v>27</v>
      </c>
      <c r="D1245">
        <f t="shared" si="41"/>
        <v>2021</v>
      </c>
      <c r="E1245">
        <v>3166545.74</v>
      </c>
      <c r="F1245">
        <v>3100864.2374</v>
      </c>
    </row>
    <row r="1246" spans="1:6" hidden="1" x14ac:dyDescent="0.25">
      <c r="A1246">
        <f t="shared" si="40"/>
        <v>29</v>
      </c>
      <c r="B1246" s="37">
        <v>44345</v>
      </c>
      <c r="C1246" t="s">
        <v>27</v>
      </c>
      <c r="D1246">
        <f t="shared" si="41"/>
        <v>2021</v>
      </c>
      <c r="E1246">
        <v>3166545.74</v>
      </c>
      <c r="F1246">
        <v>3100864.2374</v>
      </c>
    </row>
    <row r="1247" spans="1:6" hidden="1" x14ac:dyDescent="0.25">
      <c r="A1247">
        <f t="shared" si="40"/>
        <v>30</v>
      </c>
      <c r="B1247" s="37">
        <v>44346</v>
      </c>
      <c r="C1247" t="s">
        <v>27</v>
      </c>
      <c r="D1247">
        <f t="shared" si="41"/>
        <v>2021</v>
      </c>
      <c r="E1247">
        <v>3166545.74</v>
      </c>
      <c r="F1247">
        <v>3100864.2374</v>
      </c>
    </row>
    <row r="1248" spans="1:6" hidden="1" x14ac:dyDescent="0.25">
      <c r="A1248">
        <f t="shared" si="40"/>
        <v>31</v>
      </c>
      <c r="B1248" s="37">
        <v>44347</v>
      </c>
      <c r="C1248" t="s">
        <v>27</v>
      </c>
      <c r="D1248">
        <f t="shared" si="41"/>
        <v>2021</v>
      </c>
      <c r="E1248">
        <v>3102244.89</v>
      </c>
      <c r="F1248">
        <v>3115766.5268000001</v>
      </c>
    </row>
    <row r="1249" spans="1:6" hidden="1" x14ac:dyDescent="0.25">
      <c r="A1249">
        <f t="shared" si="40"/>
        <v>1</v>
      </c>
      <c r="B1249" s="37">
        <v>44348</v>
      </c>
      <c r="C1249" t="s">
        <v>28</v>
      </c>
      <c r="D1249">
        <f t="shared" si="41"/>
        <v>2021</v>
      </c>
      <c r="E1249">
        <v>3071212.93</v>
      </c>
      <c r="F1249">
        <v>3115193.4103000001</v>
      </c>
    </row>
    <row r="1250" spans="1:6" hidden="1" x14ac:dyDescent="0.25">
      <c r="A1250">
        <f t="shared" si="40"/>
        <v>2</v>
      </c>
      <c r="B1250" s="37">
        <v>44349</v>
      </c>
      <c r="C1250" t="s">
        <v>28</v>
      </c>
      <c r="D1250">
        <f t="shared" si="41"/>
        <v>2021</v>
      </c>
      <c r="E1250">
        <v>3083698.15</v>
      </c>
      <c r="F1250">
        <v>3097326.7535999999</v>
      </c>
    </row>
    <row r="1251" spans="1:6" hidden="1" x14ac:dyDescent="0.25">
      <c r="A1251">
        <f t="shared" si="40"/>
        <v>3</v>
      </c>
      <c r="B1251" s="37">
        <v>44350</v>
      </c>
      <c r="C1251" t="s">
        <v>28</v>
      </c>
      <c r="D1251">
        <f t="shared" si="41"/>
        <v>2021</v>
      </c>
      <c r="E1251">
        <v>3102756.43</v>
      </c>
      <c r="F1251">
        <v>3101194.0090000001</v>
      </c>
    </row>
    <row r="1252" spans="1:6" hidden="1" x14ac:dyDescent="0.25">
      <c r="A1252">
        <f t="shared" si="40"/>
        <v>4</v>
      </c>
      <c r="B1252" s="37">
        <v>44351</v>
      </c>
      <c r="C1252" t="s">
        <v>28</v>
      </c>
      <c r="D1252">
        <f t="shared" si="41"/>
        <v>2021</v>
      </c>
      <c r="E1252">
        <v>3123699.85</v>
      </c>
      <c r="F1252">
        <v>3113917.35</v>
      </c>
    </row>
    <row r="1253" spans="1:6" hidden="1" x14ac:dyDescent="0.25">
      <c r="A1253">
        <f t="shared" si="40"/>
        <v>5</v>
      </c>
      <c r="B1253" s="37">
        <v>44352</v>
      </c>
      <c r="C1253" t="s">
        <v>28</v>
      </c>
      <c r="D1253">
        <f t="shared" si="41"/>
        <v>2021</v>
      </c>
      <c r="E1253">
        <v>3123699.85</v>
      </c>
      <c r="F1253">
        <v>3113917.35</v>
      </c>
    </row>
    <row r="1254" spans="1:6" hidden="1" x14ac:dyDescent="0.25">
      <c r="A1254">
        <f t="shared" si="40"/>
        <v>6</v>
      </c>
      <c r="B1254" s="37">
        <v>44353</v>
      </c>
      <c r="C1254" t="s">
        <v>28</v>
      </c>
      <c r="D1254">
        <f t="shared" si="41"/>
        <v>2021</v>
      </c>
      <c r="E1254">
        <v>3123699.85</v>
      </c>
      <c r="F1254">
        <v>3113917.35</v>
      </c>
    </row>
    <row r="1255" spans="1:6" hidden="1" x14ac:dyDescent="0.25">
      <c r="A1255">
        <f t="shared" si="40"/>
        <v>7</v>
      </c>
      <c r="B1255" s="37">
        <v>44354</v>
      </c>
      <c r="C1255" t="s">
        <v>28</v>
      </c>
      <c r="D1255">
        <f t="shared" si="41"/>
        <v>2021</v>
      </c>
      <c r="E1255">
        <v>3084824.55</v>
      </c>
      <c r="F1255">
        <v>3111041.0463</v>
      </c>
    </row>
    <row r="1256" spans="1:6" hidden="1" x14ac:dyDescent="0.25">
      <c r="A1256">
        <f t="shared" si="40"/>
        <v>8</v>
      </c>
      <c r="B1256" s="37">
        <v>44355</v>
      </c>
      <c r="C1256" t="s">
        <v>28</v>
      </c>
      <c r="D1256">
        <f t="shared" si="41"/>
        <v>2021</v>
      </c>
      <c r="E1256">
        <v>3138009.5</v>
      </c>
      <c r="F1256">
        <v>3127700.6083</v>
      </c>
    </row>
    <row r="1257" spans="1:6" hidden="1" x14ac:dyDescent="0.25">
      <c r="A1257">
        <f t="shared" si="40"/>
        <v>9</v>
      </c>
      <c r="B1257" s="37">
        <v>44356</v>
      </c>
      <c r="C1257" t="s">
        <v>28</v>
      </c>
      <c r="D1257">
        <f t="shared" si="41"/>
        <v>2021</v>
      </c>
      <c r="E1257">
        <v>3109997.83</v>
      </c>
      <c r="F1257">
        <v>3123420.1938</v>
      </c>
    </row>
    <row r="1258" spans="1:6" hidden="1" x14ac:dyDescent="0.25">
      <c r="A1258">
        <f t="shared" si="40"/>
        <v>10</v>
      </c>
      <c r="B1258" s="37">
        <v>44357</v>
      </c>
      <c r="C1258" t="s">
        <v>28</v>
      </c>
      <c r="D1258">
        <f t="shared" si="41"/>
        <v>2021</v>
      </c>
      <c r="E1258">
        <v>3102926.37</v>
      </c>
      <c r="F1258">
        <v>3133641.8878000001</v>
      </c>
    </row>
    <row r="1259" spans="1:6" hidden="1" x14ac:dyDescent="0.25">
      <c r="A1259">
        <f t="shared" si="40"/>
        <v>11</v>
      </c>
      <c r="B1259" s="37">
        <v>44358</v>
      </c>
      <c r="C1259" t="s">
        <v>28</v>
      </c>
      <c r="D1259">
        <f t="shared" si="41"/>
        <v>2021</v>
      </c>
      <c r="E1259">
        <v>3088902.73</v>
      </c>
      <c r="F1259">
        <v>3120424.4119000002</v>
      </c>
    </row>
    <row r="1260" spans="1:6" hidden="1" x14ac:dyDescent="0.25">
      <c r="A1260">
        <f t="shared" si="40"/>
        <v>12</v>
      </c>
      <c r="B1260" s="37">
        <v>44359</v>
      </c>
      <c r="C1260" t="s">
        <v>28</v>
      </c>
      <c r="D1260">
        <f t="shared" si="41"/>
        <v>2021</v>
      </c>
      <c r="E1260">
        <v>3088902.73</v>
      </c>
      <c r="F1260">
        <v>3120424.4119000002</v>
      </c>
    </row>
    <row r="1261" spans="1:6" hidden="1" x14ac:dyDescent="0.25">
      <c r="A1261">
        <f t="shared" si="40"/>
        <v>13</v>
      </c>
      <c r="B1261" s="37">
        <v>44360</v>
      </c>
      <c r="C1261" t="s">
        <v>28</v>
      </c>
      <c r="D1261">
        <f t="shared" si="41"/>
        <v>2021</v>
      </c>
      <c r="E1261">
        <v>3088902.73</v>
      </c>
      <c r="F1261">
        <v>3120424.4119000002</v>
      </c>
    </row>
    <row r="1262" spans="1:6" hidden="1" x14ac:dyDescent="0.25">
      <c r="A1262">
        <f t="shared" si="40"/>
        <v>14</v>
      </c>
      <c r="B1262" s="37">
        <v>44361</v>
      </c>
      <c r="C1262" t="s">
        <v>28</v>
      </c>
      <c r="D1262">
        <f t="shared" si="41"/>
        <v>2021</v>
      </c>
      <c r="E1262">
        <v>3082821.73</v>
      </c>
      <c r="F1262">
        <v>3120424.4119000002</v>
      </c>
    </row>
    <row r="1263" spans="1:6" hidden="1" x14ac:dyDescent="0.25">
      <c r="A1263">
        <f t="shared" si="40"/>
        <v>15</v>
      </c>
      <c r="B1263" s="37">
        <v>44362</v>
      </c>
      <c r="C1263" t="s">
        <v>28</v>
      </c>
      <c r="D1263">
        <f t="shared" si="41"/>
        <v>2021</v>
      </c>
      <c r="E1263">
        <v>3087641.83</v>
      </c>
      <c r="F1263">
        <v>3113042.5789000001</v>
      </c>
    </row>
    <row r="1264" spans="1:6" hidden="1" x14ac:dyDescent="0.25">
      <c r="A1264">
        <f t="shared" si="40"/>
        <v>16</v>
      </c>
      <c r="B1264" s="37">
        <v>44363</v>
      </c>
      <c r="C1264" t="s">
        <v>28</v>
      </c>
      <c r="D1264">
        <f t="shared" si="41"/>
        <v>2021</v>
      </c>
      <c r="E1264">
        <v>3099697.12</v>
      </c>
      <c r="F1264">
        <v>3105034.5866999999</v>
      </c>
    </row>
    <row r="1265" spans="1:6" hidden="1" x14ac:dyDescent="0.25">
      <c r="A1265">
        <f t="shared" si="40"/>
        <v>17</v>
      </c>
      <c r="B1265" s="37">
        <v>44364</v>
      </c>
      <c r="C1265" t="s">
        <v>28</v>
      </c>
      <c r="D1265">
        <f t="shared" si="41"/>
        <v>2021</v>
      </c>
      <c r="E1265">
        <v>3137323.07</v>
      </c>
      <c r="F1265">
        <v>3113807.1751000001</v>
      </c>
    </row>
    <row r="1266" spans="1:6" hidden="1" x14ac:dyDescent="0.25">
      <c r="A1266">
        <f t="shared" si="40"/>
        <v>18</v>
      </c>
      <c r="B1266" s="37">
        <v>44365</v>
      </c>
      <c r="C1266" t="s">
        <v>28</v>
      </c>
      <c r="D1266">
        <f t="shared" si="41"/>
        <v>2021</v>
      </c>
      <c r="E1266">
        <v>3145298.67</v>
      </c>
      <c r="F1266">
        <v>3138598.8095999998</v>
      </c>
    </row>
    <row r="1267" spans="1:6" hidden="1" x14ac:dyDescent="0.25">
      <c r="A1267">
        <f t="shared" si="40"/>
        <v>19</v>
      </c>
      <c r="B1267" s="37">
        <v>44366</v>
      </c>
      <c r="C1267" t="s">
        <v>28</v>
      </c>
      <c r="D1267">
        <f t="shared" si="41"/>
        <v>2021</v>
      </c>
      <c r="E1267">
        <v>3145298.67</v>
      </c>
      <c r="F1267">
        <v>3138598.8095999998</v>
      </c>
    </row>
    <row r="1268" spans="1:6" hidden="1" x14ac:dyDescent="0.25">
      <c r="A1268">
        <f t="shared" si="40"/>
        <v>20</v>
      </c>
      <c r="B1268" s="37">
        <v>44367</v>
      </c>
      <c r="C1268" t="s">
        <v>28</v>
      </c>
      <c r="D1268">
        <f t="shared" si="41"/>
        <v>2021</v>
      </c>
      <c r="E1268">
        <v>3145298.67</v>
      </c>
      <c r="F1268">
        <v>3138598.8095999998</v>
      </c>
    </row>
    <row r="1269" spans="1:6" hidden="1" x14ac:dyDescent="0.25">
      <c r="A1269">
        <f t="shared" si="40"/>
        <v>21</v>
      </c>
      <c r="B1269" s="37">
        <v>44368</v>
      </c>
      <c r="C1269" t="s">
        <v>28</v>
      </c>
      <c r="D1269">
        <f t="shared" si="41"/>
        <v>2021</v>
      </c>
      <c r="E1269">
        <v>3167629.47</v>
      </c>
      <c r="F1269">
        <v>3147297.1261999998</v>
      </c>
    </row>
    <row r="1270" spans="1:6" hidden="1" x14ac:dyDescent="0.25">
      <c r="A1270">
        <f t="shared" si="40"/>
        <v>22</v>
      </c>
      <c r="B1270" s="37">
        <v>44369</v>
      </c>
      <c r="C1270" t="s">
        <v>28</v>
      </c>
      <c r="D1270">
        <f t="shared" si="41"/>
        <v>2021</v>
      </c>
      <c r="E1270">
        <v>3182571.6</v>
      </c>
      <c r="F1270">
        <v>3178517.0786000001</v>
      </c>
    </row>
    <row r="1271" spans="1:6" hidden="1" x14ac:dyDescent="0.25">
      <c r="A1271">
        <f t="shared" si="40"/>
        <v>23</v>
      </c>
      <c r="B1271" s="37">
        <v>44370</v>
      </c>
      <c r="C1271" t="s">
        <v>28</v>
      </c>
      <c r="D1271">
        <f t="shared" si="41"/>
        <v>2021</v>
      </c>
      <c r="E1271">
        <v>3182914.91</v>
      </c>
      <c r="F1271">
        <v>3183413.5096999998</v>
      </c>
    </row>
    <row r="1272" spans="1:6" hidden="1" x14ac:dyDescent="0.25">
      <c r="A1272">
        <f t="shared" si="40"/>
        <v>24</v>
      </c>
      <c r="B1272" s="37">
        <v>44371</v>
      </c>
      <c r="C1272" t="s">
        <v>28</v>
      </c>
      <c r="D1272">
        <f t="shared" si="41"/>
        <v>2021</v>
      </c>
      <c r="E1272">
        <v>3195184.51</v>
      </c>
      <c r="F1272">
        <v>3183413.5096999998</v>
      </c>
    </row>
    <row r="1273" spans="1:6" hidden="1" x14ac:dyDescent="0.25">
      <c r="A1273">
        <f t="shared" si="40"/>
        <v>25</v>
      </c>
      <c r="B1273" s="37">
        <v>44372</v>
      </c>
      <c r="C1273" t="s">
        <v>28</v>
      </c>
      <c r="D1273">
        <f t="shared" si="41"/>
        <v>2021</v>
      </c>
      <c r="E1273">
        <v>3246490.9</v>
      </c>
      <c r="F1273">
        <v>3196903.0125000002</v>
      </c>
    </row>
    <row r="1274" spans="1:6" hidden="1" x14ac:dyDescent="0.25">
      <c r="A1274">
        <f t="shared" si="40"/>
        <v>26</v>
      </c>
      <c r="B1274" s="37">
        <v>44373</v>
      </c>
      <c r="C1274" t="s">
        <v>28</v>
      </c>
      <c r="D1274">
        <f t="shared" si="41"/>
        <v>2021</v>
      </c>
      <c r="E1274">
        <v>3246490.9</v>
      </c>
      <c r="F1274">
        <v>3196903.0125000002</v>
      </c>
    </row>
    <row r="1275" spans="1:6" hidden="1" x14ac:dyDescent="0.25">
      <c r="A1275">
        <f t="shared" si="40"/>
        <v>27</v>
      </c>
      <c r="B1275" s="37">
        <v>44374</v>
      </c>
      <c r="C1275" t="s">
        <v>28</v>
      </c>
      <c r="D1275">
        <f t="shared" si="41"/>
        <v>2021</v>
      </c>
      <c r="E1275">
        <v>3246490.9</v>
      </c>
      <c r="F1275">
        <v>3196903.0125000002</v>
      </c>
    </row>
    <row r="1276" spans="1:6" hidden="1" x14ac:dyDescent="0.25">
      <c r="A1276">
        <f t="shared" si="40"/>
        <v>28</v>
      </c>
      <c r="B1276" s="37">
        <v>44375</v>
      </c>
      <c r="C1276" t="s">
        <v>28</v>
      </c>
      <c r="D1276">
        <f t="shared" si="41"/>
        <v>2021</v>
      </c>
      <c r="E1276">
        <v>3222329.68</v>
      </c>
      <c r="F1276">
        <v>3196903.0125000002</v>
      </c>
    </row>
    <row r="1277" spans="1:6" hidden="1" x14ac:dyDescent="0.25">
      <c r="A1277">
        <f t="shared" si="40"/>
        <v>29</v>
      </c>
      <c r="B1277" s="37">
        <v>44376</v>
      </c>
      <c r="C1277" t="s">
        <v>28</v>
      </c>
      <c r="D1277">
        <f t="shared" si="41"/>
        <v>2021</v>
      </c>
      <c r="E1277">
        <v>3210864.75</v>
      </c>
      <c r="F1277">
        <v>3204079.5169000002</v>
      </c>
    </row>
    <row r="1278" spans="1:6" hidden="1" x14ac:dyDescent="0.25">
      <c r="A1278">
        <f t="shared" si="40"/>
        <v>30</v>
      </c>
      <c r="B1278" s="37">
        <v>44377</v>
      </c>
      <c r="C1278" t="s">
        <v>28</v>
      </c>
      <c r="D1278">
        <f t="shared" si="41"/>
        <v>2021</v>
      </c>
      <c r="E1278">
        <v>3240408.78</v>
      </c>
      <c r="F1278">
        <v>3220598.3531999998</v>
      </c>
    </row>
    <row r="1279" spans="1:6" hidden="1" x14ac:dyDescent="0.25">
      <c r="A1279">
        <f t="shared" si="40"/>
        <v>1</v>
      </c>
      <c r="B1279" s="37">
        <v>44378</v>
      </c>
      <c r="C1279" t="s">
        <v>29</v>
      </c>
      <c r="D1279">
        <f t="shared" si="41"/>
        <v>2021</v>
      </c>
      <c r="E1279">
        <v>3235698.65</v>
      </c>
      <c r="F1279">
        <v>3246320.8994</v>
      </c>
    </row>
    <row r="1280" spans="1:6" hidden="1" x14ac:dyDescent="0.25">
      <c r="A1280">
        <f t="shared" si="40"/>
        <v>2</v>
      </c>
      <c r="B1280" s="37">
        <v>44379</v>
      </c>
      <c r="C1280" t="s">
        <v>29</v>
      </c>
      <c r="D1280">
        <f t="shared" si="41"/>
        <v>2021</v>
      </c>
      <c r="E1280">
        <v>3225406.29</v>
      </c>
      <c r="F1280">
        <v>3241854.5967000001</v>
      </c>
    </row>
    <row r="1281" spans="1:6" hidden="1" x14ac:dyDescent="0.25">
      <c r="A1281">
        <f t="shared" si="40"/>
        <v>3</v>
      </c>
      <c r="B1281" s="37">
        <v>44380</v>
      </c>
      <c r="C1281" t="s">
        <v>29</v>
      </c>
      <c r="D1281">
        <f t="shared" si="41"/>
        <v>2021</v>
      </c>
      <c r="E1281">
        <v>3225406.29</v>
      </c>
      <c r="F1281">
        <v>3241854.5967000001</v>
      </c>
    </row>
    <row r="1282" spans="1:6" hidden="1" x14ac:dyDescent="0.25">
      <c r="A1282">
        <f t="shared" si="40"/>
        <v>4</v>
      </c>
      <c r="B1282" s="37">
        <v>44381</v>
      </c>
      <c r="C1282" t="s">
        <v>29</v>
      </c>
      <c r="D1282">
        <f t="shared" si="41"/>
        <v>2021</v>
      </c>
      <c r="E1282">
        <v>3225406.29</v>
      </c>
      <c r="F1282">
        <v>3241854.5967000001</v>
      </c>
    </row>
    <row r="1283" spans="1:6" hidden="1" x14ac:dyDescent="0.25">
      <c r="A1283">
        <f t="shared" si="40"/>
        <v>5</v>
      </c>
      <c r="B1283" s="37">
        <v>44382</v>
      </c>
      <c r="C1283" t="s">
        <v>29</v>
      </c>
      <c r="D1283">
        <f t="shared" si="41"/>
        <v>2021</v>
      </c>
      <c r="E1283">
        <v>3233123.04</v>
      </c>
      <c r="F1283">
        <v>3241854.5967000001</v>
      </c>
    </row>
    <row r="1284" spans="1:6" hidden="1" x14ac:dyDescent="0.25">
      <c r="A1284">
        <f t="shared" si="40"/>
        <v>6</v>
      </c>
      <c r="B1284" s="37">
        <v>44383</v>
      </c>
      <c r="C1284" t="s">
        <v>29</v>
      </c>
      <c r="D1284">
        <f t="shared" si="41"/>
        <v>2021</v>
      </c>
      <c r="E1284">
        <v>3220051.61</v>
      </c>
      <c r="F1284">
        <v>3243708.7063000002</v>
      </c>
    </row>
    <row r="1285" spans="1:6" hidden="1" x14ac:dyDescent="0.25">
      <c r="A1285">
        <f t="shared" si="40"/>
        <v>7</v>
      </c>
      <c r="B1285" s="37">
        <v>44384</v>
      </c>
      <c r="C1285" t="s">
        <v>29</v>
      </c>
      <c r="D1285">
        <f t="shared" si="41"/>
        <v>2021</v>
      </c>
      <c r="E1285">
        <v>3243510.72</v>
      </c>
      <c r="F1285">
        <v>3247321.9659000002</v>
      </c>
    </row>
    <row r="1286" spans="1:6" hidden="1" x14ac:dyDescent="0.25">
      <c r="A1286">
        <f t="shared" si="40"/>
        <v>8</v>
      </c>
      <c r="B1286" s="37">
        <v>44385</v>
      </c>
      <c r="C1286" t="s">
        <v>29</v>
      </c>
      <c r="D1286">
        <f t="shared" si="41"/>
        <v>2021</v>
      </c>
      <c r="E1286">
        <v>3262077.83</v>
      </c>
      <c r="F1286">
        <v>3260677.8505000002</v>
      </c>
    </row>
    <row r="1287" spans="1:6" hidden="1" x14ac:dyDescent="0.25">
      <c r="A1287">
        <f t="shared" si="40"/>
        <v>9</v>
      </c>
      <c r="B1287" s="37">
        <v>44386</v>
      </c>
      <c r="C1287" t="s">
        <v>29</v>
      </c>
      <c r="D1287">
        <f t="shared" si="41"/>
        <v>2021</v>
      </c>
      <c r="E1287">
        <v>3275057.51</v>
      </c>
      <c r="F1287">
        <v>3275925.3892000001</v>
      </c>
    </row>
    <row r="1288" spans="1:6" hidden="1" x14ac:dyDescent="0.25">
      <c r="A1288">
        <f t="shared" si="40"/>
        <v>10</v>
      </c>
      <c r="B1288" s="37">
        <v>44387</v>
      </c>
      <c r="C1288" t="s">
        <v>29</v>
      </c>
      <c r="D1288">
        <f t="shared" si="41"/>
        <v>2021</v>
      </c>
      <c r="E1288">
        <v>3275057.51</v>
      </c>
      <c r="F1288">
        <v>3275925.3892000001</v>
      </c>
    </row>
    <row r="1289" spans="1:6" hidden="1" x14ac:dyDescent="0.25">
      <c r="A1289">
        <f t="shared" si="40"/>
        <v>11</v>
      </c>
      <c r="B1289" s="37">
        <v>44388</v>
      </c>
      <c r="C1289" t="s">
        <v>29</v>
      </c>
      <c r="D1289">
        <f t="shared" si="41"/>
        <v>2021</v>
      </c>
      <c r="E1289">
        <v>3275057.51</v>
      </c>
      <c r="F1289">
        <v>3275925.3892000001</v>
      </c>
    </row>
    <row r="1290" spans="1:6" hidden="1" x14ac:dyDescent="0.25">
      <c r="A1290">
        <f t="shared" ref="A1290:A1353" si="42">DAY(B1290)</f>
        <v>12</v>
      </c>
      <c r="B1290" s="37">
        <v>44389</v>
      </c>
      <c r="C1290" t="s">
        <v>29</v>
      </c>
      <c r="D1290">
        <f t="shared" ref="D1290:D1353" si="43">YEAR(B1290)</f>
        <v>2021</v>
      </c>
      <c r="E1290">
        <v>3318055.27</v>
      </c>
      <c r="F1290">
        <v>3291083.8657</v>
      </c>
    </row>
    <row r="1291" spans="1:6" hidden="1" x14ac:dyDescent="0.25">
      <c r="A1291">
        <f t="shared" si="42"/>
        <v>13</v>
      </c>
      <c r="B1291" s="37">
        <v>44390</v>
      </c>
      <c r="C1291" t="s">
        <v>29</v>
      </c>
      <c r="D1291">
        <f t="shared" si="43"/>
        <v>2021</v>
      </c>
      <c r="E1291">
        <v>3390373.93</v>
      </c>
      <c r="F1291">
        <v>3321657.5235000001</v>
      </c>
    </row>
    <row r="1292" spans="1:6" hidden="1" x14ac:dyDescent="0.25">
      <c r="A1292">
        <f t="shared" si="42"/>
        <v>14</v>
      </c>
      <c r="B1292" s="37">
        <v>44391</v>
      </c>
      <c r="C1292" t="s">
        <v>29</v>
      </c>
      <c r="D1292">
        <f t="shared" si="43"/>
        <v>2021</v>
      </c>
      <c r="E1292">
        <v>3528301.36</v>
      </c>
      <c r="F1292">
        <v>3391651.9119000002</v>
      </c>
    </row>
    <row r="1293" spans="1:6" hidden="1" x14ac:dyDescent="0.25">
      <c r="A1293">
        <f t="shared" si="42"/>
        <v>15</v>
      </c>
      <c r="B1293" s="37">
        <v>44392</v>
      </c>
      <c r="C1293" t="s">
        <v>29</v>
      </c>
      <c r="D1293">
        <f t="shared" si="43"/>
        <v>2021</v>
      </c>
      <c r="E1293">
        <v>3658669.17</v>
      </c>
      <c r="F1293">
        <v>3443394.7261000001</v>
      </c>
    </row>
    <row r="1294" spans="1:6" hidden="1" x14ac:dyDescent="0.25">
      <c r="A1294">
        <f t="shared" si="42"/>
        <v>16</v>
      </c>
      <c r="B1294" s="37">
        <v>44393</v>
      </c>
      <c r="C1294" t="s">
        <v>29</v>
      </c>
      <c r="D1294">
        <f t="shared" si="43"/>
        <v>2021</v>
      </c>
      <c r="E1294">
        <v>3665450.52</v>
      </c>
      <c r="F1294">
        <v>3548283.8492000001</v>
      </c>
    </row>
    <row r="1295" spans="1:6" hidden="1" x14ac:dyDescent="0.25">
      <c r="A1295">
        <f t="shared" si="42"/>
        <v>17</v>
      </c>
      <c r="B1295" s="37">
        <v>44394</v>
      </c>
      <c r="C1295" t="s">
        <v>29</v>
      </c>
      <c r="D1295">
        <f t="shared" si="43"/>
        <v>2021</v>
      </c>
      <c r="E1295">
        <v>3665450.52</v>
      </c>
      <c r="F1295">
        <v>3548283.8492000001</v>
      </c>
    </row>
    <row r="1296" spans="1:6" hidden="1" x14ac:dyDescent="0.25">
      <c r="A1296">
        <f t="shared" si="42"/>
        <v>18</v>
      </c>
      <c r="B1296" s="37">
        <v>44395</v>
      </c>
      <c r="C1296" t="s">
        <v>29</v>
      </c>
      <c r="D1296">
        <f t="shared" si="43"/>
        <v>2021</v>
      </c>
      <c r="E1296">
        <v>3665450.52</v>
      </c>
      <c r="F1296">
        <v>3548283.8492000001</v>
      </c>
    </row>
    <row r="1297" spans="1:6" hidden="1" x14ac:dyDescent="0.25">
      <c r="A1297">
        <f t="shared" si="42"/>
        <v>19</v>
      </c>
      <c r="B1297" s="37">
        <v>44396</v>
      </c>
      <c r="C1297" t="s">
        <v>29</v>
      </c>
      <c r="D1297">
        <f t="shared" si="43"/>
        <v>2021</v>
      </c>
      <c r="E1297">
        <v>3678030.38</v>
      </c>
      <c r="F1297">
        <v>3618512.2105</v>
      </c>
    </row>
    <row r="1298" spans="1:6" hidden="1" x14ac:dyDescent="0.25">
      <c r="A1298">
        <f t="shared" si="42"/>
        <v>20</v>
      </c>
      <c r="B1298" s="37">
        <v>44397</v>
      </c>
      <c r="C1298" t="s">
        <v>29</v>
      </c>
      <c r="D1298">
        <f t="shared" si="43"/>
        <v>2021</v>
      </c>
      <c r="E1298">
        <v>3748017.13</v>
      </c>
      <c r="F1298">
        <v>3646930.9953000001</v>
      </c>
    </row>
    <row r="1299" spans="1:6" hidden="1" x14ac:dyDescent="0.25">
      <c r="A1299">
        <f t="shared" si="42"/>
        <v>21</v>
      </c>
      <c r="B1299" s="37">
        <v>44398</v>
      </c>
      <c r="C1299" t="s">
        <v>29</v>
      </c>
      <c r="D1299">
        <f t="shared" si="43"/>
        <v>2021</v>
      </c>
      <c r="E1299">
        <v>3851207.91</v>
      </c>
      <c r="F1299">
        <v>3712699.5660999999</v>
      </c>
    </row>
    <row r="1300" spans="1:6" hidden="1" x14ac:dyDescent="0.25">
      <c r="A1300">
        <f t="shared" si="42"/>
        <v>22</v>
      </c>
      <c r="B1300" s="37">
        <v>44399</v>
      </c>
      <c r="C1300" t="s">
        <v>29</v>
      </c>
      <c r="D1300">
        <f t="shared" si="43"/>
        <v>2021</v>
      </c>
      <c r="E1300">
        <v>3958032.43</v>
      </c>
      <c r="F1300">
        <v>3773693.2149999999</v>
      </c>
    </row>
    <row r="1301" spans="1:6" hidden="1" x14ac:dyDescent="0.25">
      <c r="A1301">
        <f t="shared" si="42"/>
        <v>23</v>
      </c>
      <c r="B1301" s="37">
        <v>44400</v>
      </c>
      <c r="C1301" t="s">
        <v>29</v>
      </c>
      <c r="D1301">
        <f t="shared" si="43"/>
        <v>2021</v>
      </c>
      <c r="E1301">
        <v>4030938.71</v>
      </c>
      <c r="F1301">
        <v>3784653.8352999999</v>
      </c>
    </row>
    <row r="1302" spans="1:6" hidden="1" x14ac:dyDescent="0.25">
      <c r="A1302">
        <f t="shared" si="42"/>
        <v>24</v>
      </c>
      <c r="B1302" s="37">
        <v>44401</v>
      </c>
      <c r="C1302" t="s">
        <v>29</v>
      </c>
      <c r="D1302">
        <f t="shared" si="43"/>
        <v>2021</v>
      </c>
      <c r="E1302">
        <v>4030938.71</v>
      </c>
      <c r="F1302">
        <v>3784653.8352999999</v>
      </c>
    </row>
    <row r="1303" spans="1:6" hidden="1" x14ac:dyDescent="0.25">
      <c r="A1303">
        <f t="shared" si="42"/>
        <v>25</v>
      </c>
      <c r="B1303" s="37">
        <v>44402</v>
      </c>
      <c r="C1303" t="s">
        <v>29</v>
      </c>
      <c r="D1303">
        <f t="shared" si="43"/>
        <v>2021</v>
      </c>
      <c r="E1303">
        <v>4030938.71</v>
      </c>
      <c r="F1303">
        <v>3784653.8352999999</v>
      </c>
    </row>
    <row r="1304" spans="1:6" hidden="1" x14ac:dyDescent="0.25">
      <c r="A1304">
        <f t="shared" si="42"/>
        <v>26</v>
      </c>
      <c r="B1304" s="37">
        <v>44403</v>
      </c>
      <c r="C1304" t="s">
        <v>29</v>
      </c>
      <c r="D1304">
        <f t="shared" si="43"/>
        <v>2021</v>
      </c>
      <c r="E1304">
        <v>4106366.09</v>
      </c>
      <c r="F1304">
        <v>3885813.0403</v>
      </c>
    </row>
    <row r="1305" spans="1:6" hidden="1" x14ac:dyDescent="0.25">
      <c r="A1305">
        <f t="shared" si="42"/>
        <v>27</v>
      </c>
      <c r="B1305" s="37">
        <v>44404</v>
      </c>
      <c r="C1305" t="s">
        <v>29</v>
      </c>
      <c r="D1305">
        <f t="shared" si="43"/>
        <v>2021</v>
      </c>
      <c r="E1305">
        <v>4182829.1</v>
      </c>
      <c r="F1305">
        <v>3988843.2261000001</v>
      </c>
    </row>
    <row r="1306" spans="1:6" hidden="1" x14ac:dyDescent="0.25">
      <c r="A1306">
        <f t="shared" si="42"/>
        <v>28</v>
      </c>
      <c r="B1306" s="37">
        <v>44405</v>
      </c>
      <c r="C1306" t="s">
        <v>29</v>
      </c>
      <c r="D1306">
        <f t="shared" si="43"/>
        <v>2021</v>
      </c>
      <c r="E1306">
        <v>4135399.72</v>
      </c>
      <c r="F1306">
        <v>4036633.952</v>
      </c>
    </row>
    <row r="1307" spans="1:6" hidden="1" x14ac:dyDescent="0.25">
      <c r="A1307">
        <f t="shared" si="42"/>
        <v>29</v>
      </c>
      <c r="B1307" s="37">
        <v>44406</v>
      </c>
      <c r="C1307" t="s">
        <v>29</v>
      </c>
      <c r="D1307">
        <f t="shared" si="43"/>
        <v>2021</v>
      </c>
      <c r="E1307">
        <v>4079142.07</v>
      </c>
      <c r="F1307">
        <v>3983173.5507999999</v>
      </c>
    </row>
    <row r="1308" spans="1:6" hidden="1" x14ac:dyDescent="0.25">
      <c r="A1308">
        <f t="shared" si="42"/>
        <v>30</v>
      </c>
      <c r="B1308" s="37">
        <v>44407</v>
      </c>
      <c r="C1308" t="s">
        <v>29</v>
      </c>
      <c r="D1308">
        <f t="shared" si="43"/>
        <v>2021</v>
      </c>
      <c r="E1308">
        <v>3989515.66</v>
      </c>
      <c r="F1308">
        <v>4015645.7582</v>
      </c>
    </row>
    <row r="1309" spans="1:6" hidden="1" x14ac:dyDescent="0.25">
      <c r="A1309">
        <f t="shared" si="42"/>
        <v>31</v>
      </c>
      <c r="B1309" s="37">
        <v>44408</v>
      </c>
      <c r="C1309" t="s">
        <v>29</v>
      </c>
      <c r="D1309">
        <f t="shared" si="43"/>
        <v>2021</v>
      </c>
      <c r="E1309">
        <v>3989515.66</v>
      </c>
      <c r="F1309">
        <v>4015645.7582</v>
      </c>
    </row>
    <row r="1310" spans="1:6" hidden="1" x14ac:dyDescent="0.25">
      <c r="A1310">
        <f t="shared" si="42"/>
        <v>1</v>
      </c>
      <c r="B1310" s="37">
        <v>44409</v>
      </c>
      <c r="C1310" t="s">
        <v>30</v>
      </c>
      <c r="D1310">
        <f t="shared" si="43"/>
        <v>2021</v>
      </c>
      <c r="E1310">
        <v>3989515.66</v>
      </c>
      <c r="F1310">
        <v>4015645.7582</v>
      </c>
    </row>
    <row r="1311" spans="1:6" hidden="1" x14ac:dyDescent="0.25">
      <c r="A1311">
        <f t="shared" si="42"/>
        <v>2</v>
      </c>
      <c r="B1311" s="37">
        <v>44410</v>
      </c>
      <c r="C1311" t="s">
        <v>30</v>
      </c>
      <c r="D1311">
        <f t="shared" si="43"/>
        <v>2021</v>
      </c>
      <c r="E1311">
        <v>4015369.47</v>
      </c>
      <c r="F1311">
        <v>4018492.2389000002</v>
      </c>
    </row>
    <row r="1312" spans="1:6" hidden="1" x14ac:dyDescent="0.25">
      <c r="A1312">
        <f t="shared" si="42"/>
        <v>3</v>
      </c>
      <c r="B1312" s="37">
        <v>44411</v>
      </c>
      <c r="C1312" t="s">
        <v>30</v>
      </c>
      <c r="D1312">
        <f t="shared" si="43"/>
        <v>2021</v>
      </c>
      <c r="E1312">
        <v>4020696.2</v>
      </c>
      <c r="F1312">
        <v>4033104.5367999999</v>
      </c>
    </row>
    <row r="1313" spans="1:6" hidden="1" x14ac:dyDescent="0.25">
      <c r="A1313">
        <f t="shared" si="42"/>
        <v>4</v>
      </c>
      <c r="B1313" s="37">
        <v>44412</v>
      </c>
      <c r="C1313" t="s">
        <v>30</v>
      </c>
      <c r="D1313">
        <f t="shared" si="43"/>
        <v>2021</v>
      </c>
      <c r="E1313">
        <v>4034246.62</v>
      </c>
      <c r="F1313">
        <v>4036194.8468999998</v>
      </c>
    </row>
    <row r="1314" spans="1:6" hidden="1" x14ac:dyDescent="0.25">
      <c r="A1314">
        <f t="shared" si="42"/>
        <v>5</v>
      </c>
      <c r="B1314" s="37">
        <v>44413</v>
      </c>
      <c r="C1314" t="s">
        <v>30</v>
      </c>
      <c r="D1314">
        <f t="shared" si="43"/>
        <v>2021</v>
      </c>
      <c r="E1314">
        <v>4080024.17</v>
      </c>
      <c r="F1314">
        <v>4040784.7313999999</v>
      </c>
    </row>
    <row r="1315" spans="1:6" hidden="1" x14ac:dyDescent="0.25">
      <c r="A1315">
        <f t="shared" si="42"/>
        <v>6</v>
      </c>
      <c r="B1315" s="37">
        <v>44414</v>
      </c>
      <c r="C1315" t="s">
        <v>30</v>
      </c>
      <c r="D1315">
        <f t="shared" si="43"/>
        <v>2021</v>
      </c>
      <c r="E1315">
        <v>4050901.67</v>
      </c>
      <c r="F1315">
        <v>4068823.0274</v>
      </c>
    </row>
    <row r="1316" spans="1:6" hidden="1" x14ac:dyDescent="0.25">
      <c r="A1316">
        <f t="shared" si="42"/>
        <v>7</v>
      </c>
      <c r="B1316" s="37">
        <v>44415</v>
      </c>
      <c r="C1316" t="s">
        <v>30</v>
      </c>
      <c r="D1316">
        <f t="shared" si="43"/>
        <v>2021</v>
      </c>
      <c r="E1316">
        <v>4050901.67</v>
      </c>
      <c r="F1316">
        <v>4068823.0274</v>
      </c>
    </row>
    <row r="1317" spans="1:6" hidden="1" x14ac:dyDescent="0.25">
      <c r="A1317">
        <f t="shared" si="42"/>
        <v>8</v>
      </c>
      <c r="B1317" s="37">
        <v>44416</v>
      </c>
      <c r="C1317" t="s">
        <v>30</v>
      </c>
      <c r="D1317">
        <f t="shared" si="43"/>
        <v>2021</v>
      </c>
      <c r="E1317">
        <v>4050901.67</v>
      </c>
      <c r="F1317">
        <v>4068823.0274</v>
      </c>
    </row>
    <row r="1318" spans="1:6" hidden="1" x14ac:dyDescent="0.25">
      <c r="A1318">
        <f t="shared" si="42"/>
        <v>9</v>
      </c>
      <c r="B1318" s="37">
        <v>44417</v>
      </c>
      <c r="C1318" t="s">
        <v>30</v>
      </c>
      <c r="D1318">
        <f t="shared" si="43"/>
        <v>2021</v>
      </c>
      <c r="E1318">
        <v>4108273.24</v>
      </c>
      <c r="F1318">
        <v>4080378.0772000002</v>
      </c>
    </row>
    <row r="1319" spans="1:6" hidden="1" x14ac:dyDescent="0.25">
      <c r="A1319">
        <f t="shared" si="42"/>
        <v>10</v>
      </c>
      <c r="B1319" s="37">
        <v>44418</v>
      </c>
      <c r="C1319" t="s">
        <v>30</v>
      </c>
      <c r="D1319">
        <f t="shared" si="43"/>
        <v>2021</v>
      </c>
      <c r="E1319">
        <v>4178646.8</v>
      </c>
      <c r="F1319">
        <v>4094502.0241999999</v>
      </c>
    </row>
    <row r="1320" spans="1:6" hidden="1" x14ac:dyDescent="0.25">
      <c r="A1320">
        <f t="shared" si="42"/>
        <v>11</v>
      </c>
      <c r="B1320" s="37">
        <v>44419</v>
      </c>
      <c r="C1320" t="s">
        <v>30</v>
      </c>
      <c r="D1320">
        <f t="shared" si="43"/>
        <v>2021</v>
      </c>
      <c r="E1320">
        <v>4133232.7</v>
      </c>
      <c r="F1320">
        <v>4117054.6442999998</v>
      </c>
    </row>
    <row r="1321" spans="1:6" hidden="1" x14ac:dyDescent="0.25">
      <c r="A1321">
        <f t="shared" si="42"/>
        <v>12</v>
      </c>
      <c r="B1321" s="37">
        <v>44420</v>
      </c>
      <c r="C1321" t="s">
        <v>30</v>
      </c>
      <c r="D1321">
        <f t="shared" si="43"/>
        <v>2021</v>
      </c>
      <c r="E1321">
        <v>4143542.73</v>
      </c>
      <c r="F1321">
        <v>4113365.6762999999</v>
      </c>
    </row>
    <row r="1322" spans="1:6" hidden="1" x14ac:dyDescent="0.25">
      <c r="A1322">
        <f t="shared" si="42"/>
        <v>13</v>
      </c>
      <c r="B1322" s="37">
        <v>44421</v>
      </c>
      <c r="C1322" t="s">
        <v>30</v>
      </c>
      <c r="D1322">
        <f t="shared" si="43"/>
        <v>2021</v>
      </c>
      <c r="E1322">
        <v>4109629.35</v>
      </c>
      <c r="F1322">
        <v>4135488.0861999998</v>
      </c>
    </row>
    <row r="1323" spans="1:6" hidden="1" x14ac:dyDescent="0.25">
      <c r="A1323">
        <f t="shared" si="42"/>
        <v>14</v>
      </c>
      <c r="B1323" s="37">
        <v>44422</v>
      </c>
      <c r="C1323" t="s">
        <v>30</v>
      </c>
      <c r="D1323">
        <f t="shared" si="43"/>
        <v>2021</v>
      </c>
      <c r="E1323">
        <v>4109629.35</v>
      </c>
      <c r="F1323">
        <v>4135488.0861999998</v>
      </c>
    </row>
    <row r="1324" spans="1:6" hidden="1" x14ac:dyDescent="0.25">
      <c r="A1324">
        <f t="shared" si="42"/>
        <v>15</v>
      </c>
      <c r="B1324" s="37">
        <v>44423</v>
      </c>
      <c r="C1324" t="s">
        <v>30</v>
      </c>
      <c r="D1324">
        <f t="shared" si="43"/>
        <v>2021</v>
      </c>
      <c r="E1324">
        <v>4109629.35</v>
      </c>
      <c r="F1324">
        <v>4135488.0861999998</v>
      </c>
    </row>
    <row r="1325" spans="1:6" hidden="1" x14ac:dyDescent="0.25">
      <c r="A1325">
        <f t="shared" si="42"/>
        <v>16</v>
      </c>
      <c r="B1325" s="37">
        <v>44424</v>
      </c>
      <c r="C1325" t="s">
        <v>30</v>
      </c>
      <c r="D1325">
        <f t="shared" si="43"/>
        <v>2021</v>
      </c>
      <c r="E1325">
        <v>4105505.62</v>
      </c>
      <c r="F1325">
        <v>4110497.9989999998</v>
      </c>
    </row>
    <row r="1326" spans="1:6" hidden="1" x14ac:dyDescent="0.25">
      <c r="A1326">
        <f t="shared" si="42"/>
        <v>17</v>
      </c>
      <c r="B1326" s="37">
        <v>44425</v>
      </c>
      <c r="C1326" t="s">
        <v>30</v>
      </c>
      <c r="D1326">
        <f t="shared" si="43"/>
        <v>2021</v>
      </c>
      <c r="E1326">
        <v>4115689.33</v>
      </c>
      <c r="F1326">
        <v>4130164.8560000001</v>
      </c>
    </row>
    <row r="1327" spans="1:6" hidden="1" x14ac:dyDescent="0.25">
      <c r="A1327">
        <f t="shared" si="42"/>
        <v>18</v>
      </c>
      <c r="B1327" s="37">
        <v>44426</v>
      </c>
      <c r="C1327" t="s">
        <v>30</v>
      </c>
      <c r="D1327">
        <f t="shared" si="43"/>
        <v>2021</v>
      </c>
      <c r="E1327">
        <v>4133914.11</v>
      </c>
      <c r="F1327">
        <v>4085372.2500999998</v>
      </c>
    </row>
    <row r="1328" spans="1:6" hidden="1" x14ac:dyDescent="0.25">
      <c r="A1328">
        <f t="shared" si="42"/>
        <v>19</v>
      </c>
      <c r="B1328" s="37">
        <v>44427</v>
      </c>
      <c r="C1328" t="s">
        <v>30</v>
      </c>
      <c r="D1328">
        <f t="shared" si="43"/>
        <v>2021</v>
      </c>
      <c r="E1328">
        <v>4108501.56</v>
      </c>
      <c r="F1328">
        <v>4122223.3816999998</v>
      </c>
    </row>
    <row r="1329" spans="1:6" hidden="1" x14ac:dyDescent="0.25">
      <c r="A1329">
        <f t="shared" si="42"/>
        <v>20</v>
      </c>
      <c r="B1329" s="37">
        <v>44428</v>
      </c>
      <c r="C1329" t="s">
        <v>30</v>
      </c>
      <c r="D1329">
        <f t="shared" si="43"/>
        <v>2021</v>
      </c>
      <c r="E1329">
        <v>4117410.41</v>
      </c>
      <c r="F1329">
        <v>4123464.3173000002</v>
      </c>
    </row>
    <row r="1330" spans="1:6" hidden="1" x14ac:dyDescent="0.25">
      <c r="A1330">
        <f t="shared" si="42"/>
        <v>21</v>
      </c>
      <c r="B1330" s="37">
        <v>44429</v>
      </c>
      <c r="C1330" t="s">
        <v>30</v>
      </c>
      <c r="D1330">
        <f t="shared" si="43"/>
        <v>2021</v>
      </c>
      <c r="E1330">
        <v>4117410.41</v>
      </c>
      <c r="F1330">
        <v>4123464.3173000002</v>
      </c>
    </row>
    <row r="1331" spans="1:6" hidden="1" x14ac:dyDescent="0.25">
      <c r="A1331">
        <f t="shared" si="42"/>
        <v>22</v>
      </c>
      <c r="B1331" s="37">
        <v>44430</v>
      </c>
      <c r="C1331" t="s">
        <v>30</v>
      </c>
      <c r="D1331">
        <f t="shared" si="43"/>
        <v>2021</v>
      </c>
      <c r="E1331">
        <v>4117410.41</v>
      </c>
      <c r="F1331">
        <v>4123464.3173000002</v>
      </c>
    </row>
    <row r="1332" spans="1:6" hidden="1" x14ac:dyDescent="0.25">
      <c r="A1332">
        <f t="shared" si="42"/>
        <v>23</v>
      </c>
      <c r="B1332" s="37">
        <v>44431</v>
      </c>
      <c r="C1332" t="s">
        <v>30</v>
      </c>
      <c r="D1332">
        <f t="shared" si="43"/>
        <v>2021</v>
      </c>
      <c r="E1332">
        <v>4143313.27</v>
      </c>
      <c r="F1332">
        <v>4129660.9166999999</v>
      </c>
    </row>
    <row r="1333" spans="1:6" hidden="1" x14ac:dyDescent="0.25">
      <c r="A1333">
        <f t="shared" si="42"/>
        <v>24</v>
      </c>
      <c r="B1333" s="37">
        <v>44432</v>
      </c>
      <c r="C1333" t="s">
        <v>30</v>
      </c>
      <c r="D1333">
        <f t="shared" si="43"/>
        <v>2021</v>
      </c>
      <c r="E1333">
        <v>4157299.43</v>
      </c>
      <c r="F1333">
        <v>4121652.7348000002</v>
      </c>
    </row>
    <row r="1334" spans="1:6" hidden="1" x14ac:dyDescent="0.25">
      <c r="A1334">
        <f t="shared" si="42"/>
        <v>25</v>
      </c>
      <c r="B1334" s="37">
        <v>44433</v>
      </c>
      <c r="C1334" t="s">
        <v>30</v>
      </c>
      <c r="D1334">
        <f t="shared" si="43"/>
        <v>2021</v>
      </c>
      <c r="E1334">
        <v>4125598.38</v>
      </c>
      <c r="F1334">
        <v>4147300.5159</v>
      </c>
    </row>
    <row r="1335" spans="1:6" hidden="1" x14ac:dyDescent="0.25">
      <c r="A1335">
        <f t="shared" si="42"/>
        <v>26</v>
      </c>
      <c r="B1335" s="37">
        <v>44434</v>
      </c>
      <c r="C1335" t="s">
        <v>30</v>
      </c>
      <c r="D1335">
        <f t="shared" si="43"/>
        <v>2021</v>
      </c>
      <c r="E1335">
        <v>4106879.09</v>
      </c>
      <c r="F1335">
        <v>4139860.2579000001</v>
      </c>
    </row>
    <row r="1336" spans="1:6" hidden="1" x14ac:dyDescent="0.25">
      <c r="A1336">
        <f t="shared" si="42"/>
        <v>27</v>
      </c>
      <c r="B1336" s="37">
        <v>44435</v>
      </c>
      <c r="C1336" t="s">
        <v>30</v>
      </c>
      <c r="D1336">
        <f t="shared" si="43"/>
        <v>2021</v>
      </c>
      <c r="E1336">
        <v>4126355.74</v>
      </c>
      <c r="F1336">
        <v>4134298.0482999999</v>
      </c>
    </row>
    <row r="1337" spans="1:6" hidden="1" x14ac:dyDescent="0.25">
      <c r="A1337">
        <f t="shared" si="42"/>
        <v>28</v>
      </c>
      <c r="B1337" s="37">
        <v>44436</v>
      </c>
      <c r="C1337" t="s">
        <v>30</v>
      </c>
      <c r="D1337">
        <f t="shared" si="43"/>
        <v>2021</v>
      </c>
      <c r="E1337">
        <v>4126355.74</v>
      </c>
      <c r="F1337">
        <v>4134298.0482999999</v>
      </c>
    </row>
    <row r="1338" spans="1:6" hidden="1" x14ac:dyDescent="0.25">
      <c r="A1338">
        <f t="shared" si="42"/>
        <v>29</v>
      </c>
      <c r="B1338" s="37">
        <v>44437</v>
      </c>
      <c r="C1338" t="s">
        <v>30</v>
      </c>
      <c r="D1338">
        <f t="shared" si="43"/>
        <v>2021</v>
      </c>
      <c r="E1338">
        <v>4126355.74</v>
      </c>
      <c r="F1338">
        <v>4134298.0482999999</v>
      </c>
    </row>
    <row r="1339" spans="1:6" hidden="1" x14ac:dyDescent="0.25">
      <c r="A1339">
        <f t="shared" si="42"/>
        <v>30</v>
      </c>
      <c r="B1339" s="37">
        <v>44438</v>
      </c>
      <c r="C1339" t="s">
        <v>30</v>
      </c>
      <c r="D1339">
        <f t="shared" si="43"/>
        <v>2021</v>
      </c>
      <c r="E1339">
        <v>4132045.86</v>
      </c>
      <c r="F1339">
        <v>4144502.8546000002</v>
      </c>
    </row>
    <row r="1340" spans="1:6" hidden="1" x14ac:dyDescent="0.25">
      <c r="A1340">
        <f t="shared" si="42"/>
        <v>31</v>
      </c>
      <c r="B1340" s="37">
        <v>44439</v>
      </c>
      <c r="C1340" t="s">
        <v>30</v>
      </c>
      <c r="D1340">
        <f t="shared" si="43"/>
        <v>2021</v>
      </c>
      <c r="E1340">
        <v>4117404.66</v>
      </c>
      <c r="F1340">
        <v>4127024.2256999998</v>
      </c>
    </row>
    <row r="1341" spans="1:6" hidden="1" x14ac:dyDescent="0.25">
      <c r="A1341">
        <f t="shared" si="42"/>
        <v>1</v>
      </c>
      <c r="B1341" s="37">
        <v>44440</v>
      </c>
      <c r="C1341" t="s">
        <v>31</v>
      </c>
      <c r="D1341">
        <f t="shared" si="43"/>
        <v>2021</v>
      </c>
      <c r="E1341">
        <v>4017164.27</v>
      </c>
      <c r="F1341">
        <v>4100108.2303999998</v>
      </c>
    </row>
    <row r="1342" spans="1:6" hidden="1" x14ac:dyDescent="0.25">
      <c r="A1342">
        <f t="shared" si="42"/>
        <v>2</v>
      </c>
      <c r="B1342" s="37">
        <v>44441</v>
      </c>
      <c r="C1342" t="s">
        <v>31</v>
      </c>
      <c r="D1342">
        <f t="shared" si="43"/>
        <v>2021</v>
      </c>
      <c r="E1342">
        <v>4058044.26</v>
      </c>
      <c r="F1342">
        <v>4087136.4245000002</v>
      </c>
    </row>
    <row r="1343" spans="1:6" hidden="1" x14ac:dyDescent="0.25">
      <c r="A1343">
        <f t="shared" si="42"/>
        <v>3</v>
      </c>
      <c r="B1343" s="37">
        <v>44442</v>
      </c>
      <c r="C1343" t="s">
        <v>31</v>
      </c>
      <c r="D1343">
        <f t="shared" si="43"/>
        <v>2021</v>
      </c>
      <c r="E1343">
        <v>4018572.76</v>
      </c>
      <c r="F1343">
        <v>4058787.1146999998</v>
      </c>
    </row>
    <row r="1344" spans="1:6" hidden="1" x14ac:dyDescent="0.25">
      <c r="A1344">
        <f t="shared" si="42"/>
        <v>4</v>
      </c>
      <c r="B1344" s="37">
        <v>44443</v>
      </c>
      <c r="C1344" t="s">
        <v>31</v>
      </c>
      <c r="D1344">
        <f t="shared" si="43"/>
        <v>2021</v>
      </c>
      <c r="E1344">
        <v>4018572.76</v>
      </c>
      <c r="F1344">
        <v>4058787.1146999998</v>
      </c>
    </row>
    <row r="1345" spans="1:6" hidden="1" x14ac:dyDescent="0.25">
      <c r="A1345">
        <f t="shared" si="42"/>
        <v>5</v>
      </c>
      <c r="B1345" s="37">
        <v>44444</v>
      </c>
      <c r="C1345" t="s">
        <v>31</v>
      </c>
      <c r="D1345">
        <f t="shared" si="43"/>
        <v>2021</v>
      </c>
      <c r="E1345">
        <v>4018572.76</v>
      </c>
      <c r="F1345">
        <v>4058787.1146999998</v>
      </c>
    </row>
    <row r="1346" spans="1:6" hidden="1" x14ac:dyDescent="0.25">
      <c r="A1346">
        <f t="shared" si="42"/>
        <v>6</v>
      </c>
      <c r="B1346" s="37">
        <v>44445</v>
      </c>
      <c r="C1346" t="s">
        <v>31</v>
      </c>
      <c r="D1346">
        <f t="shared" si="43"/>
        <v>2021</v>
      </c>
      <c r="E1346">
        <v>4019640.13</v>
      </c>
      <c r="F1346">
        <v>4072866.1228</v>
      </c>
    </row>
    <row r="1347" spans="1:6" hidden="1" x14ac:dyDescent="0.25">
      <c r="A1347">
        <f t="shared" si="42"/>
        <v>7</v>
      </c>
      <c r="B1347" s="37">
        <v>44446</v>
      </c>
      <c r="C1347" t="s">
        <v>31</v>
      </c>
      <c r="D1347">
        <f t="shared" si="43"/>
        <v>2021</v>
      </c>
      <c r="E1347">
        <v>4066301.69</v>
      </c>
      <c r="F1347">
        <v>4071866.2459</v>
      </c>
    </row>
    <row r="1348" spans="1:6" hidden="1" x14ac:dyDescent="0.25">
      <c r="A1348">
        <f t="shared" si="42"/>
        <v>8</v>
      </c>
      <c r="B1348" s="37">
        <v>44447</v>
      </c>
      <c r="C1348" t="s">
        <v>31</v>
      </c>
      <c r="D1348">
        <f t="shared" si="43"/>
        <v>2021</v>
      </c>
      <c r="E1348">
        <v>4105715.46</v>
      </c>
      <c r="F1348">
        <v>4070427.7044000002</v>
      </c>
    </row>
    <row r="1349" spans="1:6" hidden="1" x14ac:dyDescent="0.25">
      <c r="A1349">
        <f t="shared" si="42"/>
        <v>9</v>
      </c>
      <c r="B1349" s="37">
        <v>44448</v>
      </c>
      <c r="C1349" t="s">
        <v>31</v>
      </c>
      <c r="D1349">
        <f t="shared" si="43"/>
        <v>2021</v>
      </c>
      <c r="E1349">
        <v>4094779.14</v>
      </c>
      <c r="F1349">
        <v>4084549.6965000001</v>
      </c>
    </row>
    <row r="1350" spans="1:6" hidden="1" x14ac:dyDescent="0.25">
      <c r="A1350">
        <f t="shared" si="42"/>
        <v>10</v>
      </c>
      <c r="B1350" s="37">
        <v>44449</v>
      </c>
      <c r="C1350" t="s">
        <v>31</v>
      </c>
      <c r="D1350">
        <f t="shared" si="43"/>
        <v>2021</v>
      </c>
      <c r="E1350">
        <v>4105173.79</v>
      </c>
      <c r="F1350">
        <v>4057528.6513999999</v>
      </c>
    </row>
    <row r="1351" spans="1:6" hidden="1" x14ac:dyDescent="0.25">
      <c r="A1351">
        <f t="shared" si="42"/>
        <v>11</v>
      </c>
      <c r="B1351" s="37">
        <v>44450</v>
      </c>
      <c r="C1351" t="s">
        <v>31</v>
      </c>
      <c r="D1351">
        <f t="shared" si="43"/>
        <v>2021</v>
      </c>
      <c r="E1351">
        <v>4105173.79</v>
      </c>
      <c r="F1351">
        <v>4057528.6513999999</v>
      </c>
    </row>
    <row r="1352" spans="1:6" hidden="1" x14ac:dyDescent="0.25">
      <c r="A1352">
        <f t="shared" si="42"/>
        <v>12</v>
      </c>
      <c r="B1352" s="37">
        <v>44451</v>
      </c>
      <c r="C1352" t="s">
        <v>31</v>
      </c>
      <c r="D1352">
        <f t="shared" si="43"/>
        <v>2021</v>
      </c>
      <c r="E1352">
        <v>4105173.79</v>
      </c>
      <c r="F1352">
        <v>4057528.6513999999</v>
      </c>
    </row>
    <row r="1353" spans="1:6" hidden="1" x14ac:dyDescent="0.25">
      <c r="A1353">
        <f t="shared" si="42"/>
        <v>13</v>
      </c>
      <c r="B1353" s="37">
        <v>44452</v>
      </c>
      <c r="C1353" t="s">
        <v>31</v>
      </c>
      <c r="D1353">
        <f t="shared" si="43"/>
        <v>2021</v>
      </c>
      <c r="E1353">
        <v>4102746.48</v>
      </c>
      <c r="F1353">
        <v>3996013.0260000001</v>
      </c>
    </row>
    <row r="1354" spans="1:6" hidden="1" x14ac:dyDescent="0.25">
      <c r="A1354">
        <f t="shared" ref="A1354:A1417" si="44">DAY(B1354)</f>
        <v>14</v>
      </c>
      <c r="B1354" s="37">
        <v>44453</v>
      </c>
      <c r="C1354" t="s">
        <v>31</v>
      </c>
      <c r="D1354">
        <f t="shared" ref="D1354:D1417" si="45">YEAR(B1354)</f>
        <v>2021</v>
      </c>
      <c r="E1354">
        <v>4084434.6</v>
      </c>
      <c r="F1354">
        <v>4031654.3100999999</v>
      </c>
    </row>
    <row r="1355" spans="1:6" hidden="1" x14ac:dyDescent="0.25">
      <c r="A1355">
        <f t="shared" si="44"/>
        <v>15</v>
      </c>
      <c r="B1355" s="37">
        <v>44454</v>
      </c>
      <c r="C1355" t="s">
        <v>31</v>
      </c>
      <c r="D1355">
        <f t="shared" si="45"/>
        <v>2021</v>
      </c>
      <c r="E1355">
        <v>4045985.41</v>
      </c>
      <c r="F1355">
        <v>4023277.5926999999</v>
      </c>
    </row>
    <row r="1356" spans="1:6" hidden="1" x14ac:dyDescent="0.25">
      <c r="A1356">
        <f t="shared" si="44"/>
        <v>16</v>
      </c>
      <c r="B1356" s="37">
        <v>44455</v>
      </c>
      <c r="C1356" t="s">
        <v>31</v>
      </c>
      <c r="D1356">
        <f t="shared" si="45"/>
        <v>2021</v>
      </c>
      <c r="E1356">
        <v>4020363.37</v>
      </c>
      <c r="F1356">
        <v>4048613.395</v>
      </c>
    </row>
    <row r="1357" spans="1:6" hidden="1" x14ac:dyDescent="0.25">
      <c r="A1357">
        <f t="shared" si="44"/>
        <v>17</v>
      </c>
      <c r="B1357" s="37">
        <v>44456</v>
      </c>
      <c r="C1357" t="s">
        <v>31</v>
      </c>
      <c r="D1357">
        <f t="shared" si="45"/>
        <v>2021</v>
      </c>
      <c r="E1357">
        <v>3971546.77</v>
      </c>
      <c r="F1357">
        <v>4041830.4386999998</v>
      </c>
    </row>
    <row r="1358" spans="1:6" hidden="1" x14ac:dyDescent="0.25">
      <c r="A1358">
        <f t="shared" si="44"/>
        <v>18</v>
      </c>
      <c r="B1358" s="37">
        <v>44457</v>
      </c>
      <c r="C1358" t="s">
        <v>31</v>
      </c>
      <c r="D1358">
        <f t="shared" si="45"/>
        <v>2021</v>
      </c>
      <c r="E1358">
        <v>3971546.77</v>
      </c>
      <c r="F1358">
        <v>4041830.4386999998</v>
      </c>
    </row>
    <row r="1359" spans="1:6" hidden="1" x14ac:dyDescent="0.25">
      <c r="A1359">
        <f t="shared" si="44"/>
        <v>19</v>
      </c>
      <c r="B1359" s="37">
        <v>44458</v>
      </c>
      <c r="C1359" t="s">
        <v>31</v>
      </c>
      <c r="D1359">
        <f t="shared" si="45"/>
        <v>2021</v>
      </c>
      <c r="E1359">
        <v>3971546.77</v>
      </c>
      <c r="F1359">
        <v>4041830.4386999998</v>
      </c>
    </row>
    <row r="1360" spans="1:6" hidden="1" x14ac:dyDescent="0.25">
      <c r="A1360">
        <f t="shared" si="44"/>
        <v>20</v>
      </c>
      <c r="B1360" s="37">
        <v>44459</v>
      </c>
      <c r="C1360" t="s">
        <v>31</v>
      </c>
      <c r="D1360">
        <f t="shared" si="45"/>
        <v>2021</v>
      </c>
      <c r="E1360">
        <v>3953523.45</v>
      </c>
      <c r="F1360">
        <v>4043797.6778000002</v>
      </c>
    </row>
    <row r="1361" spans="1:6" hidden="1" x14ac:dyDescent="0.25">
      <c r="A1361">
        <f t="shared" si="44"/>
        <v>21</v>
      </c>
      <c r="B1361" s="37">
        <v>44460</v>
      </c>
      <c r="C1361" t="s">
        <v>31</v>
      </c>
      <c r="D1361">
        <f t="shared" si="45"/>
        <v>2021</v>
      </c>
      <c r="E1361">
        <v>3946160.99</v>
      </c>
      <c r="F1361">
        <v>4026316.4024</v>
      </c>
    </row>
    <row r="1362" spans="1:6" hidden="1" x14ac:dyDescent="0.25">
      <c r="A1362">
        <f t="shared" si="44"/>
        <v>22</v>
      </c>
      <c r="B1362" s="37">
        <v>44461</v>
      </c>
      <c r="C1362" t="s">
        <v>31</v>
      </c>
      <c r="D1362">
        <f t="shared" si="45"/>
        <v>2021</v>
      </c>
      <c r="E1362">
        <v>4041916.62</v>
      </c>
      <c r="F1362">
        <v>4032128.5666999999</v>
      </c>
    </row>
    <row r="1363" spans="1:6" hidden="1" x14ac:dyDescent="0.25">
      <c r="A1363">
        <f t="shared" si="44"/>
        <v>23</v>
      </c>
      <c r="B1363" s="37">
        <v>44462</v>
      </c>
      <c r="C1363" t="s">
        <v>31</v>
      </c>
      <c r="D1363">
        <f t="shared" si="45"/>
        <v>2021</v>
      </c>
      <c r="E1363">
        <v>4174680.96</v>
      </c>
      <c r="F1363">
        <v>4040871.4989</v>
      </c>
    </row>
    <row r="1364" spans="1:6" hidden="1" x14ac:dyDescent="0.25">
      <c r="A1364">
        <f t="shared" si="44"/>
        <v>24</v>
      </c>
      <c r="B1364" s="37">
        <v>44463</v>
      </c>
      <c r="C1364" t="s">
        <v>31</v>
      </c>
      <c r="D1364">
        <f t="shared" si="45"/>
        <v>2021</v>
      </c>
      <c r="E1364">
        <v>4256830.51</v>
      </c>
      <c r="F1364">
        <v>4104217.9893999998</v>
      </c>
    </row>
    <row r="1365" spans="1:6" hidden="1" x14ac:dyDescent="0.25">
      <c r="A1365">
        <f t="shared" si="44"/>
        <v>25</v>
      </c>
      <c r="B1365" s="37">
        <v>44464</v>
      </c>
      <c r="C1365" t="s">
        <v>31</v>
      </c>
      <c r="D1365">
        <f t="shared" si="45"/>
        <v>2021</v>
      </c>
      <c r="E1365">
        <v>4256830.51</v>
      </c>
      <c r="F1365">
        <v>4104217.9893999998</v>
      </c>
    </row>
    <row r="1366" spans="1:6" hidden="1" x14ac:dyDescent="0.25">
      <c r="A1366">
        <f t="shared" si="44"/>
        <v>26</v>
      </c>
      <c r="B1366" s="37">
        <v>44465</v>
      </c>
      <c r="C1366" t="s">
        <v>31</v>
      </c>
      <c r="D1366">
        <f t="shared" si="45"/>
        <v>2021</v>
      </c>
      <c r="E1366">
        <v>4256830.51</v>
      </c>
      <c r="F1366">
        <v>4104217.9893999998</v>
      </c>
    </row>
    <row r="1367" spans="1:6" hidden="1" x14ac:dyDescent="0.25">
      <c r="A1367">
        <f t="shared" si="44"/>
        <v>27</v>
      </c>
      <c r="B1367" s="37">
        <v>44466</v>
      </c>
      <c r="C1367" t="s">
        <v>31</v>
      </c>
      <c r="D1367">
        <f t="shared" si="45"/>
        <v>2021</v>
      </c>
      <c r="E1367">
        <v>4203149</v>
      </c>
      <c r="F1367">
        <v>4142727.0386999999</v>
      </c>
    </row>
    <row r="1368" spans="1:6" hidden="1" x14ac:dyDescent="0.25">
      <c r="A1368">
        <f t="shared" si="44"/>
        <v>28</v>
      </c>
      <c r="B1368" s="37">
        <v>44467</v>
      </c>
      <c r="C1368" t="s">
        <v>31</v>
      </c>
      <c r="D1368">
        <f t="shared" si="45"/>
        <v>2021</v>
      </c>
      <c r="E1368">
        <v>4237798.54</v>
      </c>
      <c r="F1368">
        <v>4138617.5603</v>
      </c>
    </row>
    <row r="1369" spans="1:6" hidden="1" x14ac:dyDescent="0.25">
      <c r="A1369">
        <f t="shared" si="44"/>
        <v>29</v>
      </c>
      <c r="B1369" s="37">
        <v>44468</v>
      </c>
      <c r="C1369" t="s">
        <v>31</v>
      </c>
      <c r="D1369">
        <f t="shared" si="45"/>
        <v>2021</v>
      </c>
      <c r="E1369">
        <v>4467830.91</v>
      </c>
      <c r="F1369">
        <v>4.1817818300000003</v>
      </c>
    </row>
    <row r="1370" spans="1:6" hidden="1" x14ac:dyDescent="0.25">
      <c r="A1370">
        <f t="shared" si="44"/>
        <v>30</v>
      </c>
      <c r="B1370" s="37">
        <v>44469</v>
      </c>
      <c r="C1370" t="s">
        <v>31</v>
      </c>
      <c r="D1370">
        <f t="shared" si="45"/>
        <v>2021</v>
      </c>
      <c r="E1370">
        <v>4467830.91</v>
      </c>
      <c r="F1370">
        <v>4.1817818300000003</v>
      </c>
    </row>
    <row r="1371" spans="1:6" hidden="1" x14ac:dyDescent="0.25">
      <c r="A1371">
        <f t="shared" si="44"/>
        <v>1</v>
      </c>
      <c r="B1371" s="37">
        <v>44470</v>
      </c>
      <c r="C1371" t="s">
        <v>32</v>
      </c>
      <c r="D1371">
        <f t="shared" si="45"/>
        <v>2021</v>
      </c>
      <c r="E1371">
        <v>4.47</v>
      </c>
      <c r="F1371">
        <v>4.1817818300000003</v>
      </c>
    </row>
    <row r="1372" spans="1:6" hidden="1" x14ac:dyDescent="0.25">
      <c r="A1372">
        <f t="shared" si="44"/>
        <v>2</v>
      </c>
      <c r="B1372" s="37">
        <v>44471</v>
      </c>
      <c r="C1372" t="s">
        <v>32</v>
      </c>
      <c r="D1372">
        <f t="shared" si="45"/>
        <v>2021</v>
      </c>
      <c r="E1372">
        <v>4.47</v>
      </c>
      <c r="F1372">
        <v>4.1817818300000003</v>
      </c>
    </row>
    <row r="1373" spans="1:6" hidden="1" x14ac:dyDescent="0.25">
      <c r="A1373">
        <f t="shared" si="44"/>
        <v>3</v>
      </c>
      <c r="B1373" s="37">
        <v>44472</v>
      </c>
      <c r="C1373" t="s">
        <v>32</v>
      </c>
      <c r="D1373">
        <f t="shared" si="45"/>
        <v>2021</v>
      </c>
      <c r="E1373">
        <v>4.47</v>
      </c>
      <c r="F1373">
        <v>4.1817818300000003</v>
      </c>
    </row>
    <row r="1374" spans="1:6" hidden="1" x14ac:dyDescent="0.25">
      <c r="A1374">
        <f t="shared" si="44"/>
        <v>4</v>
      </c>
      <c r="B1374" s="37">
        <v>44473</v>
      </c>
      <c r="C1374" t="s">
        <v>32</v>
      </c>
      <c r="D1374">
        <f t="shared" si="45"/>
        <v>2021</v>
      </c>
      <c r="E1374">
        <v>4.1900000000000004</v>
      </c>
      <c r="F1374">
        <v>4.1755000000000004</v>
      </c>
    </row>
    <row r="1375" spans="1:6" hidden="1" x14ac:dyDescent="0.25">
      <c r="A1375">
        <f t="shared" si="44"/>
        <v>5</v>
      </c>
      <c r="B1375" s="37">
        <v>44474</v>
      </c>
      <c r="C1375" t="s">
        <v>32</v>
      </c>
      <c r="D1375">
        <f t="shared" si="45"/>
        <v>2021</v>
      </c>
      <c r="E1375">
        <v>3.98</v>
      </c>
      <c r="F1375">
        <v>4.1944999999999997</v>
      </c>
    </row>
    <row r="1376" spans="1:6" hidden="1" x14ac:dyDescent="0.25">
      <c r="A1376">
        <f t="shared" si="44"/>
        <v>6</v>
      </c>
      <c r="B1376" s="37">
        <v>44475</v>
      </c>
      <c r="C1376" t="s">
        <v>32</v>
      </c>
      <c r="D1376">
        <f t="shared" si="45"/>
        <v>2021</v>
      </c>
      <c r="E1376">
        <v>4.0599999999999996</v>
      </c>
      <c r="F1376">
        <v>4.1654999999999998</v>
      </c>
    </row>
    <row r="1377" spans="1:6" hidden="1" x14ac:dyDescent="0.25">
      <c r="A1377">
        <f t="shared" si="44"/>
        <v>7</v>
      </c>
      <c r="B1377" s="37">
        <v>44476</v>
      </c>
      <c r="C1377" t="s">
        <v>32</v>
      </c>
      <c r="D1377">
        <f t="shared" si="45"/>
        <v>2021</v>
      </c>
      <c r="E1377">
        <v>4.1399999999999997</v>
      </c>
      <c r="F1377">
        <v>4.1551</v>
      </c>
    </row>
    <row r="1378" spans="1:6" hidden="1" x14ac:dyDescent="0.25">
      <c r="A1378">
        <f t="shared" si="44"/>
        <v>8</v>
      </c>
      <c r="B1378" s="37">
        <v>44477</v>
      </c>
      <c r="C1378" t="s">
        <v>32</v>
      </c>
      <c r="D1378">
        <f t="shared" si="45"/>
        <v>2021</v>
      </c>
      <c r="E1378">
        <v>4.05</v>
      </c>
      <c r="F1378">
        <v>4.1641000000000004</v>
      </c>
    </row>
    <row r="1379" spans="1:6" hidden="1" x14ac:dyDescent="0.25">
      <c r="A1379">
        <f t="shared" si="44"/>
        <v>9</v>
      </c>
      <c r="B1379" s="37">
        <v>44478</v>
      </c>
      <c r="C1379" t="s">
        <v>32</v>
      </c>
      <c r="D1379">
        <f t="shared" si="45"/>
        <v>2021</v>
      </c>
      <c r="E1379">
        <v>4.05</v>
      </c>
      <c r="F1379">
        <v>4.1641000000000004</v>
      </c>
    </row>
    <row r="1380" spans="1:6" hidden="1" x14ac:dyDescent="0.25">
      <c r="A1380">
        <f t="shared" si="44"/>
        <v>10</v>
      </c>
      <c r="B1380" s="37">
        <v>44479</v>
      </c>
      <c r="C1380" t="s">
        <v>32</v>
      </c>
      <c r="D1380">
        <f t="shared" si="45"/>
        <v>2021</v>
      </c>
      <c r="E1380">
        <v>4.05</v>
      </c>
      <c r="F1380">
        <v>4.1641000000000004</v>
      </c>
    </row>
    <row r="1381" spans="1:6" hidden="1" x14ac:dyDescent="0.25">
      <c r="A1381">
        <f t="shared" si="44"/>
        <v>11</v>
      </c>
      <c r="B1381" s="37">
        <v>44480</v>
      </c>
      <c r="C1381" t="s">
        <v>32</v>
      </c>
      <c r="D1381">
        <f t="shared" si="45"/>
        <v>2021</v>
      </c>
      <c r="E1381">
        <v>4.07</v>
      </c>
      <c r="F1381">
        <v>4.1631999999999998</v>
      </c>
    </row>
    <row r="1382" spans="1:6" hidden="1" x14ac:dyDescent="0.25">
      <c r="A1382">
        <f t="shared" si="44"/>
        <v>12</v>
      </c>
      <c r="B1382" s="37">
        <v>44481</v>
      </c>
      <c r="C1382" t="s">
        <v>32</v>
      </c>
      <c r="D1382">
        <f t="shared" si="45"/>
        <v>2021</v>
      </c>
      <c r="E1382">
        <v>4.18</v>
      </c>
      <c r="F1382">
        <v>4.1631999999999998</v>
      </c>
    </row>
    <row r="1383" spans="1:6" hidden="1" x14ac:dyDescent="0.25">
      <c r="A1383">
        <f t="shared" si="44"/>
        <v>13</v>
      </c>
      <c r="B1383" s="37">
        <v>44482</v>
      </c>
      <c r="C1383" t="s">
        <v>32</v>
      </c>
      <c r="D1383">
        <f t="shared" si="45"/>
        <v>2021</v>
      </c>
      <c r="E1383">
        <v>4.0599999999999996</v>
      </c>
      <c r="F1383">
        <v>4.1816000000000004</v>
      </c>
    </row>
    <row r="1384" spans="1:6" hidden="1" x14ac:dyDescent="0.25">
      <c r="A1384">
        <f t="shared" si="44"/>
        <v>14</v>
      </c>
      <c r="B1384" s="37">
        <v>44483</v>
      </c>
      <c r="C1384" t="s">
        <v>32</v>
      </c>
      <c r="D1384">
        <f t="shared" si="45"/>
        <v>2021</v>
      </c>
      <c r="E1384">
        <v>4.0999999999999996</v>
      </c>
      <c r="F1384">
        <v>4.1619000000000002</v>
      </c>
    </row>
    <row r="1385" spans="1:6" hidden="1" x14ac:dyDescent="0.25">
      <c r="A1385">
        <f t="shared" si="44"/>
        <v>15</v>
      </c>
      <c r="B1385" s="37">
        <v>44484</v>
      </c>
      <c r="C1385" t="s">
        <v>32</v>
      </c>
      <c r="D1385">
        <f t="shared" si="45"/>
        <v>2021</v>
      </c>
      <c r="E1385">
        <v>4.09</v>
      </c>
      <c r="F1385">
        <v>4.1391999999999998</v>
      </c>
    </row>
    <row r="1386" spans="1:6" hidden="1" x14ac:dyDescent="0.25">
      <c r="A1386">
        <f t="shared" si="44"/>
        <v>16</v>
      </c>
      <c r="B1386" s="37">
        <v>44485</v>
      </c>
      <c r="C1386" t="s">
        <v>32</v>
      </c>
      <c r="D1386">
        <f t="shared" si="45"/>
        <v>2021</v>
      </c>
      <c r="E1386">
        <v>4.09</v>
      </c>
      <c r="F1386">
        <v>4.1391999999999998</v>
      </c>
    </row>
    <row r="1387" spans="1:6" hidden="1" x14ac:dyDescent="0.25">
      <c r="A1387">
        <f t="shared" si="44"/>
        <v>17</v>
      </c>
      <c r="B1387" s="37">
        <v>44486</v>
      </c>
      <c r="C1387" t="s">
        <v>32</v>
      </c>
      <c r="D1387">
        <f t="shared" si="45"/>
        <v>2021</v>
      </c>
      <c r="E1387">
        <v>4.09</v>
      </c>
      <c r="F1387">
        <v>4.1391999999999998</v>
      </c>
    </row>
    <row r="1388" spans="1:6" hidden="1" x14ac:dyDescent="0.25">
      <c r="A1388">
        <f t="shared" si="44"/>
        <v>18</v>
      </c>
      <c r="B1388" s="37">
        <v>44487</v>
      </c>
      <c r="C1388" t="s">
        <v>32</v>
      </c>
      <c r="D1388">
        <f t="shared" si="45"/>
        <v>2021</v>
      </c>
      <c r="E1388">
        <v>4.1100000000000003</v>
      </c>
      <c r="F1388">
        <v>4.1509999999999998</v>
      </c>
    </row>
    <row r="1389" spans="1:6" hidden="1" x14ac:dyDescent="0.25">
      <c r="A1389">
        <f t="shared" si="44"/>
        <v>19</v>
      </c>
      <c r="B1389" s="37">
        <v>44488</v>
      </c>
      <c r="C1389" t="s">
        <v>32</v>
      </c>
      <c r="D1389">
        <f t="shared" si="45"/>
        <v>2021</v>
      </c>
      <c r="E1389">
        <v>4.16</v>
      </c>
      <c r="F1389">
        <v>4.1563999999999997</v>
      </c>
    </row>
    <row r="1390" spans="1:6" hidden="1" x14ac:dyDescent="0.25">
      <c r="A1390">
        <f t="shared" si="44"/>
        <v>20</v>
      </c>
      <c r="B1390" s="37">
        <v>44489</v>
      </c>
      <c r="C1390" t="s">
        <v>32</v>
      </c>
      <c r="D1390">
        <f t="shared" si="45"/>
        <v>2021</v>
      </c>
      <c r="E1390">
        <v>4.24</v>
      </c>
      <c r="F1390">
        <v>4.1745000000000001</v>
      </c>
    </row>
    <row r="1391" spans="1:6" hidden="1" x14ac:dyDescent="0.25">
      <c r="A1391">
        <f t="shared" si="44"/>
        <v>21</v>
      </c>
      <c r="B1391" s="37">
        <v>44490</v>
      </c>
      <c r="C1391" t="s">
        <v>32</v>
      </c>
      <c r="D1391">
        <f t="shared" si="45"/>
        <v>2021</v>
      </c>
      <c r="E1391">
        <v>4.33</v>
      </c>
      <c r="F1391">
        <v>4.2111000000000001</v>
      </c>
    </row>
    <row r="1392" spans="1:6" hidden="1" x14ac:dyDescent="0.25">
      <c r="A1392">
        <f t="shared" si="44"/>
        <v>22</v>
      </c>
      <c r="B1392" s="37">
        <v>44491</v>
      </c>
      <c r="C1392" t="s">
        <v>32</v>
      </c>
      <c r="D1392">
        <f t="shared" si="45"/>
        <v>2021</v>
      </c>
      <c r="E1392">
        <v>4.3099999999999996</v>
      </c>
      <c r="F1392">
        <v>4.2388000000000003</v>
      </c>
    </row>
    <row r="1393" spans="1:6" hidden="1" x14ac:dyDescent="0.25">
      <c r="A1393">
        <f t="shared" si="44"/>
        <v>23</v>
      </c>
      <c r="B1393" s="37">
        <v>44492</v>
      </c>
      <c r="C1393" t="s">
        <v>32</v>
      </c>
      <c r="D1393">
        <f t="shared" si="45"/>
        <v>2021</v>
      </c>
      <c r="E1393">
        <v>4.3099999999999996</v>
      </c>
      <c r="F1393">
        <v>4.2388000000000003</v>
      </c>
    </row>
    <row r="1394" spans="1:6" hidden="1" x14ac:dyDescent="0.25">
      <c r="A1394">
        <f t="shared" si="44"/>
        <v>24</v>
      </c>
      <c r="B1394" s="37">
        <v>44493</v>
      </c>
      <c r="C1394" t="s">
        <v>32</v>
      </c>
      <c r="D1394">
        <f t="shared" si="45"/>
        <v>2021</v>
      </c>
      <c r="E1394">
        <v>4.3099999999999996</v>
      </c>
      <c r="F1394">
        <v>4.2388000000000003</v>
      </c>
    </row>
    <row r="1395" spans="1:6" hidden="1" x14ac:dyDescent="0.25">
      <c r="A1395">
        <f t="shared" si="44"/>
        <v>25</v>
      </c>
      <c r="B1395" s="37">
        <v>44494</v>
      </c>
      <c r="C1395" t="s">
        <v>32</v>
      </c>
      <c r="D1395">
        <f t="shared" si="45"/>
        <v>2021</v>
      </c>
      <c r="E1395">
        <v>4.34</v>
      </c>
      <c r="F1395">
        <v>4.2728000000000002</v>
      </c>
    </row>
    <row r="1396" spans="1:6" hidden="1" x14ac:dyDescent="0.25">
      <c r="A1396">
        <f t="shared" si="44"/>
        <v>26</v>
      </c>
      <c r="B1396" s="37">
        <v>44495</v>
      </c>
      <c r="C1396" t="s">
        <v>32</v>
      </c>
      <c r="D1396">
        <f t="shared" si="45"/>
        <v>2021</v>
      </c>
      <c r="E1396">
        <v>4.45</v>
      </c>
      <c r="F1396">
        <v>4.2944000000000004</v>
      </c>
    </row>
    <row r="1397" spans="1:6" hidden="1" x14ac:dyDescent="0.25">
      <c r="A1397">
        <f t="shared" si="44"/>
        <v>27</v>
      </c>
      <c r="B1397" s="37">
        <v>44496</v>
      </c>
      <c r="C1397" t="s">
        <v>32</v>
      </c>
      <c r="D1397">
        <f t="shared" si="45"/>
        <v>2021</v>
      </c>
      <c r="E1397">
        <v>4.62</v>
      </c>
      <c r="F1397">
        <v>4.3243999999999998</v>
      </c>
    </row>
    <row r="1398" spans="1:6" hidden="1" x14ac:dyDescent="0.25">
      <c r="A1398">
        <f t="shared" si="44"/>
        <v>28</v>
      </c>
      <c r="B1398" s="37">
        <v>44497</v>
      </c>
      <c r="C1398" t="s">
        <v>32</v>
      </c>
      <c r="D1398">
        <f t="shared" si="45"/>
        <v>2021</v>
      </c>
      <c r="E1398">
        <v>4.66</v>
      </c>
      <c r="F1398">
        <v>4.3880999999999997</v>
      </c>
    </row>
    <row r="1399" spans="1:6" hidden="1" x14ac:dyDescent="0.25">
      <c r="A1399">
        <f t="shared" si="44"/>
        <v>29</v>
      </c>
      <c r="B1399" s="37">
        <v>44498</v>
      </c>
      <c r="C1399" t="s">
        <v>32</v>
      </c>
      <c r="D1399">
        <f t="shared" si="45"/>
        <v>2021</v>
      </c>
      <c r="E1399">
        <v>4.47</v>
      </c>
      <c r="F1399">
        <v>4.3779000000000003</v>
      </c>
    </row>
    <row r="1400" spans="1:6" hidden="1" x14ac:dyDescent="0.25">
      <c r="A1400">
        <f t="shared" si="44"/>
        <v>30</v>
      </c>
      <c r="B1400" s="37">
        <v>44499</v>
      </c>
      <c r="C1400" t="s">
        <v>32</v>
      </c>
      <c r="D1400">
        <f t="shared" si="45"/>
        <v>2021</v>
      </c>
      <c r="E1400">
        <v>4.47</v>
      </c>
      <c r="F1400">
        <v>4.3779000000000003</v>
      </c>
    </row>
    <row r="1401" spans="1:6" hidden="1" x14ac:dyDescent="0.25">
      <c r="A1401">
        <f t="shared" si="44"/>
        <v>31</v>
      </c>
      <c r="B1401" s="37">
        <v>44500</v>
      </c>
      <c r="C1401" t="s">
        <v>32</v>
      </c>
      <c r="D1401">
        <f t="shared" si="45"/>
        <v>2021</v>
      </c>
      <c r="E1401">
        <v>4.47</v>
      </c>
      <c r="F1401">
        <v>4.3779000000000003</v>
      </c>
    </row>
    <row r="1402" spans="1:6" hidden="1" x14ac:dyDescent="0.25">
      <c r="A1402">
        <f t="shared" si="44"/>
        <v>1</v>
      </c>
      <c r="B1402" s="37">
        <v>44501</v>
      </c>
      <c r="C1402" t="s">
        <v>33</v>
      </c>
      <c r="D1402">
        <f t="shared" si="45"/>
        <v>2021</v>
      </c>
      <c r="E1402">
        <v>4.53</v>
      </c>
      <c r="F1402">
        <v>4.3779000000000003</v>
      </c>
    </row>
    <row r="1403" spans="1:6" hidden="1" x14ac:dyDescent="0.25">
      <c r="A1403">
        <f t="shared" si="44"/>
        <v>2</v>
      </c>
      <c r="B1403" s="37">
        <v>44502</v>
      </c>
      <c r="C1403" t="s">
        <v>33</v>
      </c>
      <c r="D1403">
        <f t="shared" si="45"/>
        <v>2021</v>
      </c>
      <c r="E1403">
        <v>4.5</v>
      </c>
      <c r="F1403">
        <v>4.4097</v>
      </c>
    </row>
    <row r="1404" spans="1:6" hidden="1" x14ac:dyDescent="0.25">
      <c r="A1404">
        <f t="shared" si="44"/>
        <v>3</v>
      </c>
      <c r="B1404" s="37">
        <v>44503</v>
      </c>
      <c r="C1404" t="s">
        <v>33</v>
      </c>
      <c r="D1404">
        <f t="shared" si="45"/>
        <v>2021</v>
      </c>
      <c r="E1404">
        <v>4.51</v>
      </c>
      <c r="F1404">
        <v>4.4387999999999996</v>
      </c>
    </row>
    <row r="1405" spans="1:6" hidden="1" x14ac:dyDescent="0.25">
      <c r="A1405">
        <f t="shared" si="44"/>
        <v>4</v>
      </c>
      <c r="B1405" s="37">
        <v>44504</v>
      </c>
      <c r="C1405" t="s">
        <v>33</v>
      </c>
      <c r="D1405">
        <f t="shared" si="45"/>
        <v>2021</v>
      </c>
      <c r="E1405">
        <v>4.5</v>
      </c>
      <c r="F1405">
        <v>4.4234</v>
      </c>
    </row>
    <row r="1406" spans="1:6" hidden="1" x14ac:dyDescent="0.25">
      <c r="A1406">
        <f t="shared" si="44"/>
        <v>5</v>
      </c>
      <c r="B1406" s="37">
        <v>44505</v>
      </c>
      <c r="C1406" t="s">
        <v>33</v>
      </c>
      <c r="D1406">
        <f t="shared" si="45"/>
        <v>2021</v>
      </c>
      <c r="E1406">
        <v>4.4800000000000004</v>
      </c>
      <c r="F1406">
        <v>4.4450000000000003</v>
      </c>
    </row>
    <row r="1407" spans="1:6" hidden="1" x14ac:dyDescent="0.25">
      <c r="A1407">
        <f t="shared" si="44"/>
        <v>6</v>
      </c>
      <c r="B1407" s="37">
        <v>44506</v>
      </c>
      <c r="C1407" t="s">
        <v>33</v>
      </c>
      <c r="D1407">
        <f t="shared" si="45"/>
        <v>2021</v>
      </c>
      <c r="E1407">
        <v>4.4800000000000004</v>
      </c>
      <c r="F1407">
        <v>4.4450000000000003</v>
      </c>
    </row>
    <row r="1408" spans="1:6" hidden="1" x14ac:dyDescent="0.25">
      <c r="A1408">
        <f t="shared" si="44"/>
        <v>7</v>
      </c>
      <c r="B1408" s="37">
        <v>44507</v>
      </c>
      <c r="C1408" t="s">
        <v>33</v>
      </c>
      <c r="D1408">
        <f t="shared" si="45"/>
        <v>2021</v>
      </c>
      <c r="E1408">
        <v>4.4800000000000004</v>
      </c>
      <c r="F1408">
        <v>4.4450000000000003</v>
      </c>
    </row>
    <row r="1409" spans="1:6" hidden="1" x14ac:dyDescent="0.25">
      <c r="A1409">
        <f t="shared" si="44"/>
        <v>8</v>
      </c>
      <c r="B1409" s="37">
        <v>44508</v>
      </c>
      <c r="C1409" t="s">
        <v>33</v>
      </c>
      <c r="D1409">
        <f t="shared" si="45"/>
        <v>2021</v>
      </c>
      <c r="E1409">
        <v>4.49</v>
      </c>
      <c r="F1409">
        <v>4.4378000000000002</v>
      </c>
    </row>
    <row r="1410" spans="1:6" hidden="1" x14ac:dyDescent="0.25">
      <c r="A1410">
        <f t="shared" si="44"/>
        <v>9</v>
      </c>
      <c r="B1410" s="37">
        <v>44509</v>
      </c>
      <c r="C1410" t="s">
        <v>33</v>
      </c>
      <c r="D1410">
        <f t="shared" si="45"/>
        <v>2021</v>
      </c>
      <c r="E1410">
        <v>4.57</v>
      </c>
      <c r="F1410">
        <v>4.4500999999999999</v>
      </c>
    </row>
    <row r="1411" spans="1:6" hidden="1" x14ac:dyDescent="0.25">
      <c r="A1411">
        <f t="shared" si="44"/>
        <v>10</v>
      </c>
      <c r="B1411" s="37">
        <v>44510</v>
      </c>
      <c r="C1411" t="s">
        <v>33</v>
      </c>
      <c r="D1411">
        <f t="shared" si="45"/>
        <v>2021</v>
      </c>
      <c r="E1411">
        <v>4.51</v>
      </c>
      <c r="F1411">
        <v>4.4798</v>
      </c>
    </row>
    <row r="1412" spans="1:6" hidden="1" x14ac:dyDescent="0.25">
      <c r="A1412">
        <f t="shared" si="44"/>
        <v>11</v>
      </c>
      <c r="B1412" s="37">
        <v>44511</v>
      </c>
      <c r="C1412" t="s">
        <v>33</v>
      </c>
      <c r="D1412">
        <f t="shared" si="45"/>
        <v>2021</v>
      </c>
      <c r="E1412">
        <v>4.5199999999999996</v>
      </c>
      <c r="F1412">
        <v>4.4724000000000004</v>
      </c>
    </row>
    <row r="1413" spans="1:6" hidden="1" x14ac:dyDescent="0.25">
      <c r="A1413">
        <f t="shared" si="44"/>
        <v>12</v>
      </c>
      <c r="B1413" s="37">
        <v>44512</v>
      </c>
      <c r="C1413" t="s">
        <v>33</v>
      </c>
      <c r="D1413">
        <f t="shared" si="45"/>
        <v>2021</v>
      </c>
      <c r="E1413">
        <v>4.55</v>
      </c>
      <c r="F1413">
        <v>4.4808000000000003</v>
      </c>
    </row>
    <row r="1414" spans="1:6" hidden="1" x14ac:dyDescent="0.25">
      <c r="A1414">
        <f t="shared" si="44"/>
        <v>13</v>
      </c>
      <c r="B1414" s="37">
        <v>44513</v>
      </c>
      <c r="C1414" t="s">
        <v>33</v>
      </c>
      <c r="D1414">
        <f t="shared" si="45"/>
        <v>2021</v>
      </c>
      <c r="E1414">
        <v>4.55</v>
      </c>
      <c r="F1414">
        <v>4.4808000000000003</v>
      </c>
    </row>
    <row r="1415" spans="1:6" hidden="1" x14ac:dyDescent="0.25">
      <c r="A1415">
        <f t="shared" si="44"/>
        <v>14</v>
      </c>
      <c r="B1415" s="37">
        <v>44514</v>
      </c>
      <c r="C1415" t="s">
        <v>33</v>
      </c>
      <c r="D1415">
        <f t="shared" si="45"/>
        <v>2021</v>
      </c>
      <c r="E1415">
        <v>4.55</v>
      </c>
      <c r="F1415">
        <v>4.4808000000000003</v>
      </c>
    </row>
    <row r="1416" spans="1:6" hidden="1" x14ac:dyDescent="0.25">
      <c r="A1416">
        <f t="shared" si="44"/>
        <v>15</v>
      </c>
      <c r="B1416" s="37">
        <v>44515</v>
      </c>
      <c r="C1416" t="s">
        <v>33</v>
      </c>
      <c r="D1416">
        <f t="shared" si="45"/>
        <v>2021</v>
      </c>
      <c r="E1416">
        <v>4.5599999999999996</v>
      </c>
      <c r="F1416">
        <v>4.4882999999999997</v>
      </c>
    </row>
    <row r="1417" spans="1:6" hidden="1" x14ac:dyDescent="0.25">
      <c r="A1417">
        <f t="shared" si="44"/>
        <v>16</v>
      </c>
      <c r="B1417" s="37">
        <v>44516</v>
      </c>
      <c r="C1417" t="s">
        <v>33</v>
      </c>
      <c r="D1417">
        <f t="shared" si="45"/>
        <v>2021</v>
      </c>
      <c r="E1417">
        <v>4.66</v>
      </c>
      <c r="F1417">
        <v>4.5243000000000002</v>
      </c>
    </row>
    <row r="1418" spans="1:6" hidden="1" x14ac:dyDescent="0.25">
      <c r="A1418">
        <f t="shared" ref="A1418:A1462" si="46">DAY(B1418)</f>
        <v>17</v>
      </c>
      <c r="B1418" s="37">
        <v>44517</v>
      </c>
      <c r="C1418" t="s">
        <v>33</v>
      </c>
      <c r="D1418">
        <f t="shared" ref="D1418:D1462" si="47">YEAR(B1418)</f>
        <v>2021</v>
      </c>
      <c r="E1418">
        <v>4.74</v>
      </c>
      <c r="F1418">
        <v>4.5286999999999997</v>
      </c>
    </row>
    <row r="1419" spans="1:6" hidden="1" x14ac:dyDescent="0.25">
      <c r="A1419">
        <f t="shared" si="46"/>
        <v>18</v>
      </c>
      <c r="B1419" s="37">
        <v>44518</v>
      </c>
      <c r="C1419" t="s">
        <v>33</v>
      </c>
      <c r="D1419">
        <f t="shared" si="47"/>
        <v>2021</v>
      </c>
      <c r="E1419">
        <v>4.87</v>
      </c>
      <c r="F1419">
        <v>4.5861000000000001</v>
      </c>
    </row>
    <row r="1420" spans="1:6" hidden="1" x14ac:dyDescent="0.25">
      <c r="A1420">
        <f t="shared" si="46"/>
        <v>19</v>
      </c>
      <c r="B1420" s="37">
        <v>44519</v>
      </c>
      <c r="C1420" t="s">
        <v>33</v>
      </c>
      <c r="D1420">
        <f t="shared" si="47"/>
        <v>2021</v>
      </c>
      <c r="E1420">
        <v>5</v>
      </c>
      <c r="F1420">
        <v>4.5434999999999999</v>
      </c>
    </row>
    <row r="1421" spans="1:6" hidden="1" x14ac:dyDescent="0.25">
      <c r="A1421">
        <f t="shared" si="46"/>
        <v>20</v>
      </c>
      <c r="B1421" s="37">
        <v>44520</v>
      </c>
      <c r="C1421" t="s">
        <v>33</v>
      </c>
      <c r="D1421">
        <f t="shared" si="47"/>
        <v>2021</v>
      </c>
      <c r="E1421">
        <v>5</v>
      </c>
      <c r="F1421">
        <v>4.5434999999999999</v>
      </c>
    </row>
    <row r="1422" spans="1:6" hidden="1" x14ac:dyDescent="0.25">
      <c r="A1422">
        <f t="shared" si="46"/>
        <v>21</v>
      </c>
      <c r="B1422" s="37">
        <v>44521</v>
      </c>
      <c r="C1422" t="s">
        <v>33</v>
      </c>
      <c r="D1422">
        <f t="shared" si="47"/>
        <v>2021</v>
      </c>
      <c r="E1422">
        <v>5</v>
      </c>
      <c r="F1422">
        <v>4.5434999999999999</v>
      </c>
    </row>
    <row r="1423" spans="1:6" hidden="1" x14ac:dyDescent="0.25">
      <c r="A1423">
        <f t="shared" si="46"/>
        <v>22</v>
      </c>
      <c r="B1423" s="37">
        <v>44522</v>
      </c>
      <c r="C1423" t="s">
        <v>33</v>
      </c>
      <c r="D1423">
        <f t="shared" si="47"/>
        <v>2021</v>
      </c>
      <c r="E1423">
        <v>4.87</v>
      </c>
      <c r="F1423">
        <v>4.5434999999999999</v>
      </c>
    </row>
    <row r="1424" spans="1:6" hidden="1" x14ac:dyDescent="0.25">
      <c r="A1424">
        <f t="shared" si="46"/>
        <v>23</v>
      </c>
      <c r="B1424" s="37">
        <v>44523</v>
      </c>
      <c r="C1424" t="s">
        <v>33</v>
      </c>
      <c r="D1424">
        <f t="shared" si="47"/>
        <v>2021</v>
      </c>
      <c r="E1424">
        <v>4.83</v>
      </c>
      <c r="F1424">
        <v>4.5433000000000003</v>
      </c>
    </row>
    <row r="1425" spans="1:6" hidden="1" x14ac:dyDescent="0.25">
      <c r="A1425">
        <f t="shared" si="46"/>
        <v>24</v>
      </c>
      <c r="B1425" s="37">
        <v>44524</v>
      </c>
      <c r="C1425" t="s">
        <v>33</v>
      </c>
      <c r="D1425">
        <f t="shared" si="47"/>
        <v>2021</v>
      </c>
      <c r="E1425">
        <v>5</v>
      </c>
      <c r="F1425">
        <v>4.5640000000000001</v>
      </c>
    </row>
    <row r="1426" spans="1:6" hidden="1" x14ac:dyDescent="0.25">
      <c r="A1426">
        <f t="shared" si="46"/>
        <v>25</v>
      </c>
      <c r="B1426" s="37">
        <v>44525</v>
      </c>
      <c r="C1426" t="s">
        <v>33</v>
      </c>
      <c r="D1426">
        <f t="shared" si="47"/>
        <v>2021</v>
      </c>
      <c r="E1426">
        <v>4.9800000000000004</v>
      </c>
      <c r="F1426">
        <v>4.5827999999999998</v>
      </c>
    </row>
    <row r="1427" spans="1:6" hidden="1" x14ac:dyDescent="0.25">
      <c r="A1427">
        <f t="shared" si="46"/>
        <v>26</v>
      </c>
      <c r="B1427" s="37">
        <v>44526</v>
      </c>
      <c r="C1427" t="s">
        <v>33</v>
      </c>
      <c r="D1427">
        <f t="shared" si="47"/>
        <v>2021</v>
      </c>
      <c r="E1427">
        <v>4.95</v>
      </c>
      <c r="F1427">
        <v>4.6154000000000002</v>
      </c>
    </row>
    <row r="1428" spans="1:6" hidden="1" x14ac:dyDescent="0.25">
      <c r="A1428">
        <f t="shared" si="46"/>
        <v>27</v>
      </c>
      <c r="B1428" s="37">
        <v>44527</v>
      </c>
      <c r="C1428" t="s">
        <v>33</v>
      </c>
      <c r="D1428">
        <f t="shared" si="47"/>
        <v>2021</v>
      </c>
      <c r="E1428">
        <v>4.95</v>
      </c>
      <c r="F1428">
        <v>4.6154000000000002</v>
      </c>
    </row>
    <row r="1429" spans="1:6" hidden="1" x14ac:dyDescent="0.25">
      <c r="A1429">
        <f t="shared" si="46"/>
        <v>28</v>
      </c>
      <c r="B1429" s="37">
        <v>44528</v>
      </c>
      <c r="C1429" t="s">
        <v>33</v>
      </c>
      <c r="D1429">
        <f t="shared" si="47"/>
        <v>2021</v>
      </c>
      <c r="E1429">
        <v>4.95</v>
      </c>
      <c r="F1429">
        <v>4.6154000000000002</v>
      </c>
    </row>
    <row r="1430" spans="1:6" hidden="1" x14ac:dyDescent="0.25">
      <c r="A1430">
        <f t="shared" si="46"/>
        <v>29</v>
      </c>
      <c r="B1430" s="37">
        <v>44529</v>
      </c>
      <c r="C1430" t="s">
        <v>33</v>
      </c>
      <c r="D1430">
        <f t="shared" si="47"/>
        <v>2021</v>
      </c>
      <c r="E1430">
        <v>4.95</v>
      </c>
      <c r="F1430">
        <v>4.6078000000000001</v>
      </c>
    </row>
    <row r="1431" spans="1:6" hidden="1" x14ac:dyDescent="0.25">
      <c r="A1431">
        <f t="shared" si="46"/>
        <v>30</v>
      </c>
      <c r="B1431" s="37">
        <v>44530</v>
      </c>
      <c r="C1431" t="s">
        <v>33</v>
      </c>
      <c r="D1431">
        <f t="shared" si="47"/>
        <v>2021</v>
      </c>
      <c r="E1431">
        <v>4.9000000000000004</v>
      </c>
      <c r="F1431">
        <v>4.6215999999999999</v>
      </c>
    </row>
    <row r="1432" spans="1:6" hidden="1" x14ac:dyDescent="0.25">
      <c r="A1432">
        <f t="shared" si="46"/>
        <v>1</v>
      </c>
      <c r="B1432" s="37">
        <v>44531</v>
      </c>
      <c r="C1432" t="s">
        <v>34</v>
      </c>
      <c r="D1432">
        <f t="shared" si="47"/>
        <v>2021</v>
      </c>
      <c r="E1432">
        <v>4.76</v>
      </c>
      <c r="F1432">
        <v>4.6215999999999999</v>
      </c>
    </row>
    <row r="1433" spans="1:6" hidden="1" x14ac:dyDescent="0.25">
      <c r="A1433">
        <f t="shared" si="46"/>
        <v>2</v>
      </c>
      <c r="B1433" s="37">
        <v>44532</v>
      </c>
      <c r="C1433" t="s">
        <v>34</v>
      </c>
      <c r="D1433">
        <f t="shared" si="47"/>
        <v>2021</v>
      </c>
      <c r="E1433">
        <v>4.7699999999999996</v>
      </c>
      <c r="F1433">
        <v>4.6475999999999997</v>
      </c>
    </row>
    <row r="1434" spans="1:6" hidden="1" x14ac:dyDescent="0.25">
      <c r="A1434">
        <f t="shared" si="46"/>
        <v>3</v>
      </c>
      <c r="B1434" s="37">
        <v>44533</v>
      </c>
      <c r="C1434" t="s">
        <v>34</v>
      </c>
      <c r="D1434">
        <f t="shared" si="47"/>
        <v>2021</v>
      </c>
      <c r="E1434">
        <v>4.72</v>
      </c>
      <c r="F1434">
        <v>4.6379999999999999</v>
      </c>
    </row>
    <row r="1435" spans="1:6" hidden="1" x14ac:dyDescent="0.25">
      <c r="A1435">
        <f t="shared" si="46"/>
        <v>4</v>
      </c>
      <c r="B1435" s="37">
        <v>44534</v>
      </c>
      <c r="C1435" t="s">
        <v>34</v>
      </c>
      <c r="D1435">
        <f t="shared" si="47"/>
        <v>2021</v>
      </c>
      <c r="E1435">
        <v>4.72</v>
      </c>
      <c r="F1435">
        <v>4.6379999999999999</v>
      </c>
    </row>
    <row r="1436" spans="1:6" hidden="1" x14ac:dyDescent="0.25">
      <c r="A1436">
        <f t="shared" si="46"/>
        <v>5</v>
      </c>
      <c r="B1436" s="37">
        <v>44535</v>
      </c>
      <c r="C1436" t="s">
        <v>34</v>
      </c>
      <c r="D1436">
        <f t="shared" si="47"/>
        <v>2021</v>
      </c>
      <c r="E1436">
        <v>4.72</v>
      </c>
      <c r="F1436">
        <v>4.6379999999999999</v>
      </c>
    </row>
    <row r="1437" spans="1:6" hidden="1" x14ac:dyDescent="0.25">
      <c r="A1437">
        <f t="shared" si="46"/>
        <v>6</v>
      </c>
      <c r="B1437" s="37">
        <v>44536</v>
      </c>
      <c r="C1437" t="s">
        <v>34</v>
      </c>
      <c r="D1437">
        <f t="shared" si="47"/>
        <v>2021</v>
      </c>
      <c r="E1437">
        <v>4.75</v>
      </c>
      <c r="F1437">
        <v>4.6379999999999999</v>
      </c>
    </row>
    <row r="1438" spans="1:6" hidden="1" x14ac:dyDescent="0.25">
      <c r="A1438">
        <f t="shared" si="46"/>
        <v>7</v>
      </c>
      <c r="B1438" s="37">
        <v>44537</v>
      </c>
      <c r="C1438" t="s">
        <v>34</v>
      </c>
      <c r="D1438">
        <f t="shared" si="47"/>
        <v>2021</v>
      </c>
      <c r="E1438">
        <v>4.74</v>
      </c>
      <c r="F1438">
        <v>4.6333000000000002</v>
      </c>
    </row>
    <row r="1439" spans="1:6" hidden="1" x14ac:dyDescent="0.25">
      <c r="A1439">
        <f t="shared" si="46"/>
        <v>8</v>
      </c>
      <c r="B1439" s="37">
        <v>44538</v>
      </c>
      <c r="C1439" t="s">
        <v>34</v>
      </c>
      <c r="D1439">
        <f t="shared" si="47"/>
        <v>2021</v>
      </c>
      <c r="E1439">
        <v>4.72</v>
      </c>
      <c r="F1439">
        <v>4.6281999999999996</v>
      </c>
    </row>
    <row r="1440" spans="1:6" hidden="1" x14ac:dyDescent="0.25">
      <c r="A1440">
        <f t="shared" si="46"/>
        <v>9</v>
      </c>
      <c r="B1440" s="37">
        <v>44539</v>
      </c>
      <c r="C1440" t="s">
        <v>34</v>
      </c>
      <c r="D1440">
        <f t="shared" si="47"/>
        <v>2021</v>
      </c>
      <c r="E1440">
        <v>4.72</v>
      </c>
      <c r="F1440">
        <v>4.6379000000000001</v>
      </c>
    </row>
    <row r="1441" spans="1:6" hidden="1" x14ac:dyDescent="0.25">
      <c r="A1441">
        <f t="shared" si="46"/>
        <v>10</v>
      </c>
      <c r="B1441" s="37">
        <v>44540</v>
      </c>
      <c r="C1441" t="s">
        <v>34</v>
      </c>
      <c r="D1441">
        <f t="shared" si="47"/>
        <v>2021</v>
      </c>
      <c r="E1441">
        <v>4.68</v>
      </c>
      <c r="F1441">
        <v>4.6353</v>
      </c>
    </row>
    <row r="1442" spans="1:6" hidden="1" x14ac:dyDescent="0.25">
      <c r="A1442">
        <f t="shared" si="46"/>
        <v>11</v>
      </c>
      <c r="B1442" s="37">
        <v>44541</v>
      </c>
      <c r="C1442" t="s">
        <v>34</v>
      </c>
      <c r="D1442">
        <f t="shared" si="47"/>
        <v>2021</v>
      </c>
      <c r="E1442">
        <v>4.68</v>
      </c>
      <c r="F1442">
        <v>4.6382000000000003</v>
      </c>
    </row>
    <row r="1443" spans="1:6" hidden="1" x14ac:dyDescent="0.25">
      <c r="A1443">
        <f t="shared" si="46"/>
        <v>12</v>
      </c>
      <c r="B1443" s="37">
        <v>44542</v>
      </c>
      <c r="C1443" t="s">
        <v>34</v>
      </c>
      <c r="D1443">
        <f t="shared" si="47"/>
        <v>2021</v>
      </c>
      <c r="E1443">
        <v>4.68</v>
      </c>
      <c r="F1443">
        <v>4.6382000000000003</v>
      </c>
    </row>
    <row r="1444" spans="1:6" hidden="1" x14ac:dyDescent="0.25">
      <c r="A1444">
        <f t="shared" si="46"/>
        <v>13</v>
      </c>
      <c r="B1444" s="37">
        <v>44543</v>
      </c>
      <c r="C1444" t="s">
        <v>34</v>
      </c>
      <c r="D1444">
        <f t="shared" si="47"/>
        <v>2021</v>
      </c>
      <c r="E1444">
        <v>4.66</v>
      </c>
      <c r="F1444">
        <v>4.6382000000000003</v>
      </c>
    </row>
    <row r="1445" spans="1:6" hidden="1" x14ac:dyDescent="0.25">
      <c r="A1445">
        <f t="shared" si="46"/>
        <v>14</v>
      </c>
      <c r="B1445" s="37">
        <v>44544</v>
      </c>
      <c r="C1445" t="s">
        <v>34</v>
      </c>
      <c r="D1445">
        <f t="shared" si="47"/>
        <v>2021</v>
      </c>
      <c r="E1445">
        <v>4.7</v>
      </c>
      <c r="F1445">
        <v>4.6382000000000003</v>
      </c>
    </row>
    <row r="1446" spans="1:6" hidden="1" x14ac:dyDescent="0.25">
      <c r="A1446">
        <f t="shared" si="46"/>
        <v>15</v>
      </c>
      <c r="B1446" s="37">
        <v>44545</v>
      </c>
      <c r="C1446" t="s">
        <v>34</v>
      </c>
      <c r="D1446">
        <f t="shared" si="47"/>
        <v>2021</v>
      </c>
      <c r="E1446">
        <v>4.71</v>
      </c>
      <c r="F1446">
        <v>4.6212</v>
      </c>
    </row>
    <row r="1447" spans="1:6" hidden="1" x14ac:dyDescent="0.25">
      <c r="A1447">
        <f t="shared" si="46"/>
        <v>16</v>
      </c>
      <c r="B1447" s="37">
        <v>44546</v>
      </c>
      <c r="C1447" t="s">
        <v>34</v>
      </c>
      <c r="D1447">
        <f t="shared" si="47"/>
        <v>2021</v>
      </c>
      <c r="E1447">
        <v>4.68</v>
      </c>
      <c r="F1447">
        <v>4.6071</v>
      </c>
    </row>
    <row r="1448" spans="1:6" hidden="1" x14ac:dyDescent="0.25">
      <c r="A1448">
        <f t="shared" si="46"/>
        <v>17</v>
      </c>
      <c r="B1448" s="37">
        <v>44547</v>
      </c>
      <c r="C1448" t="s">
        <v>34</v>
      </c>
      <c r="D1448">
        <f t="shared" si="47"/>
        <v>2021</v>
      </c>
      <c r="E1448">
        <v>4.62</v>
      </c>
      <c r="F1448">
        <v>4.6131000000000002</v>
      </c>
    </row>
    <row r="1449" spans="1:6" hidden="1" x14ac:dyDescent="0.25">
      <c r="A1449">
        <f t="shared" si="46"/>
        <v>18</v>
      </c>
      <c r="B1449" s="37">
        <v>44548</v>
      </c>
      <c r="C1449" t="s">
        <v>34</v>
      </c>
      <c r="D1449">
        <f t="shared" si="47"/>
        <v>2021</v>
      </c>
      <c r="E1449">
        <v>4.62</v>
      </c>
      <c r="F1449">
        <v>4.6157000000000004</v>
      </c>
    </row>
    <row r="1450" spans="1:6" hidden="1" x14ac:dyDescent="0.25">
      <c r="A1450">
        <f t="shared" si="46"/>
        <v>19</v>
      </c>
      <c r="B1450" s="37">
        <v>44549</v>
      </c>
      <c r="C1450" t="s">
        <v>34</v>
      </c>
      <c r="D1450">
        <f t="shared" si="47"/>
        <v>2021</v>
      </c>
      <c r="E1450">
        <v>4.62</v>
      </c>
      <c r="F1450">
        <v>4.6157000000000004</v>
      </c>
    </row>
    <row r="1451" spans="1:6" hidden="1" x14ac:dyDescent="0.25">
      <c r="A1451">
        <f t="shared" si="46"/>
        <v>20</v>
      </c>
      <c r="B1451" s="37">
        <v>44550</v>
      </c>
      <c r="C1451" t="s">
        <v>34</v>
      </c>
      <c r="D1451">
        <f t="shared" si="47"/>
        <v>2021</v>
      </c>
      <c r="E1451">
        <v>4.67</v>
      </c>
      <c r="F1451">
        <v>4.6001000000000003</v>
      </c>
    </row>
    <row r="1452" spans="1:6" hidden="1" x14ac:dyDescent="0.25">
      <c r="A1452">
        <f t="shared" si="46"/>
        <v>21</v>
      </c>
      <c r="B1452" s="37">
        <v>44551</v>
      </c>
      <c r="C1452" t="s">
        <v>34</v>
      </c>
      <c r="D1452">
        <f t="shared" si="47"/>
        <v>2021</v>
      </c>
      <c r="E1452">
        <v>4.6500000000000004</v>
      </c>
      <c r="F1452">
        <v>4.6001000000000003</v>
      </c>
    </row>
    <row r="1453" spans="1:6" hidden="1" x14ac:dyDescent="0.25">
      <c r="A1453">
        <f t="shared" si="46"/>
        <v>22</v>
      </c>
      <c r="B1453" s="37">
        <v>44552</v>
      </c>
      <c r="C1453" t="s">
        <v>34</v>
      </c>
      <c r="D1453">
        <f t="shared" si="47"/>
        <v>2021</v>
      </c>
      <c r="E1453">
        <v>4.63</v>
      </c>
      <c r="F1453">
        <v>4.601</v>
      </c>
    </row>
    <row r="1454" spans="1:6" hidden="1" x14ac:dyDescent="0.25">
      <c r="A1454">
        <f t="shared" si="46"/>
        <v>23</v>
      </c>
      <c r="B1454" s="37">
        <v>44553</v>
      </c>
      <c r="C1454" t="s">
        <v>34</v>
      </c>
      <c r="D1454">
        <f t="shared" si="47"/>
        <v>2021</v>
      </c>
      <c r="E1454">
        <v>4.59</v>
      </c>
      <c r="F1454">
        <v>4.5829000000000004</v>
      </c>
    </row>
    <row r="1455" spans="1:6" hidden="1" x14ac:dyDescent="0.25">
      <c r="A1455">
        <f t="shared" si="46"/>
        <v>24</v>
      </c>
      <c r="B1455" s="37">
        <v>44554</v>
      </c>
      <c r="C1455" t="s">
        <v>34</v>
      </c>
      <c r="D1455">
        <f t="shared" si="47"/>
        <v>2021</v>
      </c>
      <c r="E1455">
        <v>4.59</v>
      </c>
      <c r="F1455">
        <v>4.5838999999999999</v>
      </c>
    </row>
    <row r="1456" spans="1:6" hidden="1" x14ac:dyDescent="0.25">
      <c r="A1456">
        <f t="shared" si="46"/>
        <v>25</v>
      </c>
      <c r="B1456" s="37">
        <v>44555</v>
      </c>
      <c r="C1456" t="s">
        <v>34</v>
      </c>
      <c r="D1456">
        <f t="shared" si="47"/>
        <v>2021</v>
      </c>
      <c r="E1456">
        <v>4.59</v>
      </c>
      <c r="F1456">
        <v>4.5838999999999999</v>
      </c>
    </row>
    <row r="1457" spans="1:6" hidden="1" x14ac:dyDescent="0.25">
      <c r="A1457">
        <f t="shared" si="46"/>
        <v>26</v>
      </c>
      <c r="B1457" s="37">
        <v>44556</v>
      </c>
      <c r="C1457" t="s">
        <v>34</v>
      </c>
      <c r="D1457">
        <f t="shared" si="47"/>
        <v>2021</v>
      </c>
      <c r="E1457">
        <v>4.59</v>
      </c>
      <c r="F1457">
        <v>4.5838999999999999</v>
      </c>
    </row>
    <row r="1458" spans="1:6" hidden="1" x14ac:dyDescent="0.25">
      <c r="A1458">
        <f t="shared" si="46"/>
        <v>27</v>
      </c>
      <c r="B1458" s="37">
        <v>44557</v>
      </c>
      <c r="C1458" t="s">
        <v>34</v>
      </c>
      <c r="D1458">
        <f t="shared" si="47"/>
        <v>2021</v>
      </c>
      <c r="E1458">
        <v>4.6500000000000004</v>
      </c>
      <c r="F1458">
        <v>4.5838999999999999</v>
      </c>
    </row>
    <row r="1459" spans="1:6" hidden="1" x14ac:dyDescent="0.25">
      <c r="A1459">
        <f t="shared" si="46"/>
        <v>28</v>
      </c>
      <c r="B1459" s="37">
        <v>44558</v>
      </c>
      <c r="C1459" t="s">
        <v>34</v>
      </c>
      <c r="D1459">
        <f t="shared" si="47"/>
        <v>2021</v>
      </c>
      <c r="E1459">
        <v>4.7300000000000004</v>
      </c>
      <c r="F1459">
        <v>4.5701999999999998</v>
      </c>
    </row>
    <row r="1460" spans="1:6" hidden="1" x14ac:dyDescent="0.25">
      <c r="A1460">
        <f t="shared" si="46"/>
        <v>29</v>
      </c>
      <c r="B1460" s="37">
        <v>44559</v>
      </c>
      <c r="C1460" t="s">
        <v>34</v>
      </c>
      <c r="D1460">
        <f t="shared" si="47"/>
        <v>2021</v>
      </c>
      <c r="E1460">
        <v>4.79</v>
      </c>
      <c r="F1460">
        <v>4.5785999999999998</v>
      </c>
    </row>
    <row r="1461" spans="1:6" hidden="1" x14ac:dyDescent="0.25">
      <c r="A1461">
        <f t="shared" si="46"/>
        <v>30</v>
      </c>
      <c r="B1461" s="37">
        <v>44560</v>
      </c>
      <c r="C1461" t="s">
        <v>34</v>
      </c>
      <c r="D1461">
        <f t="shared" si="47"/>
        <v>2021</v>
      </c>
      <c r="E1461">
        <v>4.7300000000000004</v>
      </c>
      <c r="F1461">
        <v>4.5896999999999997</v>
      </c>
    </row>
    <row r="1462" spans="1:6" hidden="1" x14ac:dyDescent="0.25">
      <c r="A1462">
        <f t="shared" si="46"/>
        <v>31</v>
      </c>
      <c r="B1462" s="37">
        <v>44561</v>
      </c>
      <c r="C1462" t="s">
        <v>34</v>
      </c>
      <c r="D1462">
        <f t="shared" si="47"/>
        <v>2021</v>
      </c>
      <c r="E1462">
        <v>4.71</v>
      </c>
      <c r="F1462">
        <v>4.5972</v>
      </c>
    </row>
    <row r="1463" spans="1:6" hidden="1" x14ac:dyDescent="0.25">
      <c r="A1463">
        <f>DAY(B1463)</f>
        <v>1</v>
      </c>
      <c r="B1463" s="37">
        <v>44562</v>
      </c>
      <c r="C1463" t="s">
        <v>23</v>
      </c>
      <c r="D1463">
        <f>YEAR(B1463)</f>
        <v>2022</v>
      </c>
      <c r="E1463">
        <v>4.71</v>
      </c>
      <c r="F1463">
        <v>4.5972</v>
      </c>
    </row>
    <row r="1464" spans="1:6" hidden="1" x14ac:dyDescent="0.25">
      <c r="A1464">
        <f t="shared" ref="A1464:A1527" si="48">DAY(B1464)</f>
        <v>2</v>
      </c>
      <c r="B1464" s="37">
        <v>44563</v>
      </c>
      <c r="C1464" t="s">
        <v>23</v>
      </c>
      <c r="D1464">
        <f t="shared" ref="D1464:D1527" si="49">YEAR(B1464)</f>
        <v>2022</v>
      </c>
      <c r="E1464">
        <v>4.71</v>
      </c>
      <c r="F1464">
        <v>4.5972</v>
      </c>
    </row>
    <row r="1465" spans="1:6" hidden="1" x14ac:dyDescent="0.25">
      <c r="A1465">
        <f t="shared" si="48"/>
        <v>3</v>
      </c>
      <c r="B1465" s="37">
        <v>44564</v>
      </c>
      <c r="C1465" t="s">
        <v>23</v>
      </c>
      <c r="D1465">
        <f t="shared" si="49"/>
        <v>2022</v>
      </c>
      <c r="E1465">
        <v>4.71</v>
      </c>
      <c r="F1465">
        <v>4.5972</v>
      </c>
    </row>
    <row r="1466" spans="1:6" hidden="1" x14ac:dyDescent="0.25">
      <c r="A1466">
        <f t="shared" si="48"/>
        <v>4</v>
      </c>
      <c r="B1466" s="37">
        <v>44565</v>
      </c>
      <c r="C1466" t="s">
        <v>23</v>
      </c>
      <c r="D1466">
        <f t="shared" si="49"/>
        <v>2022</v>
      </c>
      <c r="E1466">
        <v>4.71</v>
      </c>
      <c r="F1466">
        <v>4.5876999999999999</v>
      </c>
    </row>
    <row r="1467" spans="1:6" hidden="1" x14ac:dyDescent="0.25">
      <c r="A1467">
        <f t="shared" si="48"/>
        <v>5</v>
      </c>
      <c r="B1467" s="37">
        <v>44566</v>
      </c>
      <c r="C1467" t="s">
        <v>23</v>
      </c>
      <c r="D1467">
        <f t="shared" si="49"/>
        <v>2022</v>
      </c>
      <c r="E1467">
        <v>4.8099999999999996</v>
      </c>
      <c r="F1467">
        <v>4.6039000000000003</v>
      </c>
    </row>
    <row r="1468" spans="1:6" hidden="1" x14ac:dyDescent="0.25">
      <c r="A1468">
        <f t="shared" si="48"/>
        <v>6</v>
      </c>
      <c r="B1468" s="37">
        <v>44567</v>
      </c>
      <c r="C1468" t="s">
        <v>23</v>
      </c>
      <c r="D1468">
        <f t="shared" si="49"/>
        <v>2022</v>
      </c>
      <c r="E1468">
        <v>4.9000000000000004</v>
      </c>
      <c r="F1468">
        <v>4.6001000000000003</v>
      </c>
    </row>
    <row r="1469" spans="1:6" hidden="1" x14ac:dyDescent="0.25">
      <c r="A1469">
        <f t="shared" si="48"/>
        <v>7</v>
      </c>
      <c r="B1469" s="37">
        <v>44568</v>
      </c>
      <c r="C1469" t="s">
        <v>23</v>
      </c>
      <c r="D1469">
        <f t="shared" si="49"/>
        <v>2022</v>
      </c>
      <c r="E1469">
        <v>4.96</v>
      </c>
      <c r="F1469">
        <v>4.6220999999999997</v>
      </c>
    </row>
    <row r="1470" spans="1:6" hidden="1" x14ac:dyDescent="0.25">
      <c r="A1470">
        <f t="shared" si="48"/>
        <v>8</v>
      </c>
      <c r="B1470" s="37">
        <v>44569</v>
      </c>
      <c r="C1470" t="s">
        <v>23</v>
      </c>
      <c r="D1470">
        <f t="shared" si="49"/>
        <v>2022</v>
      </c>
      <c r="E1470">
        <v>4.96</v>
      </c>
      <c r="F1470">
        <v>4.6220999999999997</v>
      </c>
    </row>
    <row r="1471" spans="1:6" hidden="1" x14ac:dyDescent="0.25">
      <c r="A1471">
        <f t="shared" si="48"/>
        <v>9</v>
      </c>
      <c r="B1471" s="37">
        <v>44570</v>
      </c>
      <c r="C1471" t="s">
        <v>23</v>
      </c>
      <c r="D1471">
        <f t="shared" si="49"/>
        <v>2022</v>
      </c>
      <c r="E1471">
        <v>4.96</v>
      </c>
      <c r="F1471">
        <v>4.6220999999999997</v>
      </c>
    </row>
    <row r="1472" spans="1:6" hidden="1" x14ac:dyDescent="0.25">
      <c r="A1472">
        <f t="shared" si="48"/>
        <v>10</v>
      </c>
      <c r="B1472" s="37">
        <v>44571</v>
      </c>
      <c r="C1472" t="s">
        <v>23</v>
      </c>
      <c r="D1472">
        <f t="shared" si="49"/>
        <v>2022</v>
      </c>
      <c r="E1472">
        <v>4.96</v>
      </c>
      <c r="F1472">
        <v>4.6220999999999997</v>
      </c>
    </row>
    <row r="1473" spans="1:6" hidden="1" x14ac:dyDescent="0.25">
      <c r="A1473">
        <f t="shared" si="48"/>
        <v>11</v>
      </c>
      <c r="B1473" s="37">
        <v>44572</v>
      </c>
      <c r="C1473" t="s">
        <v>23</v>
      </c>
      <c r="D1473">
        <f t="shared" si="49"/>
        <v>2022</v>
      </c>
      <c r="E1473">
        <v>4.95</v>
      </c>
      <c r="F1473">
        <v>4.6364999999999998</v>
      </c>
    </row>
    <row r="1474" spans="1:6" hidden="1" x14ac:dyDescent="0.25">
      <c r="A1474">
        <f t="shared" si="48"/>
        <v>12</v>
      </c>
      <c r="B1474" s="37">
        <v>44573</v>
      </c>
      <c r="C1474" t="s">
        <v>23</v>
      </c>
      <c r="D1474">
        <f t="shared" si="49"/>
        <v>2022</v>
      </c>
      <c r="E1474">
        <v>4.8899999999999997</v>
      </c>
      <c r="F1474">
        <v>4.6443000000000003</v>
      </c>
    </row>
    <row r="1475" spans="1:6" hidden="1" x14ac:dyDescent="0.25">
      <c r="A1475">
        <f t="shared" si="48"/>
        <v>13</v>
      </c>
      <c r="B1475" s="37">
        <v>44574</v>
      </c>
      <c r="C1475" t="s">
        <v>23</v>
      </c>
      <c r="D1475">
        <f t="shared" si="49"/>
        <v>2022</v>
      </c>
      <c r="E1475">
        <v>4.8899999999999997</v>
      </c>
      <c r="F1475">
        <v>4.6379999999999999</v>
      </c>
    </row>
    <row r="1476" spans="1:6" hidden="1" x14ac:dyDescent="0.25">
      <c r="A1476">
        <f t="shared" si="48"/>
        <v>14</v>
      </c>
      <c r="B1476" s="37">
        <v>44575</v>
      </c>
      <c r="C1476" t="s">
        <v>23</v>
      </c>
      <c r="D1476">
        <f t="shared" si="49"/>
        <v>2022</v>
      </c>
      <c r="E1476">
        <v>4.8899999999999997</v>
      </c>
      <c r="F1476">
        <v>4.6359000000000004</v>
      </c>
    </row>
    <row r="1477" spans="1:6" hidden="1" x14ac:dyDescent="0.25">
      <c r="A1477">
        <f t="shared" si="48"/>
        <v>15</v>
      </c>
      <c r="B1477" s="37">
        <v>44576</v>
      </c>
      <c r="C1477" t="s">
        <v>23</v>
      </c>
      <c r="D1477">
        <f t="shared" si="49"/>
        <v>2022</v>
      </c>
      <c r="E1477">
        <v>4.8899999999999997</v>
      </c>
      <c r="F1477">
        <v>4.6359000000000004</v>
      </c>
    </row>
    <row r="1478" spans="1:6" hidden="1" x14ac:dyDescent="0.25">
      <c r="A1478">
        <f t="shared" si="48"/>
        <v>16</v>
      </c>
      <c r="B1478" s="37">
        <v>44577</v>
      </c>
      <c r="C1478" t="s">
        <v>23</v>
      </c>
      <c r="D1478">
        <f t="shared" si="49"/>
        <v>2022</v>
      </c>
      <c r="E1478">
        <v>4.8899999999999997</v>
      </c>
      <c r="F1478">
        <v>4.6359000000000004</v>
      </c>
    </row>
    <row r="1479" spans="1:6" hidden="1" x14ac:dyDescent="0.25">
      <c r="A1479">
        <f t="shared" si="48"/>
        <v>17</v>
      </c>
      <c r="B1479" s="37">
        <v>44578</v>
      </c>
      <c r="C1479" t="s">
        <v>23</v>
      </c>
      <c r="D1479">
        <f t="shared" si="49"/>
        <v>2022</v>
      </c>
      <c r="E1479">
        <v>4.8899999999999997</v>
      </c>
      <c r="F1479">
        <v>4.6359000000000004</v>
      </c>
    </row>
    <row r="1480" spans="1:6" hidden="1" x14ac:dyDescent="0.25">
      <c r="A1480">
        <f t="shared" si="48"/>
        <v>18</v>
      </c>
      <c r="B1480" s="37">
        <v>44579</v>
      </c>
      <c r="C1480" t="s">
        <v>23</v>
      </c>
      <c r="D1480">
        <f t="shared" si="49"/>
        <v>2022</v>
      </c>
      <c r="E1480">
        <v>4.92</v>
      </c>
      <c r="F1480">
        <v>4.6315999999999997</v>
      </c>
    </row>
    <row r="1481" spans="1:6" hidden="1" x14ac:dyDescent="0.25">
      <c r="A1481">
        <f t="shared" si="48"/>
        <v>19</v>
      </c>
      <c r="B1481" s="37">
        <v>44580</v>
      </c>
      <c r="C1481" t="s">
        <v>23</v>
      </c>
      <c r="D1481">
        <f t="shared" si="49"/>
        <v>2022</v>
      </c>
      <c r="E1481">
        <v>4.8600000000000003</v>
      </c>
      <c r="F1481">
        <v>4.6294000000000004</v>
      </c>
    </row>
    <row r="1482" spans="1:6" hidden="1" x14ac:dyDescent="0.25">
      <c r="A1482">
        <f t="shared" si="48"/>
        <v>20</v>
      </c>
      <c r="B1482" s="37">
        <v>44581</v>
      </c>
      <c r="C1482" t="s">
        <v>23</v>
      </c>
      <c r="D1482">
        <f t="shared" si="49"/>
        <v>2022</v>
      </c>
      <c r="E1482">
        <v>4.8600000000000003</v>
      </c>
      <c r="F1482">
        <v>4.6364999999999998</v>
      </c>
    </row>
    <row r="1483" spans="1:6" hidden="1" x14ac:dyDescent="0.25">
      <c r="A1483">
        <f t="shared" si="48"/>
        <v>21</v>
      </c>
      <c r="B1483" s="37">
        <v>44582</v>
      </c>
      <c r="C1483" t="s">
        <v>23</v>
      </c>
      <c r="D1483">
        <f t="shared" si="49"/>
        <v>2022</v>
      </c>
      <c r="E1483">
        <v>4.8899999999999997</v>
      </c>
      <c r="F1483">
        <v>4.6154999999999999</v>
      </c>
    </row>
    <row r="1484" spans="1:6" hidden="1" x14ac:dyDescent="0.25">
      <c r="A1484">
        <f t="shared" si="48"/>
        <v>22</v>
      </c>
      <c r="B1484" s="37">
        <v>44583</v>
      </c>
      <c r="C1484" t="s">
        <v>23</v>
      </c>
      <c r="D1484">
        <f t="shared" si="49"/>
        <v>2022</v>
      </c>
      <c r="E1484">
        <v>4.8899999999999997</v>
      </c>
      <c r="F1484">
        <v>4.6154999999999999</v>
      </c>
    </row>
    <row r="1485" spans="1:6" hidden="1" x14ac:dyDescent="0.25">
      <c r="A1485">
        <f t="shared" si="48"/>
        <v>23</v>
      </c>
      <c r="B1485" s="37">
        <v>44584</v>
      </c>
      <c r="C1485" t="s">
        <v>23</v>
      </c>
      <c r="D1485">
        <f t="shared" si="49"/>
        <v>2022</v>
      </c>
      <c r="E1485">
        <v>4.8899999999999997</v>
      </c>
      <c r="F1485">
        <v>4.6154999999999999</v>
      </c>
    </row>
    <row r="1486" spans="1:6" hidden="1" x14ac:dyDescent="0.25">
      <c r="A1486">
        <f t="shared" si="48"/>
        <v>24</v>
      </c>
      <c r="B1486" s="37">
        <v>44585</v>
      </c>
      <c r="C1486" t="s">
        <v>23</v>
      </c>
      <c r="D1486">
        <f t="shared" si="49"/>
        <v>2022</v>
      </c>
      <c r="E1486">
        <v>4.8899999999999997</v>
      </c>
      <c r="F1486">
        <v>4.6070000000000002</v>
      </c>
    </row>
    <row r="1487" spans="1:6" hidden="1" x14ac:dyDescent="0.25">
      <c r="A1487">
        <f t="shared" si="48"/>
        <v>25</v>
      </c>
      <c r="B1487" s="37">
        <v>44586</v>
      </c>
      <c r="C1487" t="s">
        <v>23</v>
      </c>
      <c r="D1487">
        <f t="shared" si="49"/>
        <v>2022</v>
      </c>
      <c r="E1487">
        <v>4.8899999999999997</v>
      </c>
      <c r="F1487">
        <v>4.5880000000000001</v>
      </c>
    </row>
    <row r="1488" spans="1:6" hidden="1" x14ac:dyDescent="0.25">
      <c r="A1488">
        <f t="shared" si="48"/>
        <v>26</v>
      </c>
      <c r="B1488" s="37">
        <v>44587</v>
      </c>
      <c r="C1488" t="s">
        <v>23</v>
      </c>
      <c r="D1488">
        <f t="shared" si="49"/>
        <v>2022</v>
      </c>
      <c r="E1488">
        <v>4.8899999999999997</v>
      </c>
      <c r="F1488">
        <v>4.5911</v>
      </c>
    </row>
    <row r="1489" spans="1:6" hidden="1" x14ac:dyDescent="0.25">
      <c r="A1489">
        <f t="shared" si="48"/>
        <v>27</v>
      </c>
      <c r="B1489" s="37">
        <v>44588</v>
      </c>
      <c r="C1489" t="s">
        <v>23</v>
      </c>
      <c r="D1489">
        <f t="shared" si="49"/>
        <v>2022</v>
      </c>
      <c r="E1489">
        <v>4.8499999999999996</v>
      </c>
      <c r="F1489">
        <v>4.5837000000000003</v>
      </c>
    </row>
    <row r="1490" spans="1:6" hidden="1" x14ac:dyDescent="0.25">
      <c r="A1490">
        <f t="shared" si="48"/>
        <v>28</v>
      </c>
      <c r="B1490" s="37">
        <v>44589</v>
      </c>
      <c r="C1490" t="s">
        <v>23</v>
      </c>
      <c r="D1490">
        <f t="shared" si="49"/>
        <v>2022</v>
      </c>
      <c r="E1490">
        <v>4.82</v>
      </c>
      <c r="F1490">
        <v>4.5755999999999997</v>
      </c>
    </row>
    <row r="1491" spans="1:6" hidden="1" x14ac:dyDescent="0.25">
      <c r="A1491">
        <f t="shared" si="48"/>
        <v>29</v>
      </c>
      <c r="B1491" s="37">
        <v>44590</v>
      </c>
      <c r="C1491" t="s">
        <v>23</v>
      </c>
      <c r="D1491">
        <f t="shared" si="49"/>
        <v>2022</v>
      </c>
      <c r="E1491">
        <v>4.82</v>
      </c>
      <c r="F1491">
        <v>4.5755999999999997</v>
      </c>
    </row>
    <row r="1492" spans="1:6" hidden="1" x14ac:dyDescent="0.25">
      <c r="A1492">
        <f t="shared" si="48"/>
        <v>30</v>
      </c>
      <c r="B1492" s="37">
        <v>44591</v>
      </c>
      <c r="C1492" t="s">
        <v>23</v>
      </c>
      <c r="D1492">
        <f t="shared" si="49"/>
        <v>2022</v>
      </c>
      <c r="E1492">
        <v>4.82</v>
      </c>
      <c r="F1492">
        <v>4.5755999999999997</v>
      </c>
    </row>
    <row r="1493" spans="1:6" hidden="1" x14ac:dyDescent="0.25">
      <c r="A1493">
        <f t="shared" si="48"/>
        <v>31</v>
      </c>
      <c r="B1493" s="37">
        <v>44592</v>
      </c>
      <c r="C1493" t="s">
        <v>23</v>
      </c>
      <c r="D1493">
        <f t="shared" si="49"/>
        <v>2022</v>
      </c>
      <c r="E1493">
        <v>4.8</v>
      </c>
      <c r="F1493">
        <v>4.5491999999999999</v>
      </c>
    </row>
    <row r="1494" spans="1:6" hidden="1" x14ac:dyDescent="0.25">
      <c r="A1494">
        <f t="shared" si="48"/>
        <v>1</v>
      </c>
      <c r="B1494" s="37">
        <v>44593</v>
      </c>
      <c r="C1494" t="s">
        <v>24</v>
      </c>
      <c r="D1494">
        <f t="shared" si="49"/>
        <v>2022</v>
      </c>
      <c r="E1494">
        <v>4.6399999999999997</v>
      </c>
      <c r="F1494">
        <v>4.5274999999999999</v>
      </c>
    </row>
    <row r="1495" spans="1:6" hidden="1" x14ac:dyDescent="0.25">
      <c r="A1495">
        <f t="shared" si="48"/>
        <v>2</v>
      </c>
      <c r="B1495" s="37">
        <v>44594</v>
      </c>
      <c r="C1495" t="s">
        <v>24</v>
      </c>
      <c r="D1495">
        <f t="shared" si="49"/>
        <v>2022</v>
      </c>
      <c r="E1495">
        <v>4.6100000000000003</v>
      </c>
      <c r="F1495">
        <v>4.5247999999999999</v>
      </c>
    </row>
    <row r="1496" spans="1:6" hidden="1" x14ac:dyDescent="0.25">
      <c r="A1496">
        <f t="shared" si="48"/>
        <v>3</v>
      </c>
      <c r="B1496" s="37">
        <v>44595</v>
      </c>
      <c r="C1496" t="s">
        <v>24</v>
      </c>
      <c r="D1496">
        <f t="shared" si="49"/>
        <v>2022</v>
      </c>
      <c r="E1496">
        <v>4.62</v>
      </c>
      <c r="F1496">
        <v>4.5263</v>
      </c>
    </row>
    <row r="1497" spans="1:6" hidden="1" x14ac:dyDescent="0.25">
      <c r="A1497">
        <f t="shared" si="48"/>
        <v>4</v>
      </c>
      <c r="B1497" s="37">
        <v>44596</v>
      </c>
      <c r="C1497" t="s">
        <v>24</v>
      </c>
      <c r="D1497">
        <f t="shared" si="49"/>
        <v>2022</v>
      </c>
      <c r="E1497">
        <v>4.63</v>
      </c>
      <c r="F1497">
        <v>4.5218999999999996</v>
      </c>
    </row>
    <row r="1498" spans="1:6" hidden="1" x14ac:dyDescent="0.25">
      <c r="A1498">
        <f t="shared" si="48"/>
        <v>5</v>
      </c>
      <c r="B1498" s="37">
        <v>44597</v>
      </c>
      <c r="C1498" t="s">
        <v>24</v>
      </c>
      <c r="D1498">
        <f t="shared" si="49"/>
        <v>2022</v>
      </c>
      <c r="E1498">
        <v>4.63</v>
      </c>
      <c r="F1498">
        <v>4.5218999999999996</v>
      </c>
    </row>
    <row r="1499" spans="1:6" hidden="1" x14ac:dyDescent="0.25">
      <c r="A1499">
        <f t="shared" si="48"/>
        <v>6</v>
      </c>
      <c r="B1499" s="37">
        <v>44598</v>
      </c>
      <c r="C1499" t="s">
        <v>24</v>
      </c>
      <c r="D1499">
        <f t="shared" si="49"/>
        <v>2022</v>
      </c>
      <c r="E1499">
        <v>4.63</v>
      </c>
      <c r="F1499">
        <v>4.5218999999999996</v>
      </c>
    </row>
    <row r="1500" spans="1:6" hidden="1" x14ac:dyDescent="0.25">
      <c r="A1500">
        <f t="shared" si="48"/>
        <v>7</v>
      </c>
      <c r="B1500" s="37">
        <v>44599</v>
      </c>
      <c r="C1500" t="s">
        <v>24</v>
      </c>
      <c r="D1500">
        <f t="shared" si="49"/>
        <v>2022</v>
      </c>
      <c r="E1500">
        <v>4.62</v>
      </c>
      <c r="F1500">
        <v>4.5068000000000001</v>
      </c>
    </row>
    <row r="1501" spans="1:6" hidden="1" x14ac:dyDescent="0.25">
      <c r="A1501">
        <f t="shared" si="48"/>
        <v>8</v>
      </c>
      <c r="B1501" s="37">
        <v>44600</v>
      </c>
      <c r="C1501" t="s">
        <v>24</v>
      </c>
      <c r="D1501">
        <f t="shared" si="49"/>
        <v>2022</v>
      </c>
      <c r="E1501">
        <v>4.5999999999999996</v>
      </c>
      <c r="F1501">
        <v>4.4942000000000002</v>
      </c>
    </row>
    <row r="1502" spans="1:6" hidden="1" x14ac:dyDescent="0.25">
      <c r="A1502">
        <f t="shared" si="48"/>
        <v>9</v>
      </c>
      <c r="B1502" s="37">
        <v>44601</v>
      </c>
      <c r="C1502" t="s">
        <v>24</v>
      </c>
      <c r="D1502">
        <f t="shared" si="49"/>
        <v>2022</v>
      </c>
      <c r="E1502">
        <v>4.57</v>
      </c>
      <c r="F1502">
        <v>4.4907000000000004</v>
      </c>
    </row>
    <row r="1503" spans="1:6" hidden="1" x14ac:dyDescent="0.25">
      <c r="A1503">
        <f t="shared" si="48"/>
        <v>10</v>
      </c>
      <c r="B1503" s="37">
        <v>44602</v>
      </c>
      <c r="C1503" t="s">
        <v>24</v>
      </c>
      <c r="D1503">
        <f t="shared" si="49"/>
        <v>2022</v>
      </c>
      <c r="E1503">
        <v>4.6100000000000003</v>
      </c>
      <c r="F1503">
        <v>4.4652000000000003</v>
      </c>
    </row>
    <row r="1504" spans="1:6" hidden="1" x14ac:dyDescent="0.25">
      <c r="A1504">
        <f t="shared" si="48"/>
        <v>11</v>
      </c>
      <c r="B1504" s="37">
        <v>44603</v>
      </c>
      <c r="C1504" t="s">
        <v>24</v>
      </c>
      <c r="D1504">
        <f t="shared" si="49"/>
        <v>2022</v>
      </c>
      <c r="E1504">
        <v>4.6500000000000004</v>
      </c>
      <c r="F1504">
        <v>4.4637000000000002</v>
      </c>
    </row>
    <row r="1505" spans="1:6" hidden="1" x14ac:dyDescent="0.25">
      <c r="A1505">
        <f t="shared" si="48"/>
        <v>12</v>
      </c>
      <c r="B1505" s="37">
        <v>44604</v>
      </c>
      <c r="C1505" t="s">
        <v>24</v>
      </c>
      <c r="D1505">
        <f t="shared" si="49"/>
        <v>2022</v>
      </c>
      <c r="E1505">
        <v>4.6500000000000004</v>
      </c>
      <c r="F1505">
        <v>4.4637000000000002</v>
      </c>
    </row>
    <row r="1506" spans="1:6" hidden="1" x14ac:dyDescent="0.25">
      <c r="A1506">
        <f t="shared" si="48"/>
        <v>13</v>
      </c>
      <c r="B1506" s="37">
        <v>44605</v>
      </c>
      <c r="C1506" t="s">
        <v>24</v>
      </c>
      <c r="D1506">
        <f t="shared" si="49"/>
        <v>2022</v>
      </c>
      <c r="E1506">
        <v>4.6500000000000004</v>
      </c>
      <c r="F1506">
        <v>4.4637000000000002</v>
      </c>
    </row>
    <row r="1507" spans="1:6" hidden="1" x14ac:dyDescent="0.25">
      <c r="A1507">
        <f t="shared" si="48"/>
        <v>14</v>
      </c>
      <c r="B1507" s="37">
        <v>44606</v>
      </c>
      <c r="C1507" t="s">
        <v>24</v>
      </c>
      <c r="D1507">
        <f t="shared" si="49"/>
        <v>2022</v>
      </c>
      <c r="E1507">
        <v>4.59</v>
      </c>
      <c r="F1507">
        <v>4.4409999999999998</v>
      </c>
    </row>
    <row r="1508" spans="1:6" hidden="1" x14ac:dyDescent="0.25">
      <c r="A1508">
        <f t="shared" si="48"/>
        <v>15</v>
      </c>
      <c r="B1508" s="37">
        <v>44607</v>
      </c>
      <c r="C1508" t="s">
        <v>24</v>
      </c>
      <c r="D1508">
        <f t="shared" si="49"/>
        <v>2022</v>
      </c>
      <c r="E1508">
        <v>4.58</v>
      </c>
      <c r="F1508">
        <v>4.4412000000000003</v>
      </c>
    </row>
    <row r="1509" spans="1:6" hidden="1" x14ac:dyDescent="0.25">
      <c r="A1509">
        <f t="shared" si="48"/>
        <v>16</v>
      </c>
      <c r="B1509" s="37">
        <v>44608</v>
      </c>
      <c r="C1509" t="s">
        <v>24</v>
      </c>
      <c r="D1509">
        <f t="shared" si="49"/>
        <v>2022</v>
      </c>
      <c r="E1509">
        <v>4.6100000000000003</v>
      </c>
      <c r="F1509">
        <v>4.4368999999999996</v>
      </c>
    </row>
    <row r="1510" spans="1:6" hidden="1" x14ac:dyDescent="0.25">
      <c r="A1510">
        <f t="shared" si="48"/>
        <v>17</v>
      </c>
      <c r="B1510" s="37">
        <v>44609</v>
      </c>
      <c r="C1510" t="s">
        <v>24</v>
      </c>
      <c r="D1510">
        <f t="shared" si="49"/>
        <v>2022</v>
      </c>
      <c r="E1510">
        <v>4.6100000000000003</v>
      </c>
      <c r="F1510">
        <v>4.4032</v>
      </c>
    </row>
    <row r="1511" spans="1:6" hidden="1" x14ac:dyDescent="0.25">
      <c r="A1511">
        <f t="shared" si="48"/>
        <v>18</v>
      </c>
      <c r="B1511" s="37">
        <v>44610</v>
      </c>
      <c r="C1511" t="s">
        <v>24</v>
      </c>
      <c r="D1511">
        <f t="shared" si="49"/>
        <v>2022</v>
      </c>
      <c r="E1511">
        <v>4.62</v>
      </c>
      <c r="F1511">
        <v>4.4207999999999998</v>
      </c>
    </row>
    <row r="1512" spans="1:6" hidden="1" x14ac:dyDescent="0.25">
      <c r="A1512">
        <f t="shared" si="48"/>
        <v>19</v>
      </c>
      <c r="B1512" s="37">
        <v>44611</v>
      </c>
      <c r="C1512" t="s">
        <v>24</v>
      </c>
      <c r="D1512">
        <f t="shared" si="49"/>
        <v>2022</v>
      </c>
      <c r="E1512">
        <v>4.62</v>
      </c>
      <c r="F1512">
        <v>4.4207999999999998</v>
      </c>
    </row>
    <row r="1513" spans="1:6" hidden="1" x14ac:dyDescent="0.25">
      <c r="A1513">
        <f t="shared" si="48"/>
        <v>20</v>
      </c>
      <c r="B1513" s="37">
        <v>44612</v>
      </c>
      <c r="C1513" t="s">
        <v>24</v>
      </c>
      <c r="D1513">
        <f t="shared" si="49"/>
        <v>2022</v>
      </c>
      <c r="E1513">
        <v>4.62</v>
      </c>
      <c r="F1513">
        <v>4.4207999999999998</v>
      </c>
    </row>
    <row r="1514" spans="1:6" hidden="1" x14ac:dyDescent="0.25">
      <c r="A1514">
        <f t="shared" si="48"/>
        <v>21</v>
      </c>
      <c r="B1514" s="37">
        <v>44613</v>
      </c>
      <c r="C1514" t="s">
        <v>24</v>
      </c>
      <c r="D1514">
        <f t="shared" si="49"/>
        <v>2022</v>
      </c>
      <c r="E1514">
        <v>4.6100000000000003</v>
      </c>
      <c r="F1514">
        <v>4.4077999999999999</v>
      </c>
    </row>
    <row r="1515" spans="1:6" hidden="1" x14ac:dyDescent="0.25">
      <c r="A1515">
        <f t="shared" si="48"/>
        <v>22</v>
      </c>
      <c r="B1515" s="37">
        <v>44614</v>
      </c>
      <c r="C1515" t="s">
        <v>24</v>
      </c>
      <c r="D1515">
        <f t="shared" si="49"/>
        <v>2022</v>
      </c>
      <c r="E1515">
        <v>4.5999999999999996</v>
      </c>
      <c r="F1515">
        <v>4.3426999999999998</v>
      </c>
    </row>
    <row r="1516" spans="1:6" hidden="1" x14ac:dyDescent="0.25">
      <c r="A1516">
        <f t="shared" si="48"/>
        <v>23</v>
      </c>
      <c r="B1516" s="37">
        <v>44615</v>
      </c>
      <c r="C1516" t="s">
        <v>24</v>
      </c>
      <c r="D1516">
        <f t="shared" si="49"/>
        <v>2022</v>
      </c>
      <c r="E1516">
        <v>4.59</v>
      </c>
      <c r="F1516">
        <v>4.3879000000000001</v>
      </c>
    </row>
    <row r="1517" spans="1:6" hidden="1" x14ac:dyDescent="0.25">
      <c r="A1517">
        <f t="shared" si="48"/>
        <v>24</v>
      </c>
      <c r="B1517" s="37">
        <v>44616</v>
      </c>
      <c r="C1517" t="s">
        <v>24</v>
      </c>
      <c r="D1517">
        <f t="shared" si="49"/>
        <v>2022</v>
      </c>
      <c r="E1517">
        <v>4.59</v>
      </c>
      <c r="F1517">
        <v>4.3804999999999996</v>
      </c>
    </row>
    <row r="1518" spans="1:6" hidden="1" x14ac:dyDescent="0.25">
      <c r="A1518">
        <f t="shared" si="48"/>
        <v>25</v>
      </c>
      <c r="B1518" s="37">
        <v>44617</v>
      </c>
      <c r="C1518" t="s">
        <v>24</v>
      </c>
      <c r="D1518">
        <f t="shared" si="49"/>
        <v>2022</v>
      </c>
      <c r="E1518">
        <v>4.5999999999999996</v>
      </c>
      <c r="F1518">
        <v>4.3859000000000004</v>
      </c>
    </row>
    <row r="1519" spans="1:6" hidden="1" x14ac:dyDescent="0.25">
      <c r="A1519">
        <f t="shared" si="48"/>
        <v>26</v>
      </c>
      <c r="B1519" s="37">
        <v>44618</v>
      </c>
      <c r="C1519" t="s">
        <v>24</v>
      </c>
      <c r="D1519">
        <f t="shared" si="49"/>
        <v>2022</v>
      </c>
      <c r="E1519">
        <v>4.5999999999999996</v>
      </c>
      <c r="F1519">
        <v>4.3859000000000004</v>
      </c>
    </row>
    <row r="1520" spans="1:6" hidden="1" x14ac:dyDescent="0.25">
      <c r="A1520">
        <f t="shared" si="48"/>
        <v>27</v>
      </c>
      <c r="B1520" s="37">
        <v>44619</v>
      </c>
      <c r="C1520" t="s">
        <v>24</v>
      </c>
      <c r="D1520">
        <f t="shared" si="49"/>
        <v>2022</v>
      </c>
      <c r="E1520">
        <v>4.5999999999999996</v>
      </c>
      <c r="F1520">
        <v>4.3859000000000004</v>
      </c>
    </row>
    <row r="1521" spans="1:6" hidden="1" x14ac:dyDescent="0.25">
      <c r="A1521">
        <f t="shared" si="48"/>
        <v>28</v>
      </c>
      <c r="B1521" s="37">
        <v>44620</v>
      </c>
      <c r="C1521" t="s">
        <v>24</v>
      </c>
      <c r="D1521">
        <f t="shared" si="49"/>
        <v>2022</v>
      </c>
      <c r="E1521">
        <v>4.5999999999999996</v>
      </c>
      <c r="F1521">
        <v>4.3859000000000004</v>
      </c>
    </row>
    <row r="1522" spans="1:6" hidden="1" x14ac:dyDescent="0.25">
      <c r="A1522">
        <f t="shared" si="48"/>
        <v>1</v>
      </c>
      <c r="B1522" s="37">
        <v>44621</v>
      </c>
      <c r="C1522" t="s">
        <v>25</v>
      </c>
      <c r="D1522">
        <f t="shared" si="49"/>
        <v>2022</v>
      </c>
      <c r="E1522">
        <v>4.5999999999999996</v>
      </c>
      <c r="F1522">
        <v>4.3859000000000004</v>
      </c>
    </row>
    <row r="1523" spans="1:6" hidden="1" x14ac:dyDescent="0.25">
      <c r="A1523">
        <f t="shared" si="48"/>
        <v>2</v>
      </c>
      <c r="B1523" s="37">
        <v>44622</v>
      </c>
      <c r="C1523" t="s">
        <v>25</v>
      </c>
      <c r="D1523">
        <f t="shared" si="49"/>
        <v>2022</v>
      </c>
      <c r="E1523">
        <v>4.49</v>
      </c>
      <c r="F1523">
        <v>4.3859000000000004</v>
      </c>
    </row>
    <row r="1524" spans="1:6" hidden="1" x14ac:dyDescent="0.25">
      <c r="A1524">
        <f t="shared" si="48"/>
        <v>3</v>
      </c>
      <c r="B1524" s="37">
        <v>44623</v>
      </c>
      <c r="C1524" t="s">
        <v>25</v>
      </c>
      <c r="D1524">
        <f t="shared" si="49"/>
        <v>2022</v>
      </c>
      <c r="E1524">
        <v>4.45</v>
      </c>
      <c r="F1524">
        <v>4.3684000000000003</v>
      </c>
    </row>
    <row r="1525" spans="1:6" hidden="1" x14ac:dyDescent="0.25">
      <c r="A1525">
        <f t="shared" si="48"/>
        <v>4</v>
      </c>
      <c r="B1525" s="37">
        <v>44624</v>
      </c>
      <c r="C1525" t="s">
        <v>25</v>
      </c>
      <c r="D1525">
        <f t="shared" si="49"/>
        <v>2022</v>
      </c>
      <c r="E1525">
        <v>4.5199999999999996</v>
      </c>
      <c r="F1525">
        <v>4.3266</v>
      </c>
    </row>
    <row r="1526" spans="1:6" hidden="1" x14ac:dyDescent="0.25">
      <c r="A1526">
        <f t="shared" si="48"/>
        <v>5</v>
      </c>
      <c r="B1526" s="37">
        <v>44625</v>
      </c>
      <c r="C1526" t="s">
        <v>25</v>
      </c>
      <c r="D1526">
        <f t="shared" si="49"/>
        <v>2022</v>
      </c>
      <c r="E1526">
        <v>4.46</v>
      </c>
      <c r="F1526">
        <v>4.3301999999999996</v>
      </c>
    </row>
    <row r="1527" spans="1:6" hidden="1" x14ac:dyDescent="0.25">
      <c r="A1527">
        <f t="shared" si="48"/>
        <v>6</v>
      </c>
      <c r="B1527" s="37">
        <v>44626</v>
      </c>
      <c r="C1527" t="s">
        <v>25</v>
      </c>
      <c r="D1527">
        <f t="shared" si="49"/>
        <v>2022</v>
      </c>
      <c r="E1527">
        <v>4.45</v>
      </c>
      <c r="F1527">
        <v>4.3301999999999996</v>
      </c>
    </row>
    <row r="1528" spans="1:6" hidden="1" x14ac:dyDescent="0.25">
      <c r="A1528">
        <f t="shared" ref="A1528:A1591" si="50">DAY(B1528)</f>
        <v>7</v>
      </c>
      <c r="B1528" s="37">
        <v>44627</v>
      </c>
      <c r="C1528" t="s">
        <v>25</v>
      </c>
      <c r="D1528">
        <f t="shared" ref="D1528:D1591" si="51">YEAR(B1528)</f>
        <v>2022</v>
      </c>
      <c r="E1528">
        <v>4.45</v>
      </c>
      <c r="F1528">
        <v>4.3301999999999996</v>
      </c>
    </row>
    <row r="1529" spans="1:6" hidden="1" x14ac:dyDescent="0.25">
      <c r="A1529">
        <f t="shared" si="50"/>
        <v>8</v>
      </c>
      <c r="B1529" s="37">
        <v>44628</v>
      </c>
      <c r="C1529" t="s">
        <v>25</v>
      </c>
      <c r="D1529">
        <f t="shared" si="51"/>
        <v>2022</v>
      </c>
      <c r="E1529">
        <v>4.45</v>
      </c>
      <c r="F1529">
        <v>4.3319999999999999</v>
      </c>
    </row>
    <row r="1530" spans="1:6" hidden="1" x14ac:dyDescent="0.25">
      <c r="A1530">
        <f t="shared" si="50"/>
        <v>9</v>
      </c>
      <c r="B1530" s="37">
        <v>44629</v>
      </c>
      <c r="C1530" t="s">
        <v>25</v>
      </c>
      <c r="D1530">
        <f t="shared" si="51"/>
        <v>2022</v>
      </c>
      <c r="E1530">
        <v>4.41</v>
      </c>
      <c r="F1530">
        <v>4.3277000000000001</v>
      </c>
    </row>
    <row r="1531" spans="1:6" hidden="1" x14ac:dyDescent="0.25">
      <c r="A1531">
        <f t="shared" si="50"/>
        <v>10</v>
      </c>
      <c r="B1531" s="37">
        <v>44630</v>
      </c>
      <c r="C1531" t="s">
        <v>25</v>
      </c>
      <c r="D1531">
        <f t="shared" si="51"/>
        <v>2022</v>
      </c>
      <c r="E1531">
        <v>4.43</v>
      </c>
      <c r="F1531">
        <v>4.3304</v>
      </c>
    </row>
    <row r="1532" spans="1:6" hidden="1" x14ac:dyDescent="0.25">
      <c r="A1532">
        <f t="shared" si="50"/>
        <v>11</v>
      </c>
      <c r="B1532" s="37">
        <v>44631</v>
      </c>
      <c r="C1532" t="s">
        <v>25</v>
      </c>
      <c r="D1532">
        <f t="shared" si="51"/>
        <v>2022</v>
      </c>
      <c r="E1532">
        <v>4.47</v>
      </c>
      <c r="F1532">
        <v>4.2233000000000001</v>
      </c>
    </row>
    <row r="1533" spans="1:6" hidden="1" x14ac:dyDescent="0.25">
      <c r="A1533">
        <f t="shared" si="50"/>
        <v>12</v>
      </c>
      <c r="B1533" s="37">
        <v>44632</v>
      </c>
      <c r="C1533" t="s">
        <v>25</v>
      </c>
      <c r="D1533">
        <f t="shared" si="51"/>
        <v>2022</v>
      </c>
      <c r="E1533">
        <v>4.47</v>
      </c>
      <c r="F1533">
        <v>4.2233000000000001</v>
      </c>
    </row>
    <row r="1534" spans="1:6" hidden="1" x14ac:dyDescent="0.25">
      <c r="A1534">
        <f t="shared" si="50"/>
        <v>13</v>
      </c>
      <c r="B1534" s="37">
        <v>44633</v>
      </c>
      <c r="C1534" t="s">
        <v>25</v>
      </c>
      <c r="D1534">
        <f t="shared" si="51"/>
        <v>2022</v>
      </c>
      <c r="E1534">
        <v>4.47</v>
      </c>
      <c r="F1534">
        <v>4.2233000000000001</v>
      </c>
    </row>
    <row r="1535" spans="1:6" hidden="1" x14ac:dyDescent="0.25">
      <c r="A1535">
        <f t="shared" si="50"/>
        <v>14</v>
      </c>
      <c r="B1535" s="37">
        <v>44634</v>
      </c>
      <c r="C1535" t="s">
        <v>25</v>
      </c>
      <c r="D1535">
        <f t="shared" si="51"/>
        <v>2022</v>
      </c>
      <c r="E1535">
        <v>4.42</v>
      </c>
      <c r="F1535">
        <v>4.2423000000000002</v>
      </c>
    </row>
    <row r="1536" spans="1:6" hidden="1" x14ac:dyDescent="0.25">
      <c r="A1536">
        <f t="shared" si="50"/>
        <v>15</v>
      </c>
      <c r="B1536" s="37">
        <v>44635</v>
      </c>
      <c r="C1536" t="s">
        <v>25</v>
      </c>
      <c r="D1536">
        <f t="shared" si="51"/>
        <v>2022</v>
      </c>
      <c r="E1536">
        <v>4.3899999999999997</v>
      </c>
      <c r="F1536">
        <v>4.2697000000000003</v>
      </c>
    </row>
    <row r="1537" spans="1:6" hidden="1" x14ac:dyDescent="0.25">
      <c r="A1537">
        <f t="shared" si="50"/>
        <v>16</v>
      </c>
      <c r="B1537" s="37">
        <v>44636</v>
      </c>
      <c r="C1537" t="s">
        <v>25</v>
      </c>
      <c r="D1537">
        <f t="shared" si="51"/>
        <v>2022</v>
      </c>
      <c r="E1537">
        <v>4.42</v>
      </c>
      <c r="F1537">
        <v>4.2697000000000003</v>
      </c>
    </row>
    <row r="1538" spans="1:6" hidden="1" x14ac:dyDescent="0.25">
      <c r="A1538">
        <f t="shared" si="50"/>
        <v>17</v>
      </c>
      <c r="B1538" s="37">
        <v>44637</v>
      </c>
      <c r="C1538" t="s">
        <v>25</v>
      </c>
      <c r="D1538">
        <f t="shared" si="51"/>
        <v>2022</v>
      </c>
      <c r="E1538">
        <v>4.45</v>
      </c>
      <c r="F1538">
        <v>4.2949999999999999</v>
      </c>
    </row>
    <row r="1539" spans="1:6" hidden="1" x14ac:dyDescent="0.25">
      <c r="A1539">
        <f t="shared" si="50"/>
        <v>18</v>
      </c>
      <c r="B1539" s="37">
        <v>44638</v>
      </c>
      <c r="C1539" t="s">
        <v>25</v>
      </c>
      <c r="D1539">
        <f t="shared" si="51"/>
        <v>2022</v>
      </c>
      <c r="E1539">
        <v>4.45</v>
      </c>
      <c r="F1539">
        <v>4.3087999999999997</v>
      </c>
    </row>
    <row r="1540" spans="1:6" hidden="1" x14ac:dyDescent="0.25">
      <c r="A1540">
        <f t="shared" si="50"/>
        <v>19</v>
      </c>
      <c r="B1540" s="37">
        <v>44639</v>
      </c>
      <c r="C1540" t="s">
        <v>25</v>
      </c>
      <c r="D1540">
        <f t="shared" si="51"/>
        <v>2022</v>
      </c>
      <c r="E1540">
        <v>4.45</v>
      </c>
      <c r="F1540">
        <v>4.3087999999999997</v>
      </c>
    </row>
    <row r="1541" spans="1:6" hidden="1" x14ac:dyDescent="0.25">
      <c r="A1541">
        <f t="shared" si="50"/>
        <v>20</v>
      </c>
      <c r="B1541" s="37">
        <v>44640</v>
      </c>
      <c r="C1541" t="s">
        <v>25</v>
      </c>
      <c r="D1541">
        <f t="shared" si="51"/>
        <v>2022</v>
      </c>
      <c r="E1541">
        <v>4.45</v>
      </c>
      <c r="F1541">
        <v>4.3087999999999997</v>
      </c>
    </row>
    <row r="1542" spans="1:6" hidden="1" x14ac:dyDescent="0.25">
      <c r="A1542">
        <f t="shared" si="50"/>
        <v>21</v>
      </c>
      <c r="B1542" s="37">
        <v>44641</v>
      </c>
      <c r="C1542" t="s">
        <v>25</v>
      </c>
      <c r="D1542">
        <f t="shared" si="51"/>
        <v>2022</v>
      </c>
      <c r="E1542">
        <v>4.47</v>
      </c>
      <c r="F1542">
        <v>4.298</v>
      </c>
    </row>
    <row r="1543" spans="1:6" hidden="1" x14ac:dyDescent="0.25">
      <c r="A1543">
        <f t="shared" si="50"/>
        <v>22</v>
      </c>
      <c r="B1543" s="37">
        <v>44642</v>
      </c>
      <c r="C1543" t="s">
        <v>25</v>
      </c>
      <c r="D1543">
        <f t="shared" si="51"/>
        <v>2022</v>
      </c>
      <c r="E1543">
        <v>4.4800000000000004</v>
      </c>
      <c r="F1543">
        <v>4.3090999999999999</v>
      </c>
    </row>
    <row r="1544" spans="1:6" hidden="1" x14ac:dyDescent="0.25">
      <c r="A1544">
        <f t="shared" si="50"/>
        <v>23</v>
      </c>
      <c r="B1544" s="37">
        <v>44643</v>
      </c>
      <c r="C1544" t="s">
        <v>25</v>
      </c>
      <c r="D1544">
        <f t="shared" si="51"/>
        <v>2022</v>
      </c>
      <c r="E1544">
        <v>4.5</v>
      </c>
      <c r="F1544">
        <v>4.3269000000000002</v>
      </c>
    </row>
    <row r="1545" spans="1:6" hidden="1" x14ac:dyDescent="0.25">
      <c r="A1545">
        <f t="shared" si="50"/>
        <v>24</v>
      </c>
      <c r="B1545" s="37">
        <v>44644</v>
      </c>
      <c r="C1545" t="s">
        <v>25</v>
      </c>
      <c r="D1545">
        <f t="shared" si="51"/>
        <v>2022</v>
      </c>
      <c r="E1545">
        <v>4.5</v>
      </c>
      <c r="F1545">
        <v>4.3418999999999999</v>
      </c>
    </row>
    <row r="1546" spans="1:6" hidden="1" x14ac:dyDescent="0.25">
      <c r="A1546">
        <f t="shared" si="50"/>
        <v>25</v>
      </c>
      <c r="B1546" s="37">
        <v>44645</v>
      </c>
      <c r="C1546" t="s">
        <v>25</v>
      </c>
      <c r="D1546">
        <f t="shared" si="51"/>
        <v>2022</v>
      </c>
      <c r="E1546">
        <v>4.57</v>
      </c>
      <c r="F1546">
        <v>4.3642000000000003</v>
      </c>
    </row>
    <row r="1547" spans="1:6" hidden="1" x14ac:dyDescent="0.25">
      <c r="A1547">
        <f t="shared" si="50"/>
        <v>26</v>
      </c>
      <c r="B1547" s="37">
        <v>44646</v>
      </c>
      <c r="C1547" t="s">
        <v>25</v>
      </c>
      <c r="D1547">
        <f t="shared" si="51"/>
        <v>2022</v>
      </c>
      <c r="E1547">
        <v>4.57</v>
      </c>
      <c r="F1547">
        <v>4.3642000000000003</v>
      </c>
    </row>
    <row r="1548" spans="1:6" hidden="1" x14ac:dyDescent="0.25">
      <c r="A1548">
        <f t="shared" si="50"/>
        <v>27</v>
      </c>
      <c r="B1548" s="37">
        <v>44647</v>
      </c>
      <c r="C1548" t="s">
        <v>25</v>
      </c>
      <c r="D1548">
        <f t="shared" si="51"/>
        <v>2022</v>
      </c>
      <c r="E1548">
        <v>4.57</v>
      </c>
      <c r="F1548">
        <v>4.3642000000000003</v>
      </c>
    </row>
    <row r="1549" spans="1:6" hidden="1" x14ac:dyDescent="0.25">
      <c r="A1549">
        <f t="shared" si="50"/>
        <v>28</v>
      </c>
      <c r="B1549" s="37">
        <v>44648</v>
      </c>
      <c r="C1549" t="s">
        <v>25</v>
      </c>
      <c r="D1549">
        <f t="shared" si="51"/>
        <v>2022</v>
      </c>
      <c r="E1549">
        <v>4.57</v>
      </c>
      <c r="F1549">
        <v>4.3693</v>
      </c>
    </row>
    <row r="1550" spans="1:6" hidden="1" x14ac:dyDescent="0.25">
      <c r="A1550">
        <f t="shared" si="50"/>
        <v>29</v>
      </c>
      <c r="B1550" s="37">
        <v>44649</v>
      </c>
      <c r="C1550" t="s">
        <v>25</v>
      </c>
      <c r="D1550">
        <f t="shared" si="51"/>
        <v>2022</v>
      </c>
      <c r="E1550">
        <v>4.57</v>
      </c>
      <c r="F1550">
        <v>4.3697999999999997</v>
      </c>
    </row>
    <row r="1551" spans="1:6" hidden="1" x14ac:dyDescent="0.25">
      <c r="A1551">
        <f t="shared" si="50"/>
        <v>30</v>
      </c>
      <c r="B1551" s="37">
        <v>44650</v>
      </c>
      <c r="C1551" t="s">
        <v>25</v>
      </c>
      <c r="D1551">
        <f t="shared" si="51"/>
        <v>2022</v>
      </c>
      <c r="E1551">
        <v>4.54</v>
      </c>
      <c r="F1551">
        <v>4.3771000000000004</v>
      </c>
    </row>
    <row r="1552" spans="1:6" hidden="1" x14ac:dyDescent="0.25">
      <c r="A1552">
        <f t="shared" si="50"/>
        <v>31</v>
      </c>
      <c r="B1552" s="37">
        <v>44651</v>
      </c>
      <c r="C1552" t="s">
        <v>25</v>
      </c>
      <c r="D1552">
        <f t="shared" si="51"/>
        <v>2022</v>
      </c>
      <c r="E1552">
        <v>4.53</v>
      </c>
      <c r="F1552">
        <v>4.3804999999999996</v>
      </c>
    </row>
    <row r="1553" spans="1:6" hidden="1" x14ac:dyDescent="0.25">
      <c r="A1553">
        <f t="shared" si="50"/>
        <v>1</v>
      </c>
      <c r="B1553" s="37">
        <v>44652</v>
      </c>
      <c r="C1553" t="s">
        <v>26</v>
      </c>
      <c r="D1553">
        <f t="shared" si="51"/>
        <v>2022</v>
      </c>
      <c r="E1553">
        <v>4.5199999999999996</v>
      </c>
      <c r="F1553">
        <v>4.3804999999999996</v>
      </c>
    </row>
    <row r="1554" spans="1:6" hidden="1" x14ac:dyDescent="0.25">
      <c r="A1554">
        <f t="shared" si="50"/>
        <v>2</v>
      </c>
      <c r="B1554" s="37">
        <v>44653</v>
      </c>
      <c r="C1554" t="s">
        <v>26</v>
      </c>
      <c r="D1554">
        <f t="shared" si="51"/>
        <v>2022</v>
      </c>
      <c r="E1554">
        <v>4.51</v>
      </c>
      <c r="F1554">
        <v>4.3804999999999996</v>
      </c>
    </row>
    <row r="1555" spans="1:6" hidden="1" x14ac:dyDescent="0.25">
      <c r="A1555">
        <f t="shared" si="50"/>
        <v>3</v>
      </c>
      <c r="B1555" s="37">
        <v>44654</v>
      </c>
      <c r="C1555" t="s">
        <v>26</v>
      </c>
      <c r="D1555">
        <f t="shared" si="51"/>
        <v>2022</v>
      </c>
      <c r="E1555">
        <v>4.51</v>
      </c>
      <c r="F1555">
        <v>4.3804999999999996</v>
      </c>
    </row>
    <row r="1556" spans="1:6" hidden="1" x14ac:dyDescent="0.25">
      <c r="A1556">
        <f t="shared" si="50"/>
        <v>4</v>
      </c>
      <c r="B1556" s="37">
        <v>44655</v>
      </c>
      <c r="C1556" t="s">
        <v>26</v>
      </c>
      <c r="D1556">
        <f t="shared" si="51"/>
        <v>2022</v>
      </c>
      <c r="E1556">
        <v>4.5199999999999996</v>
      </c>
      <c r="F1556">
        <v>4.4081999999999999</v>
      </c>
    </row>
    <row r="1557" spans="1:6" hidden="1" x14ac:dyDescent="0.25">
      <c r="A1557">
        <f t="shared" si="50"/>
        <v>5</v>
      </c>
      <c r="B1557" s="37">
        <v>44656</v>
      </c>
      <c r="C1557" t="s">
        <v>26</v>
      </c>
      <c r="D1557">
        <f t="shared" si="51"/>
        <v>2022</v>
      </c>
      <c r="E1557">
        <v>4.55</v>
      </c>
      <c r="F1557">
        <v>4.4124999999999996</v>
      </c>
    </row>
    <row r="1558" spans="1:6" hidden="1" x14ac:dyDescent="0.25">
      <c r="A1558">
        <f t="shared" si="50"/>
        <v>6</v>
      </c>
      <c r="B1558" s="37">
        <v>44657</v>
      </c>
      <c r="C1558" t="s">
        <v>26</v>
      </c>
      <c r="D1558">
        <f t="shared" si="51"/>
        <v>2022</v>
      </c>
      <c r="E1558">
        <v>4.57</v>
      </c>
      <c r="F1558">
        <v>4.4188000000000001</v>
      </c>
    </row>
    <row r="1559" spans="1:6" hidden="1" x14ac:dyDescent="0.25">
      <c r="A1559">
        <f t="shared" si="50"/>
        <v>7</v>
      </c>
      <c r="B1559" s="37">
        <v>44658</v>
      </c>
      <c r="C1559" t="s">
        <v>26</v>
      </c>
      <c r="D1559">
        <f t="shared" si="51"/>
        <v>2022</v>
      </c>
      <c r="E1559">
        <v>4.59</v>
      </c>
      <c r="F1559">
        <v>4.4123999999999999</v>
      </c>
    </row>
    <row r="1560" spans="1:6" hidden="1" x14ac:dyDescent="0.25">
      <c r="A1560">
        <f t="shared" si="50"/>
        <v>8</v>
      </c>
      <c r="B1560" s="37">
        <v>44659</v>
      </c>
      <c r="C1560" t="s">
        <v>26</v>
      </c>
      <c r="D1560">
        <f t="shared" si="51"/>
        <v>2022</v>
      </c>
      <c r="E1560">
        <v>4.58</v>
      </c>
      <c r="F1560">
        <v>4.4188999999999998</v>
      </c>
    </row>
    <row r="1561" spans="1:6" hidden="1" x14ac:dyDescent="0.25">
      <c r="A1561">
        <f t="shared" si="50"/>
        <v>9</v>
      </c>
      <c r="B1561" s="37">
        <v>44660</v>
      </c>
      <c r="C1561" t="s">
        <v>26</v>
      </c>
      <c r="D1561">
        <f t="shared" si="51"/>
        <v>2022</v>
      </c>
      <c r="E1561">
        <v>4.58</v>
      </c>
      <c r="F1561">
        <v>4.4188999999999998</v>
      </c>
    </row>
    <row r="1562" spans="1:6" hidden="1" x14ac:dyDescent="0.25">
      <c r="A1562">
        <f t="shared" si="50"/>
        <v>10</v>
      </c>
      <c r="B1562" s="37">
        <v>44661</v>
      </c>
      <c r="C1562" t="s">
        <v>26</v>
      </c>
      <c r="D1562">
        <f t="shared" si="51"/>
        <v>2022</v>
      </c>
      <c r="E1562">
        <v>4.58</v>
      </c>
      <c r="F1562">
        <v>4.4188999999999998</v>
      </c>
    </row>
    <row r="1563" spans="1:6" hidden="1" x14ac:dyDescent="0.25">
      <c r="A1563">
        <f t="shared" si="50"/>
        <v>11</v>
      </c>
      <c r="B1563" s="37">
        <v>44662</v>
      </c>
      <c r="C1563" t="s">
        <v>26</v>
      </c>
      <c r="D1563">
        <f t="shared" si="51"/>
        <v>2022</v>
      </c>
      <c r="E1563">
        <v>4.59</v>
      </c>
      <c r="F1563">
        <v>4.4222000000000001</v>
      </c>
    </row>
    <row r="1564" spans="1:6" hidden="1" x14ac:dyDescent="0.25">
      <c r="A1564">
        <f t="shared" si="50"/>
        <v>12</v>
      </c>
      <c r="B1564" s="37">
        <v>44663</v>
      </c>
      <c r="C1564" t="s">
        <v>26</v>
      </c>
      <c r="D1564">
        <f t="shared" si="51"/>
        <v>2022</v>
      </c>
      <c r="E1564">
        <v>4.62</v>
      </c>
      <c r="F1564">
        <v>4.4248000000000003</v>
      </c>
    </row>
    <row r="1565" spans="1:6" hidden="1" x14ac:dyDescent="0.25">
      <c r="A1565">
        <f t="shared" si="50"/>
        <v>13</v>
      </c>
      <c r="B1565" s="37">
        <v>44664</v>
      </c>
      <c r="C1565" t="s">
        <v>26</v>
      </c>
      <c r="D1565">
        <f t="shared" si="51"/>
        <v>2022</v>
      </c>
      <c r="E1565">
        <v>4.63</v>
      </c>
      <c r="F1565">
        <v>4.4348999999999998</v>
      </c>
    </row>
    <row r="1566" spans="1:6" hidden="1" x14ac:dyDescent="0.25">
      <c r="A1566">
        <f t="shared" si="50"/>
        <v>14</v>
      </c>
      <c r="B1566" s="37">
        <v>44665</v>
      </c>
      <c r="C1566" t="s">
        <v>26</v>
      </c>
      <c r="D1566">
        <f t="shared" si="51"/>
        <v>2022</v>
      </c>
      <c r="E1566">
        <v>4.6399999999999997</v>
      </c>
      <c r="F1566">
        <v>4.4348999999999998</v>
      </c>
    </row>
    <row r="1567" spans="1:6" hidden="1" x14ac:dyDescent="0.25">
      <c r="A1567">
        <f t="shared" si="50"/>
        <v>15</v>
      </c>
      <c r="B1567" s="37">
        <v>44666</v>
      </c>
      <c r="C1567" t="s">
        <v>26</v>
      </c>
      <c r="D1567">
        <f t="shared" si="51"/>
        <v>2022</v>
      </c>
      <c r="E1567">
        <v>4.6399999999999997</v>
      </c>
      <c r="F1567">
        <v>4.4348999999999998</v>
      </c>
    </row>
    <row r="1568" spans="1:6" hidden="1" x14ac:dyDescent="0.25">
      <c r="A1568">
        <f t="shared" si="50"/>
        <v>16</v>
      </c>
      <c r="B1568" s="37">
        <v>44667</v>
      </c>
      <c r="C1568" t="s">
        <v>26</v>
      </c>
      <c r="D1568">
        <f t="shared" si="51"/>
        <v>2022</v>
      </c>
      <c r="E1568">
        <v>4.6399999999999997</v>
      </c>
      <c r="F1568">
        <v>4.4348999999999998</v>
      </c>
    </row>
    <row r="1569" spans="1:6" hidden="1" x14ac:dyDescent="0.25">
      <c r="A1569">
        <f t="shared" si="50"/>
        <v>17</v>
      </c>
      <c r="B1569" s="37">
        <v>44668</v>
      </c>
      <c r="C1569" t="s">
        <v>26</v>
      </c>
      <c r="D1569">
        <f t="shared" si="51"/>
        <v>2022</v>
      </c>
      <c r="E1569">
        <v>4.6399999999999997</v>
      </c>
      <c r="F1569">
        <v>4.4348999999999998</v>
      </c>
    </row>
    <row r="1570" spans="1:6" hidden="1" x14ac:dyDescent="0.25">
      <c r="A1570">
        <f t="shared" si="50"/>
        <v>18</v>
      </c>
      <c r="B1570" s="37">
        <v>44669</v>
      </c>
      <c r="C1570" t="s">
        <v>26</v>
      </c>
      <c r="D1570">
        <f t="shared" si="51"/>
        <v>2022</v>
      </c>
      <c r="E1570">
        <v>4.63</v>
      </c>
      <c r="F1570">
        <v>4.4374000000000002</v>
      </c>
    </row>
    <row r="1571" spans="1:6" hidden="1" x14ac:dyDescent="0.25">
      <c r="A1571">
        <f t="shared" si="50"/>
        <v>19</v>
      </c>
      <c r="B1571" s="37">
        <v>44670</v>
      </c>
      <c r="C1571" t="s">
        <v>26</v>
      </c>
      <c r="D1571">
        <f t="shared" si="51"/>
        <v>2022</v>
      </c>
      <c r="E1571">
        <v>4.6500000000000004</v>
      </c>
      <c r="F1571">
        <v>4.4374000000000002</v>
      </c>
    </row>
    <row r="1572" spans="1:6" hidden="1" x14ac:dyDescent="0.25">
      <c r="A1572">
        <f t="shared" si="50"/>
        <v>20</v>
      </c>
      <c r="B1572" s="37">
        <v>44671</v>
      </c>
      <c r="C1572" t="s">
        <v>26</v>
      </c>
      <c r="D1572">
        <f t="shared" si="51"/>
        <v>2022</v>
      </c>
      <c r="E1572">
        <v>4.62</v>
      </c>
      <c r="F1572">
        <v>4.4442000000000004</v>
      </c>
    </row>
    <row r="1573" spans="1:6" hidden="1" x14ac:dyDescent="0.25">
      <c r="A1573">
        <f t="shared" si="50"/>
        <v>21</v>
      </c>
      <c r="B1573" s="37">
        <v>44672</v>
      </c>
      <c r="C1573" t="s">
        <v>26</v>
      </c>
      <c r="D1573">
        <f t="shared" si="51"/>
        <v>2022</v>
      </c>
      <c r="E1573">
        <v>4.63</v>
      </c>
      <c r="F1573">
        <v>4.4448999999999996</v>
      </c>
    </row>
    <row r="1574" spans="1:6" hidden="1" x14ac:dyDescent="0.25">
      <c r="A1574">
        <f t="shared" si="50"/>
        <v>22</v>
      </c>
      <c r="B1574" s="37">
        <v>44673</v>
      </c>
      <c r="C1574" t="s">
        <v>26</v>
      </c>
      <c r="D1574">
        <f t="shared" si="51"/>
        <v>2022</v>
      </c>
      <c r="E1574">
        <v>4.6500000000000004</v>
      </c>
      <c r="F1574">
        <v>4.4378000000000002</v>
      </c>
    </row>
    <row r="1575" spans="1:6" hidden="1" x14ac:dyDescent="0.25">
      <c r="A1575">
        <f t="shared" si="50"/>
        <v>23</v>
      </c>
      <c r="B1575" s="37">
        <v>44674</v>
      </c>
      <c r="C1575" t="s">
        <v>26</v>
      </c>
      <c r="D1575">
        <f t="shared" si="51"/>
        <v>2022</v>
      </c>
      <c r="E1575">
        <v>4.67</v>
      </c>
      <c r="F1575">
        <v>4.4378000000000002</v>
      </c>
    </row>
    <row r="1576" spans="1:6" hidden="1" x14ac:dyDescent="0.25">
      <c r="A1576">
        <f t="shared" si="50"/>
        <v>24</v>
      </c>
      <c r="B1576" s="37">
        <v>44675</v>
      </c>
      <c r="C1576" t="s">
        <v>26</v>
      </c>
      <c r="D1576">
        <f t="shared" si="51"/>
        <v>2022</v>
      </c>
      <c r="E1576">
        <v>4.6399999999999997</v>
      </c>
      <c r="F1576">
        <v>4.4378000000000002</v>
      </c>
    </row>
    <row r="1577" spans="1:6" hidden="1" x14ac:dyDescent="0.25">
      <c r="A1577">
        <f t="shared" si="50"/>
        <v>25</v>
      </c>
      <c r="B1577" s="37">
        <v>44676</v>
      </c>
      <c r="C1577" t="s">
        <v>26</v>
      </c>
      <c r="D1577">
        <f t="shared" si="51"/>
        <v>2022</v>
      </c>
      <c r="E1577">
        <v>4.67</v>
      </c>
      <c r="F1577">
        <v>4.4375</v>
      </c>
    </row>
    <row r="1578" spans="1:6" hidden="1" x14ac:dyDescent="0.25">
      <c r="A1578">
        <f t="shared" si="50"/>
        <v>26</v>
      </c>
      <c r="B1578" s="37">
        <v>44677</v>
      </c>
      <c r="C1578" t="s">
        <v>26</v>
      </c>
      <c r="D1578">
        <f t="shared" si="51"/>
        <v>2022</v>
      </c>
      <c r="E1578">
        <v>4.6900000000000004</v>
      </c>
      <c r="F1578">
        <v>4.4389000000000003</v>
      </c>
    </row>
    <row r="1579" spans="1:6" hidden="1" x14ac:dyDescent="0.25">
      <c r="A1579">
        <f t="shared" si="50"/>
        <v>27</v>
      </c>
      <c r="B1579" s="37">
        <v>44678</v>
      </c>
      <c r="C1579" t="s">
        <v>26</v>
      </c>
      <c r="D1579">
        <f t="shared" si="51"/>
        <v>2022</v>
      </c>
      <c r="E1579">
        <v>4.72</v>
      </c>
      <c r="F1579">
        <v>4.4489999999999998</v>
      </c>
    </row>
    <row r="1580" spans="1:6" hidden="1" x14ac:dyDescent="0.25">
      <c r="A1580">
        <f t="shared" si="50"/>
        <v>28</v>
      </c>
      <c r="B1580" s="37">
        <v>44679</v>
      </c>
      <c r="C1580" t="s">
        <v>26</v>
      </c>
      <c r="D1580">
        <f t="shared" si="51"/>
        <v>2022</v>
      </c>
      <c r="E1580">
        <v>4.7300000000000004</v>
      </c>
      <c r="F1580">
        <v>4.4664000000000001</v>
      </c>
    </row>
    <row r="1581" spans="1:6" hidden="1" x14ac:dyDescent="0.25">
      <c r="A1581">
        <f t="shared" si="50"/>
        <v>29</v>
      </c>
      <c r="B1581" s="37">
        <v>44680</v>
      </c>
      <c r="C1581" t="s">
        <v>26</v>
      </c>
      <c r="D1581">
        <f t="shared" si="51"/>
        <v>2022</v>
      </c>
      <c r="E1581">
        <v>4.74</v>
      </c>
      <c r="F1581">
        <v>4.4866999999999999</v>
      </c>
    </row>
    <row r="1582" spans="1:6" hidden="1" x14ac:dyDescent="0.25">
      <c r="A1582">
        <f t="shared" si="50"/>
        <v>30</v>
      </c>
      <c r="B1582" s="37">
        <v>44681</v>
      </c>
      <c r="C1582" t="s">
        <v>26</v>
      </c>
      <c r="D1582">
        <f t="shared" si="51"/>
        <v>2022</v>
      </c>
      <c r="E1582">
        <v>4.75</v>
      </c>
      <c r="F1582">
        <v>4.4866999999999999</v>
      </c>
    </row>
    <row r="1583" spans="1:6" hidden="1" x14ac:dyDescent="0.25">
      <c r="A1583">
        <f t="shared" si="50"/>
        <v>1</v>
      </c>
      <c r="B1583" s="37">
        <v>44682</v>
      </c>
      <c r="C1583" t="s">
        <v>27</v>
      </c>
      <c r="D1583">
        <f t="shared" si="51"/>
        <v>2022</v>
      </c>
      <c r="E1583">
        <v>4.75</v>
      </c>
      <c r="F1583">
        <v>4.4965000000000002</v>
      </c>
    </row>
    <row r="1584" spans="1:6" hidden="1" x14ac:dyDescent="0.25">
      <c r="A1584">
        <f t="shared" si="50"/>
        <v>2</v>
      </c>
      <c r="B1584" s="37">
        <v>44683</v>
      </c>
      <c r="C1584" t="s">
        <v>27</v>
      </c>
      <c r="D1584">
        <f t="shared" si="51"/>
        <v>2022</v>
      </c>
      <c r="E1584">
        <v>4.76</v>
      </c>
      <c r="F1584">
        <v>4.4965000000000002</v>
      </c>
    </row>
    <row r="1585" spans="1:6" hidden="1" x14ac:dyDescent="0.25">
      <c r="A1585">
        <f t="shared" si="50"/>
        <v>3</v>
      </c>
      <c r="B1585" s="37">
        <v>44684</v>
      </c>
      <c r="C1585" t="s">
        <v>27</v>
      </c>
      <c r="D1585">
        <f t="shared" si="51"/>
        <v>2022</v>
      </c>
      <c r="E1585">
        <v>4.8</v>
      </c>
      <c r="F1585">
        <v>4.5071000000000003</v>
      </c>
    </row>
    <row r="1586" spans="1:6" hidden="1" x14ac:dyDescent="0.25">
      <c r="A1586">
        <f t="shared" si="50"/>
        <v>4</v>
      </c>
      <c r="B1586" s="37">
        <v>44685</v>
      </c>
      <c r="C1586" t="s">
        <v>27</v>
      </c>
      <c r="D1586">
        <f t="shared" si="51"/>
        <v>2022</v>
      </c>
      <c r="E1586">
        <v>4.8600000000000003</v>
      </c>
      <c r="F1586">
        <v>4.5227000000000004</v>
      </c>
    </row>
    <row r="1587" spans="1:6" hidden="1" x14ac:dyDescent="0.25">
      <c r="A1587">
        <f t="shared" si="50"/>
        <v>5</v>
      </c>
      <c r="B1587" s="37">
        <v>44686</v>
      </c>
      <c r="C1587" t="s">
        <v>27</v>
      </c>
      <c r="D1587">
        <f t="shared" si="51"/>
        <v>2022</v>
      </c>
      <c r="E1587">
        <v>4.92</v>
      </c>
      <c r="F1587">
        <v>4.5472999999999999</v>
      </c>
    </row>
    <row r="1588" spans="1:6" hidden="1" x14ac:dyDescent="0.25">
      <c r="A1588">
        <f t="shared" si="50"/>
        <v>6</v>
      </c>
      <c r="B1588" s="37">
        <v>44687</v>
      </c>
      <c r="C1588" t="s">
        <v>27</v>
      </c>
      <c r="D1588">
        <f t="shared" si="51"/>
        <v>2022</v>
      </c>
      <c r="E1588">
        <v>4.93</v>
      </c>
      <c r="F1588">
        <v>4.5605000000000002</v>
      </c>
    </row>
    <row r="1589" spans="1:6" hidden="1" x14ac:dyDescent="0.25">
      <c r="A1589">
        <f t="shared" si="50"/>
        <v>7</v>
      </c>
      <c r="B1589" s="37">
        <v>44688</v>
      </c>
      <c r="C1589" t="s">
        <v>27</v>
      </c>
      <c r="D1589">
        <f t="shared" si="51"/>
        <v>2022</v>
      </c>
      <c r="E1589">
        <v>4.95</v>
      </c>
      <c r="F1589">
        <v>4.5605000000000002</v>
      </c>
    </row>
    <row r="1590" spans="1:6" hidden="1" x14ac:dyDescent="0.25">
      <c r="A1590">
        <f t="shared" si="50"/>
        <v>8</v>
      </c>
      <c r="B1590" s="37">
        <v>44689</v>
      </c>
      <c r="C1590" t="s">
        <v>27</v>
      </c>
      <c r="D1590">
        <f t="shared" si="51"/>
        <v>2022</v>
      </c>
      <c r="E1590">
        <v>4.95</v>
      </c>
      <c r="F1590">
        <v>4.5605000000000002</v>
      </c>
    </row>
    <row r="1591" spans="1:6" hidden="1" x14ac:dyDescent="0.25">
      <c r="A1591">
        <f t="shared" si="50"/>
        <v>9</v>
      </c>
      <c r="B1591" s="37">
        <v>44690</v>
      </c>
      <c r="C1591" t="s">
        <v>27</v>
      </c>
      <c r="D1591">
        <f t="shared" si="51"/>
        <v>2022</v>
      </c>
      <c r="E1591">
        <v>4.93</v>
      </c>
      <c r="F1591">
        <v>4.5762999999999998</v>
      </c>
    </row>
    <row r="1592" spans="1:6" hidden="1" x14ac:dyDescent="0.25">
      <c r="A1592">
        <f t="shared" ref="A1592:A1655" si="52">DAY(B1592)</f>
        <v>10</v>
      </c>
      <c r="B1592" s="37">
        <v>44691</v>
      </c>
      <c r="C1592" t="s">
        <v>27</v>
      </c>
      <c r="D1592">
        <f t="shared" ref="D1592:D1655" si="53">YEAR(B1592)</f>
        <v>2022</v>
      </c>
      <c r="E1592">
        <v>4.93</v>
      </c>
      <c r="F1592">
        <v>4.5842000000000001</v>
      </c>
    </row>
    <row r="1593" spans="1:6" hidden="1" x14ac:dyDescent="0.25">
      <c r="A1593">
        <f t="shared" si="52"/>
        <v>11</v>
      </c>
      <c r="B1593" s="37">
        <v>44692</v>
      </c>
      <c r="C1593" t="s">
        <v>27</v>
      </c>
      <c r="D1593">
        <f t="shared" si="53"/>
        <v>2022</v>
      </c>
      <c r="E1593">
        <v>5.05</v>
      </c>
      <c r="F1593">
        <v>4.6067999999999998</v>
      </c>
    </row>
    <row r="1594" spans="1:6" hidden="1" x14ac:dyDescent="0.25">
      <c r="A1594">
        <f t="shared" si="52"/>
        <v>12</v>
      </c>
      <c r="B1594" s="37">
        <v>44693</v>
      </c>
      <c r="C1594" t="s">
        <v>27</v>
      </c>
      <c r="D1594">
        <f t="shared" si="53"/>
        <v>2022</v>
      </c>
      <c r="E1594">
        <v>5.15</v>
      </c>
      <c r="F1594">
        <v>4.6432000000000002</v>
      </c>
    </row>
    <row r="1595" spans="1:6" hidden="1" x14ac:dyDescent="0.25">
      <c r="A1595">
        <f t="shared" si="52"/>
        <v>13</v>
      </c>
      <c r="B1595" s="37">
        <v>44694</v>
      </c>
      <c r="C1595" t="s">
        <v>27</v>
      </c>
      <c r="D1595">
        <f t="shared" si="53"/>
        <v>2022</v>
      </c>
      <c r="E1595">
        <v>5.33</v>
      </c>
      <c r="F1595">
        <v>4.718</v>
      </c>
    </row>
    <row r="1596" spans="1:6" hidden="1" x14ac:dyDescent="0.25">
      <c r="A1596">
        <f t="shared" si="52"/>
        <v>14</v>
      </c>
      <c r="B1596" s="37">
        <v>44695</v>
      </c>
      <c r="C1596" t="s">
        <v>27</v>
      </c>
      <c r="D1596">
        <f t="shared" si="53"/>
        <v>2022</v>
      </c>
      <c r="E1596">
        <v>5.36</v>
      </c>
      <c r="F1596">
        <v>4.718</v>
      </c>
    </row>
    <row r="1597" spans="1:6" hidden="1" x14ac:dyDescent="0.25">
      <c r="A1597">
        <f t="shared" si="52"/>
        <v>15</v>
      </c>
      <c r="B1597" s="37">
        <v>44696</v>
      </c>
      <c r="C1597" t="s">
        <v>27</v>
      </c>
      <c r="D1597">
        <f t="shared" si="53"/>
        <v>2022</v>
      </c>
      <c r="E1597">
        <v>5.36</v>
      </c>
      <c r="F1597">
        <v>4.718</v>
      </c>
    </row>
    <row r="1598" spans="1:6" hidden="1" x14ac:dyDescent="0.25">
      <c r="A1598">
        <f t="shared" si="52"/>
        <v>16</v>
      </c>
      <c r="B1598" s="37">
        <v>44697</v>
      </c>
      <c r="C1598" t="s">
        <v>27</v>
      </c>
      <c r="D1598">
        <f t="shared" si="53"/>
        <v>2022</v>
      </c>
      <c r="E1598">
        <v>5.3</v>
      </c>
      <c r="F1598">
        <v>4.7705000000000002</v>
      </c>
    </row>
    <row r="1599" spans="1:6" hidden="1" x14ac:dyDescent="0.25">
      <c r="A1599">
        <f t="shared" si="52"/>
        <v>17</v>
      </c>
      <c r="B1599" s="37">
        <v>44698</v>
      </c>
      <c r="C1599" t="s">
        <v>27</v>
      </c>
      <c r="D1599">
        <f t="shared" si="53"/>
        <v>2022</v>
      </c>
      <c r="E1599">
        <v>5.22</v>
      </c>
      <c r="F1599">
        <v>4.7847999999999997</v>
      </c>
    </row>
    <row r="1600" spans="1:6" hidden="1" x14ac:dyDescent="0.25">
      <c r="A1600">
        <f t="shared" si="52"/>
        <v>18</v>
      </c>
      <c r="B1600" s="37">
        <v>44699</v>
      </c>
      <c r="C1600" t="s">
        <v>27</v>
      </c>
      <c r="D1600">
        <f t="shared" si="53"/>
        <v>2022</v>
      </c>
      <c r="E1600">
        <v>5.21</v>
      </c>
      <c r="F1600">
        <v>4.8048000000000002</v>
      </c>
    </row>
    <row r="1601" spans="1:6" hidden="1" x14ac:dyDescent="0.25">
      <c r="A1601">
        <f t="shared" si="52"/>
        <v>19</v>
      </c>
      <c r="B1601" s="37">
        <v>44700</v>
      </c>
      <c r="C1601" t="s">
        <v>27</v>
      </c>
      <c r="D1601">
        <f t="shared" si="53"/>
        <v>2022</v>
      </c>
      <c r="E1601">
        <v>5.23</v>
      </c>
      <c r="F1601">
        <v>4.8316999999999997</v>
      </c>
    </row>
    <row r="1602" spans="1:6" hidden="1" x14ac:dyDescent="0.25">
      <c r="A1602">
        <f t="shared" si="52"/>
        <v>20</v>
      </c>
      <c r="B1602" s="37">
        <v>44701</v>
      </c>
      <c r="C1602" t="s">
        <v>27</v>
      </c>
      <c r="D1602">
        <f t="shared" si="53"/>
        <v>2022</v>
      </c>
      <c r="E1602">
        <v>5.26</v>
      </c>
      <c r="F1602">
        <v>4.8952</v>
      </c>
    </row>
    <row r="1603" spans="1:6" hidden="1" x14ac:dyDescent="0.25">
      <c r="A1603">
        <f t="shared" si="52"/>
        <v>21</v>
      </c>
      <c r="B1603" s="37">
        <v>44702</v>
      </c>
      <c r="C1603" t="s">
        <v>27</v>
      </c>
      <c r="D1603">
        <f t="shared" si="53"/>
        <v>2022</v>
      </c>
      <c r="E1603">
        <v>5.26</v>
      </c>
      <c r="F1603">
        <v>4.8952</v>
      </c>
    </row>
    <row r="1604" spans="1:6" hidden="1" x14ac:dyDescent="0.25">
      <c r="A1604">
        <f t="shared" si="52"/>
        <v>22</v>
      </c>
      <c r="B1604" s="37">
        <v>44703</v>
      </c>
      <c r="C1604" t="s">
        <v>27</v>
      </c>
      <c r="D1604">
        <f t="shared" si="53"/>
        <v>2022</v>
      </c>
      <c r="E1604">
        <v>5.26</v>
      </c>
      <c r="F1604">
        <v>4.8952</v>
      </c>
    </row>
    <row r="1605" spans="1:6" hidden="1" x14ac:dyDescent="0.25">
      <c r="A1605">
        <f t="shared" si="52"/>
        <v>23</v>
      </c>
      <c r="B1605" s="37">
        <v>44704</v>
      </c>
      <c r="C1605" t="s">
        <v>27</v>
      </c>
      <c r="D1605">
        <f t="shared" si="53"/>
        <v>2022</v>
      </c>
      <c r="E1605">
        <v>5.22</v>
      </c>
      <c r="F1605">
        <v>4.9452999999999996</v>
      </c>
    </row>
    <row r="1606" spans="1:6" hidden="1" x14ac:dyDescent="0.25">
      <c r="A1606">
        <f t="shared" si="52"/>
        <v>24</v>
      </c>
      <c r="B1606" s="37">
        <v>44705</v>
      </c>
      <c r="C1606" t="s">
        <v>27</v>
      </c>
      <c r="D1606">
        <f t="shared" si="53"/>
        <v>2022</v>
      </c>
      <c r="E1606">
        <v>5.25</v>
      </c>
      <c r="F1606">
        <v>4.9367999999999999</v>
      </c>
    </row>
    <row r="1607" spans="1:6" hidden="1" x14ac:dyDescent="0.25">
      <c r="A1607">
        <f t="shared" si="52"/>
        <v>25</v>
      </c>
      <c r="B1607" s="37">
        <v>44706</v>
      </c>
      <c r="C1607" t="s">
        <v>27</v>
      </c>
      <c r="D1607">
        <f t="shared" si="53"/>
        <v>2022</v>
      </c>
      <c r="E1607">
        <v>5.29</v>
      </c>
      <c r="F1607">
        <v>4.9584999999999999</v>
      </c>
    </row>
    <row r="1608" spans="1:6" hidden="1" x14ac:dyDescent="0.25">
      <c r="A1608">
        <f t="shared" si="52"/>
        <v>26</v>
      </c>
      <c r="B1608" s="37">
        <v>44707</v>
      </c>
      <c r="C1608" t="s">
        <v>27</v>
      </c>
      <c r="D1608">
        <f t="shared" si="53"/>
        <v>2022</v>
      </c>
      <c r="E1608">
        <v>5.36</v>
      </c>
      <c r="F1608">
        <v>5.0128000000000004</v>
      </c>
    </row>
    <row r="1609" spans="1:6" hidden="1" x14ac:dyDescent="0.25">
      <c r="A1609">
        <f t="shared" si="52"/>
        <v>27</v>
      </c>
      <c r="B1609" s="37">
        <v>44708</v>
      </c>
      <c r="C1609" t="s">
        <v>27</v>
      </c>
      <c r="D1609">
        <f t="shared" si="53"/>
        <v>2022</v>
      </c>
      <c r="E1609">
        <v>5.42</v>
      </c>
      <c r="F1609">
        <v>5.0277000000000003</v>
      </c>
    </row>
    <row r="1610" spans="1:6" hidden="1" x14ac:dyDescent="0.25">
      <c r="A1610">
        <f t="shared" si="52"/>
        <v>28</v>
      </c>
      <c r="B1610" s="37">
        <v>44709</v>
      </c>
      <c r="C1610" t="s">
        <v>27</v>
      </c>
      <c r="D1610">
        <f t="shared" si="53"/>
        <v>2022</v>
      </c>
      <c r="E1610">
        <v>5.44</v>
      </c>
      <c r="F1610">
        <v>5.0277000000000003</v>
      </c>
    </row>
    <row r="1611" spans="1:6" hidden="1" x14ac:dyDescent="0.25">
      <c r="A1611">
        <f t="shared" si="52"/>
        <v>29</v>
      </c>
      <c r="B1611" s="37">
        <v>44710</v>
      </c>
      <c r="C1611" t="s">
        <v>27</v>
      </c>
      <c r="D1611">
        <f t="shared" si="53"/>
        <v>2022</v>
      </c>
      <c r="E1611">
        <v>5.44</v>
      </c>
      <c r="F1611">
        <v>5.0277000000000003</v>
      </c>
    </row>
    <row r="1612" spans="1:6" hidden="1" x14ac:dyDescent="0.25">
      <c r="A1612">
        <f t="shared" si="52"/>
        <v>30</v>
      </c>
      <c r="B1612" s="37">
        <v>44711</v>
      </c>
      <c r="C1612" t="s">
        <v>27</v>
      </c>
      <c r="D1612">
        <f t="shared" si="53"/>
        <v>2022</v>
      </c>
      <c r="E1612">
        <v>5.39</v>
      </c>
      <c r="F1612">
        <v>5.0277000000000003</v>
      </c>
    </row>
    <row r="1613" spans="1:6" hidden="1" x14ac:dyDescent="0.25">
      <c r="A1613">
        <f t="shared" si="52"/>
        <v>31</v>
      </c>
      <c r="B1613" s="37">
        <v>44712</v>
      </c>
      <c r="C1613" t="s">
        <v>27</v>
      </c>
      <c r="D1613">
        <f t="shared" si="53"/>
        <v>2022</v>
      </c>
      <c r="E1613">
        <v>5.32</v>
      </c>
      <c r="F1613">
        <v>5.0667999999999997</v>
      </c>
    </row>
    <row r="1614" spans="1:6" hidden="1" x14ac:dyDescent="0.25">
      <c r="A1614">
        <f t="shared" si="52"/>
        <v>1</v>
      </c>
      <c r="B1614" s="37">
        <v>44713</v>
      </c>
      <c r="C1614" t="s">
        <v>28</v>
      </c>
      <c r="D1614">
        <f t="shared" si="53"/>
        <v>2022</v>
      </c>
      <c r="E1614">
        <v>5.3</v>
      </c>
      <c r="F1614">
        <v>5.0648999999999997</v>
      </c>
    </row>
    <row r="1615" spans="1:6" hidden="1" x14ac:dyDescent="0.25">
      <c r="A1615">
        <f t="shared" si="52"/>
        <v>2</v>
      </c>
      <c r="B1615" s="37">
        <v>44714</v>
      </c>
      <c r="C1615" t="s">
        <v>28</v>
      </c>
      <c r="D1615">
        <f t="shared" si="53"/>
        <v>2022</v>
      </c>
      <c r="E1615">
        <v>5.31</v>
      </c>
      <c r="F1615">
        <v>5.0906000000000002</v>
      </c>
    </row>
    <row r="1616" spans="1:6" hidden="1" x14ac:dyDescent="0.25">
      <c r="A1616">
        <f t="shared" si="52"/>
        <v>3</v>
      </c>
      <c r="B1616" s="37">
        <v>44715</v>
      </c>
      <c r="C1616" t="s">
        <v>28</v>
      </c>
      <c r="D1616">
        <f t="shared" si="53"/>
        <v>2022</v>
      </c>
      <c r="E1616">
        <v>5.36</v>
      </c>
      <c r="F1616">
        <v>5.1208</v>
      </c>
    </row>
    <row r="1617" spans="1:6" hidden="1" x14ac:dyDescent="0.25">
      <c r="A1617">
        <f t="shared" si="52"/>
        <v>4</v>
      </c>
      <c r="B1617" s="37">
        <v>44716</v>
      </c>
      <c r="C1617" t="s">
        <v>28</v>
      </c>
      <c r="D1617">
        <f t="shared" si="53"/>
        <v>2022</v>
      </c>
      <c r="E1617">
        <v>5.4</v>
      </c>
      <c r="F1617">
        <v>5.1208</v>
      </c>
    </row>
    <row r="1618" spans="1:6" hidden="1" x14ac:dyDescent="0.25">
      <c r="A1618">
        <f t="shared" si="52"/>
        <v>5</v>
      </c>
      <c r="B1618" s="37">
        <v>44717</v>
      </c>
      <c r="C1618" t="s">
        <v>28</v>
      </c>
      <c r="D1618">
        <f t="shared" si="53"/>
        <v>2022</v>
      </c>
      <c r="E1618">
        <v>5.4</v>
      </c>
      <c r="F1618">
        <v>5.1208</v>
      </c>
    </row>
    <row r="1619" spans="1:6" hidden="1" x14ac:dyDescent="0.25">
      <c r="A1619">
        <f t="shared" si="52"/>
        <v>6</v>
      </c>
      <c r="B1619" s="37">
        <v>44718</v>
      </c>
      <c r="C1619" t="s">
        <v>28</v>
      </c>
      <c r="D1619">
        <f t="shared" si="53"/>
        <v>2022</v>
      </c>
      <c r="E1619">
        <v>5.38</v>
      </c>
      <c r="F1619">
        <v>5.1513</v>
      </c>
    </row>
    <row r="1620" spans="1:6" hidden="1" x14ac:dyDescent="0.25">
      <c r="A1620">
        <f t="shared" si="52"/>
        <v>7</v>
      </c>
      <c r="B1620" s="37">
        <v>44719</v>
      </c>
      <c r="C1620" t="s">
        <v>28</v>
      </c>
      <c r="D1620">
        <f t="shared" si="53"/>
        <v>2022</v>
      </c>
      <c r="E1620">
        <v>5.38</v>
      </c>
      <c r="F1620">
        <v>5.1539000000000001</v>
      </c>
    </row>
    <row r="1621" spans="1:6" hidden="1" x14ac:dyDescent="0.25">
      <c r="A1621">
        <f t="shared" si="52"/>
        <v>8</v>
      </c>
      <c r="B1621" s="37">
        <v>44720</v>
      </c>
      <c r="C1621" t="s">
        <v>28</v>
      </c>
      <c r="D1621">
        <f t="shared" si="53"/>
        <v>2022</v>
      </c>
      <c r="E1621">
        <v>5.45</v>
      </c>
      <c r="F1621">
        <v>5.1611000000000002</v>
      </c>
    </row>
    <row r="1622" spans="1:6" hidden="1" x14ac:dyDescent="0.25">
      <c r="A1622">
        <f t="shared" si="52"/>
        <v>9</v>
      </c>
      <c r="B1622" s="37">
        <v>44721</v>
      </c>
      <c r="C1622" t="s">
        <v>28</v>
      </c>
      <c r="D1622">
        <f t="shared" si="53"/>
        <v>2022</v>
      </c>
      <c r="E1622">
        <v>5.49</v>
      </c>
      <c r="F1622">
        <v>5.1980000000000004</v>
      </c>
    </row>
    <row r="1623" spans="1:6" hidden="1" x14ac:dyDescent="0.25">
      <c r="A1623">
        <f t="shared" si="52"/>
        <v>10</v>
      </c>
      <c r="B1623" s="37">
        <v>44722</v>
      </c>
      <c r="C1623" t="s">
        <v>28</v>
      </c>
      <c r="D1623">
        <f t="shared" si="53"/>
        <v>2022</v>
      </c>
      <c r="E1623">
        <v>5.54</v>
      </c>
      <c r="F1623">
        <v>5.2534000000000001</v>
      </c>
    </row>
    <row r="1624" spans="1:6" hidden="1" x14ac:dyDescent="0.25">
      <c r="A1624">
        <f t="shared" si="52"/>
        <v>11</v>
      </c>
      <c r="B1624" s="37">
        <v>44723</v>
      </c>
      <c r="C1624" t="s">
        <v>28</v>
      </c>
      <c r="D1624">
        <f t="shared" si="53"/>
        <v>2022</v>
      </c>
      <c r="E1624">
        <v>5.6</v>
      </c>
      <c r="F1624">
        <v>5.2534000000000001</v>
      </c>
    </row>
    <row r="1625" spans="1:6" hidden="1" x14ac:dyDescent="0.25">
      <c r="A1625">
        <f t="shared" si="52"/>
        <v>12</v>
      </c>
      <c r="B1625" s="37">
        <v>44724</v>
      </c>
      <c r="C1625" t="s">
        <v>28</v>
      </c>
      <c r="D1625">
        <f t="shared" si="53"/>
        <v>2022</v>
      </c>
      <c r="E1625">
        <v>5.6</v>
      </c>
      <c r="F1625">
        <v>5.2534000000000001</v>
      </c>
    </row>
    <row r="1626" spans="1:6" hidden="1" x14ac:dyDescent="0.25">
      <c r="A1626">
        <f t="shared" si="52"/>
        <v>13</v>
      </c>
      <c r="B1626" s="37">
        <v>44725</v>
      </c>
      <c r="C1626" t="s">
        <v>28</v>
      </c>
      <c r="D1626">
        <f t="shared" si="53"/>
        <v>2022</v>
      </c>
      <c r="E1626">
        <v>5.65</v>
      </c>
      <c r="F1626">
        <v>5.2534000000000001</v>
      </c>
    </row>
    <row r="1627" spans="1:6" hidden="1" x14ac:dyDescent="0.25">
      <c r="A1627">
        <f t="shared" si="52"/>
        <v>14</v>
      </c>
      <c r="B1627" s="37">
        <v>44726</v>
      </c>
      <c r="C1627" t="s">
        <v>28</v>
      </c>
      <c r="D1627">
        <f t="shared" si="53"/>
        <v>2022</v>
      </c>
      <c r="E1627">
        <v>5.7</v>
      </c>
      <c r="F1627">
        <v>5.3106</v>
      </c>
    </row>
    <row r="1628" spans="1:6" hidden="1" x14ac:dyDescent="0.25">
      <c r="A1628">
        <f t="shared" si="52"/>
        <v>15</v>
      </c>
      <c r="B1628" s="37">
        <v>44727</v>
      </c>
      <c r="C1628" t="s">
        <v>28</v>
      </c>
      <c r="D1628">
        <f t="shared" si="53"/>
        <v>2022</v>
      </c>
      <c r="E1628">
        <v>5.67</v>
      </c>
      <c r="F1628">
        <v>5.3109999999999999</v>
      </c>
    </row>
    <row r="1629" spans="1:6" hidden="1" x14ac:dyDescent="0.25">
      <c r="A1629">
        <f t="shared" si="52"/>
        <v>16</v>
      </c>
      <c r="B1629" s="37">
        <v>44728</v>
      </c>
      <c r="C1629" t="s">
        <v>28</v>
      </c>
      <c r="D1629">
        <f t="shared" si="53"/>
        <v>2022</v>
      </c>
      <c r="E1629">
        <v>5.73</v>
      </c>
      <c r="F1629">
        <v>5.3642000000000003</v>
      </c>
    </row>
    <row r="1630" spans="1:6" hidden="1" x14ac:dyDescent="0.25">
      <c r="A1630">
        <f t="shared" si="52"/>
        <v>17</v>
      </c>
      <c r="B1630" s="37">
        <v>44729</v>
      </c>
      <c r="C1630" t="s">
        <v>28</v>
      </c>
      <c r="D1630">
        <f t="shared" si="53"/>
        <v>2022</v>
      </c>
      <c r="E1630">
        <v>5.72</v>
      </c>
      <c r="F1630">
        <v>5.4208999999999996</v>
      </c>
    </row>
    <row r="1631" spans="1:6" hidden="1" x14ac:dyDescent="0.25">
      <c r="A1631">
        <f t="shared" si="52"/>
        <v>18</v>
      </c>
      <c r="B1631" s="37">
        <v>44730</v>
      </c>
      <c r="C1631" t="s">
        <v>28</v>
      </c>
      <c r="D1631">
        <f t="shared" si="53"/>
        <v>2022</v>
      </c>
      <c r="E1631">
        <v>5.69</v>
      </c>
      <c r="F1631">
        <v>5.4208999999999996</v>
      </c>
    </row>
    <row r="1632" spans="1:6" hidden="1" x14ac:dyDescent="0.25">
      <c r="A1632">
        <f t="shared" si="52"/>
        <v>19</v>
      </c>
      <c r="B1632" s="37">
        <v>44731</v>
      </c>
      <c r="C1632" t="s">
        <v>28</v>
      </c>
      <c r="D1632">
        <f t="shared" si="53"/>
        <v>2022</v>
      </c>
      <c r="E1632">
        <v>5.69</v>
      </c>
      <c r="F1632">
        <v>5.4208999999999996</v>
      </c>
    </row>
    <row r="1633" spans="1:6" hidden="1" x14ac:dyDescent="0.25">
      <c r="A1633">
        <f t="shared" si="52"/>
        <v>20</v>
      </c>
      <c r="B1633" s="37">
        <v>44732</v>
      </c>
      <c r="C1633" t="s">
        <v>28</v>
      </c>
      <c r="D1633">
        <f t="shared" si="53"/>
        <v>2022</v>
      </c>
      <c r="E1633">
        <v>5.69</v>
      </c>
      <c r="F1633">
        <v>5.4208999999999996</v>
      </c>
    </row>
    <row r="1634" spans="1:6" hidden="1" x14ac:dyDescent="0.25">
      <c r="A1634">
        <f t="shared" si="52"/>
        <v>21</v>
      </c>
      <c r="B1634" s="37">
        <v>44733</v>
      </c>
      <c r="C1634" t="s">
        <v>28</v>
      </c>
      <c r="D1634">
        <f t="shared" si="53"/>
        <v>2022</v>
      </c>
      <c r="E1634">
        <v>5.7</v>
      </c>
      <c r="F1634">
        <v>5.4663000000000004</v>
      </c>
    </row>
    <row r="1635" spans="1:6" hidden="1" x14ac:dyDescent="0.25">
      <c r="A1635">
        <f t="shared" si="52"/>
        <v>22</v>
      </c>
      <c r="B1635" s="37">
        <v>44734</v>
      </c>
      <c r="C1635" t="s">
        <v>28</v>
      </c>
      <c r="D1635">
        <f t="shared" si="53"/>
        <v>2022</v>
      </c>
      <c r="E1635">
        <v>5.74</v>
      </c>
      <c r="F1635">
        <v>5.4572000000000003</v>
      </c>
    </row>
    <row r="1636" spans="1:6" hidden="1" x14ac:dyDescent="0.25">
      <c r="A1636">
        <f t="shared" si="52"/>
        <v>23</v>
      </c>
      <c r="B1636" s="37">
        <v>44735</v>
      </c>
      <c r="C1636" t="s">
        <v>28</v>
      </c>
      <c r="D1636">
        <f t="shared" si="53"/>
        <v>2022</v>
      </c>
      <c r="E1636">
        <v>5.77</v>
      </c>
      <c r="F1636">
        <v>5.4701000000000004</v>
      </c>
    </row>
    <row r="1637" spans="1:6" hidden="1" x14ac:dyDescent="0.25">
      <c r="A1637">
        <f t="shared" si="52"/>
        <v>24</v>
      </c>
      <c r="B1637" s="37">
        <v>44736</v>
      </c>
      <c r="C1637" t="s">
        <v>28</v>
      </c>
      <c r="D1637">
        <f t="shared" si="53"/>
        <v>2022</v>
      </c>
      <c r="E1637">
        <v>5.82</v>
      </c>
      <c r="F1637">
        <v>5.4701000000000004</v>
      </c>
    </row>
    <row r="1638" spans="1:6" hidden="1" x14ac:dyDescent="0.25">
      <c r="A1638">
        <f t="shared" si="52"/>
        <v>25</v>
      </c>
      <c r="B1638" s="37">
        <v>44737</v>
      </c>
      <c r="C1638" t="s">
        <v>28</v>
      </c>
      <c r="D1638">
        <f t="shared" si="53"/>
        <v>2022</v>
      </c>
      <c r="E1638">
        <v>5.89</v>
      </c>
      <c r="F1638">
        <v>5.4701000000000004</v>
      </c>
    </row>
    <row r="1639" spans="1:6" hidden="1" x14ac:dyDescent="0.25">
      <c r="A1639">
        <f t="shared" si="52"/>
        <v>26</v>
      </c>
      <c r="B1639" s="37">
        <v>44738</v>
      </c>
      <c r="C1639" t="s">
        <v>28</v>
      </c>
      <c r="D1639">
        <f t="shared" si="53"/>
        <v>2022</v>
      </c>
      <c r="E1639">
        <v>5.89</v>
      </c>
      <c r="F1639">
        <v>5.4701000000000004</v>
      </c>
    </row>
    <row r="1640" spans="1:6" hidden="1" x14ac:dyDescent="0.25">
      <c r="A1640">
        <f t="shared" si="52"/>
        <v>27</v>
      </c>
      <c r="B1640" s="37">
        <v>44739</v>
      </c>
      <c r="C1640" t="s">
        <v>28</v>
      </c>
      <c r="D1640">
        <f t="shared" si="53"/>
        <v>2022</v>
      </c>
      <c r="E1640">
        <v>5.86</v>
      </c>
      <c r="F1640">
        <v>5.5076999999999998</v>
      </c>
    </row>
    <row r="1641" spans="1:6" hidden="1" x14ac:dyDescent="0.25">
      <c r="A1641">
        <f t="shared" si="52"/>
        <v>28</v>
      </c>
      <c r="B1641" s="37">
        <v>44740</v>
      </c>
      <c r="C1641" t="s">
        <v>28</v>
      </c>
      <c r="D1641">
        <f t="shared" si="53"/>
        <v>2022</v>
      </c>
      <c r="E1641">
        <v>5.83</v>
      </c>
      <c r="F1641">
        <v>5.4783999999999997</v>
      </c>
    </row>
    <row r="1642" spans="1:6" hidden="1" x14ac:dyDescent="0.25">
      <c r="A1642">
        <f t="shared" si="52"/>
        <v>29</v>
      </c>
      <c r="B1642" s="37">
        <v>44741</v>
      </c>
      <c r="C1642" t="s">
        <v>28</v>
      </c>
      <c r="D1642">
        <f t="shared" si="53"/>
        <v>2022</v>
      </c>
      <c r="E1642">
        <v>5.83</v>
      </c>
      <c r="F1642">
        <v>5.5130999999999997</v>
      </c>
    </row>
    <row r="1643" spans="1:6" hidden="1" x14ac:dyDescent="0.25">
      <c r="A1643">
        <f t="shared" si="52"/>
        <v>30</v>
      </c>
      <c r="B1643" s="37">
        <v>44742</v>
      </c>
      <c r="C1643" t="s">
        <v>28</v>
      </c>
      <c r="D1643">
        <f t="shared" si="53"/>
        <v>2022</v>
      </c>
      <c r="E1643">
        <v>5.81</v>
      </c>
      <c r="F1643">
        <v>5.5346000000000002</v>
      </c>
    </row>
    <row r="1644" spans="1:6" hidden="1" x14ac:dyDescent="0.25">
      <c r="A1644">
        <f t="shared" si="52"/>
        <v>1</v>
      </c>
      <c r="B1644" s="37">
        <v>44743</v>
      </c>
      <c r="C1644" t="s">
        <v>29</v>
      </c>
      <c r="D1644">
        <f t="shared" si="53"/>
        <v>2022</v>
      </c>
      <c r="E1644">
        <v>5.8</v>
      </c>
      <c r="F1644">
        <v>5.5369000000000002</v>
      </c>
    </row>
    <row r="1645" spans="1:6" hidden="1" x14ac:dyDescent="0.25">
      <c r="A1645">
        <f t="shared" si="52"/>
        <v>2</v>
      </c>
      <c r="B1645" s="37">
        <v>44744</v>
      </c>
      <c r="C1645" t="s">
        <v>29</v>
      </c>
      <c r="D1645">
        <f t="shared" si="53"/>
        <v>2022</v>
      </c>
      <c r="E1645">
        <v>5.77</v>
      </c>
      <c r="F1645">
        <v>5.5369000000000002</v>
      </c>
    </row>
    <row r="1646" spans="1:6" hidden="1" x14ac:dyDescent="0.25">
      <c r="A1646">
        <f t="shared" si="52"/>
        <v>3</v>
      </c>
      <c r="B1646" s="37">
        <v>44745</v>
      </c>
      <c r="C1646" t="s">
        <v>29</v>
      </c>
      <c r="D1646">
        <f t="shared" si="53"/>
        <v>2022</v>
      </c>
      <c r="E1646">
        <v>5.77</v>
      </c>
      <c r="F1646">
        <v>5.5369000000000002</v>
      </c>
    </row>
    <row r="1647" spans="1:6" hidden="1" x14ac:dyDescent="0.25">
      <c r="A1647">
        <f t="shared" si="52"/>
        <v>4</v>
      </c>
      <c r="B1647" s="37">
        <v>44746</v>
      </c>
      <c r="C1647" t="s">
        <v>29</v>
      </c>
      <c r="D1647">
        <f t="shared" si="53"/>
        <v>2022</v>
      </c>
      <c r="E1647">
        <v>5.78</v>
      </c>
      <c r="F1647">
        <v>5.5369000000000002</v>
      </c>
    </row>
    <row r="1648" spans="1:6" hidden="1" x14ac:dyDescent="0.25">
      <c r="A1648">
        <f t="shared" si="52"/>
        <v>5</v>
      </c>
      <c r="B1648" s="37">
        <v>44747</v>
      </c>
      <c r="C1648" t="s">
        <v>29</v>
      </c>
      <c r="D1648">
        <f t="shared" si="53"/>
        <v>2022</v>
      </c>
      <c r="E1648">
        <v>5.79</v>
      </c>
      <c r="F1648">
        <v>5.5369000000000002</v>
      </c>
    </row>
    <row r="1649" spans="1:6" hidden="1" x14ac:dyDescent="0.25">
      <c r="A1649">
        <f t="shared" si="52"/>
        <v>6</v>
      </c>
      <c r="B1649" s="37">
        <v>44748</v>
      </c>
      <c r="C1649" t="s">
        <v>29</v>
      </c>
      <c r="D1649">
        <f t="shared" si="53"/>
        <v>2022</v>
      </c>
      <c r="E1649">
        <v>5.77</v>
      </c>
      <c r="F1649">
        <v>5.5552000000000001</v>
      </c>
    </row>
    <row r="1650" spans="1:6" hidden="1" x14ac:dyDescent="0.25">
      <c r="A1650">
        <f t="shared" si="52"/>
        <v>7</v>
      </c>
      <c r="B1650" s="37">
        <v>44749</v>
      </c>
      <c r="C1650" t="s">
        <v>29</v>
      </c>
      <c r="D1650">
        <f t="shared" si="53"/>
        <v>2022</v>
      </c>
      <c r="E1650">
        <v>5.75</v>
      </c>
      <c r="F1650">
        <v>5.55</v>
      </c>
    </row>
    <row r="1651" spans="1:6" hidden="1" x14ac:dyDescent="0.25">
      <c r="A1651">
        <f t="shared" si="52"/>
        <v>8</v>
      </c>
      <c r="B1651" s="37">
        <v>44750</v>
      </c>
      <c r="C1651" t="s">
        <v>29</v>
      </c>
      <c r="D1651">
        <f t="shared" si="53"/>
        <v>2022</v>
      </c>
      <c r="E1651">
        <v>5.79</v>
      </c>
      <c r="F1651">
        <v>5.5746000000000002</v>
      </c>
    </row>
    <row r="1652" spans="1:6" hidden="1" x14ac:dyDescent="0.25">
      <c r="A1652">
        <f t="shared" si="52"/>
        <v>9</v>
      </c>
      <c r="B1652" s="37">
        <v>44751</v>
      </c>
      <c r="C1652" t="s">
        <v>29</v>
      </c>
      <c r="D1652">
        <f t="shared" si="53"/>
        <v>2022</v>
      </c>
      <c r="E1652">
        <v>5.8</v>
      </c>
      <c r="F1652">
        <v>5.5746000000000002</v>
      </c>
    </row>
    <row r="1653" spans="1:6" hidden="1" x14ac:dyDescent="0.25">
      <c r="A1653">
        <f t="shared" si="52"/>
        <v>10</v>
      </c>
      <c r="B1653" s="37">
        <v>44752</v>
      </c>
      <c r="C1653" t="s">
        <v>29</v>
      </c>
      <c r="D1653">
        <f t="shared" si="53"/>
        <v>2022</v>
      </c>
      <c r="E1653">
        <v>5.8</v>
      </c>
      <c r="F1653">
        <v>5.5746000000000002</v>
      </c>
    </row>
    <row r="1654" spans="1:6" hidden="1" x14ac:dyDescent="0.25">
      <c r="A1654">
        <f t="shared" si="52"/>
        <v>11</v>
      </c>
      <c r="B1654" s="37">
        <v>44753</v>
      </c>
      <c r="C1654" t="s">
        <v>29</v>
      </c>
      <c r="D1654">
        <f t="shared" si="53"/>
        <v>2022</v>
      </c>
      <c r="E1654">
        <v>5.8</v>
      </c>
      <c r="F1654">
        <v>5.6121999999999996</v>
      </c>
    </row>
    <row r="1655" spans="1:6" hidden="1" x14ac:dyDescent="0.25">
      <c r="A1655">
        <f t="shared" si="52"/>
        <v>12</v>
      </c>
      <c r="B1655" s="37">
        <v>44754</v>
      </c>
      <c r="C1655" t="s">
        <v>29</v>
      </c>
      <c r="D1655">
        <f t="shared" si="53"/>
        <v>2022</v>
      </c>
      <c r="E1655">
        <v>5.84</v>
      </c>
      <c r="F1655">
        <v>5.5998999999999999</v>
      </c>
    </row>
    <row r="1656" spans="1:6" hidden="1" x14ac:dyDescent="0.25">
      <c r="A1656">
        <f t="shared" ref="A1656:A1719" si="54">DAY(B1656)</f>
        <v>13</v>
      </c>
      <c r="B1656" s="37">
        <v>44755</v>
      </c>
      <c r="C1656" t="s">
        <v>29</v>
      </c>
      <c r="D1656">
        <f t="shared" ref="D1656:D1719" si="55">YEAR(B1656)</f>
        <v>2022</v>
      </c>
      <c r="E1656">
        <v>5.87</v>
      </c>
      <c r="F1656">
        <v>5.6193999999999997</v>
      </c>
    </row>
    <row r="1657" spans="1:6" hidden="1" x14ac:dyDescent="0.25">
      <c r="A1657">
        <f t="shared" si="54"/>
        <v>14</v>
      </c>
      <c r="B1657" s="37">
        <v>44756</v>
      </c>
      <c r="C1657" t="s">
        <v>29</v>
      </c>
      <c r="D1657">
        <f t="shared" si="55"/>
        <v>2022</v>
      </c>
      <c r="E1657">
        <v>5.84</v>
      </c>
      <c r="F1657">
        <v>5.657</v>
      </c>
    </row>
    <row r="1658" spans="1:6" hidden="1" x14ac:dyDescent="0.25">
      <c r="A1658">
        <f t="shared" si="54"/>
        <v>15</v>
      </c>
      <c r="B1658" s="37">
        <v>44757</v>
      </c>
      <c r="C1658" t="s">
        <v>29</v>
      </c>
      <c r="D1658">
        <f t="shared" si="55"/>
        <v>2022</v>
      </c>
      <c r="E1658">
        <v>5.83</v>
      </c>
      <c r="F1658">
        <v>5.6776999999999997</v>
      </c>
    </row>
    <row r="1659" spans="1:6" hidden="1" x14ac:dyDescent="0.25">
      <c r="A1659">
        <f t="shared" si="54"/>
        <v>16</v>
      </c>
      <c r="B1659" s="37">
        <v>44758</v>
      </c>
      <c r="C1659" t="s">
        <v>29</v>
      </c>
      <c r="D1659">
        <f t="shared" si="55"/>
        <v>2022</v>
      </c>
      <c r="E1659">
        <v>5.83</v>
      </c>
      <c r="F1659">
        <v>5.6776999999999997</v>
      </c>
    </row>
    <row r="1660" spans="1:6" hidden="1" x14ac:dyDescent="0.25">
      <c r="A1660">
        <f t="shared" si="54"/>
        <v>17</v>
      </c>
      <c r="B1660" s="37">
        <v>44759</v>
      </c>
      <c r="C1660" t="s">
        <v>29</v>
      </c>
      <c r="D1660">
        <f t="shared" si="55"/>
        <v>2022</v>
      </c>
      <c r="E1660">
        <v>5.83</v>
      </c>
      <c r="F1660">
        <v>5.6776999999999997</v>
      </c>
    </row>
    <row r="1661" spans="1:6" hidden="1" x14ac:dyDescent="0.25">
      <c r="A1661">
        <f t="shared" si="54"/>
        <v>18</v>
      </c>
      <c r="B1661" s="37">
        <v>44760</v>
      </c>
      <c r="C1661" t="s">
        <v>29</v>
      </c>
      <c r="D1661">
        <f t="shared" si="55"/>
        <v>2022</v>
      </c>
      <c r="E1661">
        <v>5.82</v>
      </c>
      <c r="F1661">
        <v>5.6989999999999998</v>
      </c>
    </row>
    <row r="1662" spans="1:6" hidden="1" x14ac:dyDescent="0.25">
      <c r="A1662">
        <f t="shared" si="54"/>
        <v>19</v>
      </c>
      <c r="B1662" s="37">
        <v>44761</v>
      </c>
      <c r="C1662" t="s">
        <v>29</v>
      </c>
      <c r="D1662">
        <f t="shared" si="55"/>
        <v>2022</v>
      </c>
      <c r="E1662">
        <v>5.82</v>
      </c>
      <c r="F1662">
        <v>5.6802999999999999</v>
      </c>
    </row>
    <row r="1663" spans="1:6" hidden="1" x14ac:dyDescent="0.25">
      <c r="A1663">
        <f t="shared" si="54"/>
        <v>20</v>
      </c>
      <c r="B1663" s="37">
        <v>44762</v>
      </c>
      <c r="C1663" t="s">
        <v>29</v>
      </c>
      <c r="D1663">
        <f t="shared" si="55"/>
        <v>2022</v>
      </c>
      <c r="E1663">
        <v>5.85</v>
      </c>
      <c r="F1663">
        <v>5.7012</v>
      </c>
    </row>
    <row r="1664" spans="1:6" hidden="1" x14ac:dyDescent="0.25">
      <c r="A1664">
        <f t="shared" si="54"/>
        <v>21</v>
      </c>
      <c r="B1664" s="37">
        <v>44763</v>
      </c>
      <c r="C1664" t="s">
        <v>29</v>
      </c>
      <c r="D1664">
        <f t="shared" si="55"/>
        <v>2022</v>
      </c>
      <c r="E1664">
        <v>5.86</v>
      </c>
      <c r="F1664">
        <v>5.7285000000000004</v>
      </c>
    </row>
    <row r="1665" spans="1:6" hidden="1" x14ac:dyDescent="0.25">
      <c r="A1665">
        <f t="shared" si="54"/>
        <v>22</v>
      </c>
      <c r="B1665" s="37">
        <v>44764</v>
      </c>
      <c r="C1665" t="s">
        <v>29</v>
      </c>
      <c r="D1665">
        <f t="shared" si="55"/>
        <v>2022</v>
      </c>
      <c r="E1665">
        <v>5.86</v>
      </c>
      <c r="F1665">
        <v>5.7310999999999996</v>
      </c>
    </row>
    <row r="1666" spans="1:6" hidden="1" x14ac:dyDescent="0.25">
      <c r="A1666">
        <f t="shared" si="54"/>
        <v>23</v>
      </c>
      <c r="B1666" s="37">
        <v>44765</v>
      </c>
      <c r="C1666" t="s">
        <v>29</v>
      </c>
      <c r="D1666">
        <f t="shared" si="55"/>
        <v>2022</v>
      </c>
      <c r="E1666">
        <v>5.87</v>
      </c>
      <c r="F1666">
        <v>5.7310999999999996</v>
      </c>
    </row>
    <row r="1667" spans="1:6" hidden="1" x14ac:dyDescent="0.25">
      <c r="A1667">
        <f t="shared" si="54"/>
        <v>24</v>
      </c>
      <c r="B1667" s="37">
        <v>44766</v>
      </c>
      <c r="C1667" t="s">
        <v>29</v>
      </c>
      <c r="D1667">
        <f t="shared" si="55"/>
        <v>2022</v>
      </c>
      <c r="E1667">
        <v>5.87</v>
      </c>
      <c r="F1667">
        <v>5.7310999999999996</v>
      </c>
    </row>
    <row r="1668" spans="1:6" hidden="1" x14ac:dyDescent="0.25">
      <c r="A1668">
        <f t="shared" si="54"/>
        <v>25</v>
      </c>
      <c r="B1668" s="37">
        <v>44767</v>
      </c>
      <c r="C1668" t="s">
        <v>29</v>
      </c>
      <c r="D1668">
        <f t="shared" si="55"/>
        <v>2022</v>
      </c>
      <c r="E1668">
        <v>5.9</v>
      </c>
      <c r="F1668">
        <v>5.7327000000000004</v>
      </c>
    </row>
    <row r="1669" spans="1:6" hidden="1" x14ac:dyDescent="0.25">
      <c r="A1669">
        <f t="shared" si="54"/>
        <v>26</v>
      </c>
      <c r="B1669" s="37">
        <v>44768</v>
      </c>
      <c r="C1669" t="s">
        <v>29</v>
      </c>
      <c r="D1669">
        <f t="shared" si="55"/>
        <v>2022</v>
      </c>
      <c r="E1669">
        <v>6.02</v>
      </c>
      <c r="F1669">
        <v>5.7210000000000001</v>
      </c>
    </row>
    <row r="1670" spans="1:6" hidden="1" x14ac:dyDescent="0.25">
      <c r="A1670">
        <f t="shared" si="54"/>
        <v>27</v>
      </c>
      <c r="B1670" s="37">
        <v>44769</v>
      </c>
      <c r="C1670" t="s">
        <v>29</v>
      </c>
      <c r="D1670">
        <f t="shared" si="55"/>
        <v>2022</v>
      </c>
      <c r="E1670">
        <v>6.1</v>
      </c>
      <c r="F1670">
        <v>5.7455999999999996</v>
      </c>
    </row>
    <row r="1671" spans="1:6" hidden="1" x14ac:dyDescent="0.25">
      <c r="A1671">
        <f t="shared" si="54"/>
        <v>28</v>
      </c>
      <c r="B1671" s="37">
        <v>44770</v>
      </c>
      <c r="C1671" t="s">
        <v>29</v>
      </c>
      <c r="D1671">
        <f t="shared" si="55"/>
        <v>2022</v>
      </c>
      <c r="E1671">
        <v>6.02</v>
      </c>
      <c r="F1671">
        <v>5.7712000000000003</v>
      </c>
    </row>
    <row r="1672" spans="1:6" hidden="1" x14ac:dyDescent="0.25">
      <c r="A1672">
        <f t="shared" si="54"/>
        <v>29</v>
      </c>
      <c r="B1672" s="37">
        <v>44771</v>
      </c>
      <c r="C1672" t="s">
        <v>29</v>
      </c>
      <c r="D1672">
        <f t="shared" si="55"/>
        <v>2022</v>
      </c>
      <c r="E1672">
        <v>5.97</v>
      </c>
      <c r="F1672">
        <v>5.7835999999999999</v>
      </c>
    </row>
    <row r="1673" spans="1:6" hidden="1" x14ac:dyDescent="0.25">
      <c r="A1673">
        <f t="shared" si="54"/>
        <v>30</v>
      </c>
      <c r="B1673" s="37">
        <v>44772</v>
      </c>
      <c r="C1673" t="s">
        <v>29</v>
      </c>
      <c r="D1673">
        <f t="shared" si="55"/>
        <v>2022</v>
      </c>
      <c r="E1673">
        <v>5.97</v>
      </c>
      <c r="F1673">
        <v>5.7835999999999999</v>
      </c>
    </row>
    <row r="1674" spans="1:6" hidden="1" x14ac:dyDescent="0.25">
      <c r="A1674">
        <f t="shared" si="54"/>
        <v>31</v>
      </c>
      <c r="B1674" s="37">
        <v>44773</v>
      </c>
      <c r="C1674" t="s">
        <v>29</v>
      </c>
      <c r="D1674">
        <f t="shared" si="55"/>
        <v>2022</v>
      </c>
      <c r="E1674">
        <v>5.97</v>
      </c>
      <c r="F1674">
        <v>5.7835999999999999</v>
      </c>
    </row>
    <row r="1675" spans="1:6" hidden="1" x14ac:dyDescent="0.25">
      <c r="A1675">
        <f t="shared" si="54"/>
        <v>1</v>
      </c>
      <c r="B1675" s="37">
        <v>44774</v>
      </c>
      <c r="C1675" t="s">
        <v>30</v>
      </c>
      <c r="D1675">
        <f t="shared" si="55"/>
        <v>2022</v>
      </c>
      <c r="E1675">
        <v>5.97</v>
      </c>
      <c r="F1675">
        <v>5.7934000000000001</v>
      </c>
    </row>
    <row r="1676" spans="1:6" hidden="1" x14ac:dyDescent="0.25">
      <c r="A1676">
        <f t="shared" si="54"/>
        <v>2</v>
      </c>
      <c r="B1676" s="37">
        <v>44775</v>
      </c>
      <c r="C1676" t="s">
        <v>30</v>
      </c>
      <c r="D1676">
        <f t="shared" si="55"/>
        <v>2022</v>
      </c>
      <c r="E1676">
        <v>6.02</v>
      </c>
      <c r="F1676">
        <v>5.7769000000000004</v>
      </c>
    </row>
    <row r="1677" spans="1:6" hidden="1" x14ac:dyDescent="0.25">
      <c r="A1677">
        <f t="shared" si="54"/>
        <v>3</v>
      </c>
      <c r="B1677" s="37">
        <v>44776</v>
      </c>
      <c r="C1677" t="s">
        <v>30</v>
      </c>
      <c r="D1677">
        <f t="shared" si="55"/>
        <v>2022</v>
      </c>
      <c r="E1677">
        <v>6.02</v>
      </c>
      <c r="F1677">
        <v>5.7972999999999999</v>
      </c>
    </row>
    <row r="1678" spans="1:6" hidden="1" x14ac:dyDescent="0.25">
      <c r="A1678">
        <f t="shared" si="54"/>
        <v>4</v>
      </c>
      <c r="B1678" s="37">
        <v>44777</v>
      </c>
      <c r="C1678" t="s">
        <v>30</v>
      </c>
      <c r="D1678">
        <f t="shared" si="55"/>
        <v>2022</v>
      </c>
      <c r="E1678">
        <v>6.04</v>
      </c>
      <c r="F1678">
        <v>5.7907999999999999</v>
      </c>
    </row>
    <row r="1679" spans="1:6" hidden="1" x14ac:dyDescent="0.25">
      <c r="A1679">
        <f t="shared" si="54"/>
        <v>5</v>
      </c>
      <c r="B1679" s="37">
        <v>44778</v>
      </c>
      <c r="C1679" t="s">
        <v>30</v>
      </c>
      <c r="D1679">
        <f t="shared" si="55"/>
        <v>2022</v>
      </c>
      <c r="E1679">
        <v>6.07</v>
      </c>
      <c r="F1679">
        <v>5.8407</v>
      </c>
    </row>
    <row r="1680" spans="1:6" hidden="1" x14ac:dyDescent="0.25">
      <c r="A1680">
        <f t="shared" si="54"/>
        <v>6</v>
      </c>
      <c r="B1680" s="37">
        <v>44779</v>
      </c>
      <c r="C1680" t="s">
        <v>30</v>
      </c>
      <c r="D1680">
        <f t="shared" si="55"/>
        <v>2022</v>
      </c>
      <c r="E1680">
        <v>6.09</v>
      </c>
      <c r="F1680">
        <v>5.8662000000000001</v>
      </c>
    </row>
    <row r="1681" spans="1:6" hidden="1" x14ac:dyDescent="0.25">
      <c r="A1681">
        <f t="shared" si="54"/>
        <v>7</v>
      </c>
      <c r="B1681" s="37">
        <v>44780</v>
      </c>
      <c r="C1681" t="s">
        <v>30</v>
      </c>
      <c r="D1681">
        <f t="shared" si="55"/>
        <v>2022</v>
      </c>
      <c r="E1681">
        <v>6.09</v>
      </c>
      <c r="F1681">
        <v>5.8517999999999999</v>
      </c>
    </row>
    <row r="1682" spans="1:6" hidden="1" x14ac:dyDescent="0.25">
      <c r="A1682">
        <f t="shared" si="54"/>
        <v>8</v>
      </c>
      <c r="B1682" s="37">
        <v>44781</v>
      </c>
      <c r="C1682" t="s">
        <v>30</v>
      </c>
      <c r="D1682">
        <f t="shared" si="55"/>
        <v>2022</v>
      </c>
      <c r="E1682">
        <v>6.08</v>
      </c>
      <c r="F1682">
        <v>5.8970000000000002</v>
      </c>
    </row>
    <row r="1683" spans="1:6" hidden="1" x14ac:dyDescent="0.25">
      <c r="A1683">
        <f t="shared" si="54"/>
        <v>9</v>
      </c>
      <c r="B1683" s="37">
        <v>44782</v>
      </c>
      <c r="C1683" t="s">
        <v>30</v>
      </c>
      <c r="D1683">
        <f t="shared" si="55"/>
        <v>2022</v>
      </c>
      <c r="E1683">
        <v>6.06</v>
      </c>
      <c r="F1683">
        <v>5.9249000000000001</v>
      </c>
    </row>
    <row r="1684" spans="1:6" hidden="1" x14ac:dyDescent="0.25">
      <c r="A1684">
        <f t="shared" si="54"/>
        <v>10</v>
      </c>
      <c r="B1684" s="37">
        <v>44783</v>
      </c>
      <c r="C1684" t="s">
        <v>30</v>
      </c>
      <c r="D1684">
        <f t="shared" si="55"/>
        <v>2022</v>
      </c>
      <c r="E1684">
        <v>6.08</v>
      </c>
      <c r="F1684">
        <v>5.9481000000000002</v>
      </c>
    </row>
    <row r="1685" spans="1:6" hidden="1" x14ac:dyDescent="0.25">
      <c r="A1685">
        <f t="shared" si="54"/>
        <v>11</v>
      </c>
      <c r="B1685" s="37">
        <v>44784</v>
      </c>
      <c r="C1685" t="s">
        <v>30</v>
      </c>
      <c r="D1685">
        <f t="shared" si="55"/>
        <v>2022</v>
      </c>
      <c r="E1685">
        <v>6.1</v>
      </c>
      <c r="F1685">
        <v>5.9782999999999999</v>
      </c>
    </row>
    <row r="1686" spans="1:6" hidden="1" x14ac:dyDescent="0.25">
      <c r="A1686">
        <f t="shared" si="54"/>
        <v>12</v>
      </c>
      <c r="B1686" s="37">
        <v>44785</v>
      </c>
      <c r="C1686" t="s">
        <v>30</v>
      </c>
      <c r="D1686">
        <f t="shared" si="55"/>
        <v>2022</v>
      </c>
      <c r="E1686">
        <v>6.13</v>
      </c>
      <c r="F1686">
        <v>5.97</v>
      </c>
    </row>
    <row r="1687" spans="1:6" hidden="1" x14ac:dyDescent="0.25">
      <c r="A1687">
        <f t="shared" si="54"/>
        <v>13</v>
      </c>
      <c r="B1687" s="37">
        <v>44786</v>
      </c>
      <c r="C1687" t="s">
        <v>30</v>
      </c>
      <c r="D1687">
        <f t="shared" si="55"/>
        <v>2022</v>
      </c>
      <c r="E1687">
        <v>6.16</v>
      </c>
      <c r="F1687">
        <v>5.976</v>
      </c>
    </row>
    <row r="1688" spans="1:6" hidden="1" x14ac:dyDescent="0.25">
      <c r="A1688">
        <f t="shared" si="54"/>
        <v>14</v>
      </c>
      <c r="B1688" s="37">
        <v>44787</v>
      </c>
      <c r="C1688" t="s">
        <v>30</v>
      </c>
      <c r="D1688">
        <f t="shared" si="55"/>
        <v>2022</v>
      </c>
      <c r="E1688">
        <v>6.16</v>
      </c>
      <c r="F1688">
        <v>6.0941999999999998</v>
      </c>
    </row>
    <row r="1689" spans="1:6" hidden="1" x14ac:dyDescent="0.25">
      <c r="A1689">
        <f t="shared" si="54"/>
        <v>15</v>
      </c>
      <c r="B1689" s="37">
        <v>44788</v>
      </c>
      <c r="C1689" t="s">
        <v>30</v>
      </c>
      <c r="D1689">
        <f t="shared" si="55"/>
        <v>2022</v>
      </c>
      <c r="E1689">
        <v>6.17</v>
      </c>
      <c r="F1689">
        <v>6.1801000000000004</v>
      </c>
    </row>
    <row r="1690" spans="1:6" hidden="1" x14ac:dyDescent="0.25">
      <c r="A1690">
        <f t="shared" si="54"/>
        <v>16</v>
      </c>
      <c r="B1690" s="37">
        <v>44789</v>
      </c>
      <c r="C1690" t="s">
        <v>30</v>
      </c>
      <c r="D1690">
        <f t="shared" si="55"/>
        <v>2022</v>
      </c>
      <c r="E1690">
        <v>6.19</v>
      </c>
      <c r="F1690">
        <v>6.2416</v>
      </c>
    </row>
    <row r="1691" spans="1:6" hidden="1" x14ac:dyDescent="0.25">
      <c r="A1691">
        <f t="shared" si="54"/>
        <v>17</v>
      </c>
      <c r="B1691" s="37">
        <v>44790</v>
      </c>
      <c r="C1691" t="s">
        <v>30</v>
      </c>
      <c r="D1691">
        <f t="shared" si="55"/>
        <v>2022</v>
      </c>
      <c r="E1691">
        <v>6.3</v>
      </c>
      <c r="F1691">
        <v>6.2816999999999998</v>
      </c>
    </row>
    <row r="1692" spans="1:6" hidden="1" x14ac:dyDescent="0.25">
      <c r="A1692">
        <f t="shared" si="54"/>
        <v>18</v>
      </c>
      <c r="B1692" s="37">
        <v>44791</v>
      </c>
      <c r="C1692" t="s">
        <v>30</v>
      </c>
      <c r="D1692">
        <f t="shared" si="55"/>
        <v>2022</v>
      </c>
      <c r="E1692">
        <v>6.51</v>
      </c>
      <c r="F1692">
        <v>7.0147000000000004</v>
      </c>
    </row>
    <row r="1693" spans="1:6" hidden="1" x14ac:dyDescent="0.25">
      <c r="A1693">
        <f t="shared" si="54"/>
        <v>19</v>
      </c>
      <c r="B1693" s="37">
        <v>44792</v>
      </c>
      <c r="C1693" t="s">
        <v>30</v>
      </c>
      <c r="D1693">
        <f t="shared" si="55"/>
        <v>2022</v>
      </c>
      <c r="E1693">
        <v>6.75</v>
      </c>
      <c r="F1693">
        <v>7.8360000000000003</v>
      </c>
    </row>
    <row r="1694" spans="1:6" hidden="1" x14ac:dyDescent="0.25">
      <c r="A1694">
        <f t="shared" si="54"/>
        <v>20</v>
      </c>
      <c r="B1694" s="37">
        <v>44793</v>
      </c>
      <c r="C1694" t="s">
        <v>30</v>
      </c>
      <c r="D1694">
        <f t="shared" si="55"/>
        <v>2022</v>
      </c>
      <c r="E1694">
        <v>6.95</v>
      </c>
      <c r="F1694">
        <v>7.8506999999999998</v>
      </c>
    </row>
    <row r="1695" spans="1:6" hidden="1" x14ac:dyDescent="0.25">
      <c r="A1695">
        <f t="shared" si="54"/>
        <v>21</v>
      </c>
      <c r="B1695" s="37">
        <v>44794</v>
      </c>
      <c r="C1695" t="s">
        <v>30</v>
      </c>
      <c r="D1695">
        <f t="shared" si="55"/>
        <v>2022</v>
      </c>
      <c r="E1695">
        <v>6.95</v>
      </c>
      <c r="F1695">
        <v>7.8216999999999999</v>
      </c>
    </row>
    <row r="1696" spans="1:6" hidden="1" x14ac:dyDescent="0.25">
      <c r="A1696">
        <f t="shared" si="54"/>
        <v>22</v>
      </c>
      <c r="B1696" s="37">
        <v>44795</v>
      </c>
      <c r="C1696" t="s">
        <v>30</v>
      </c>
      <c r="D1696">
        <f t="shared" si="55"/>
        <v>2022</v>
      </c>
      <c r="E1696">
        <v>6.95</v>
      </c>
      <c r="F1696">
        <v>7.8552999999999997</v>
      </c>
    </row>
    <row r="1697" spans="1:6" hidden="1" x14ac:dyDescent="0.25">
      <c r="A1697">
        <f t="shared" si="54"/>
        <v>23</v>
      </c>
      <c r="B1697" s="37">
        <v>44796</v>
      </c>
      <c r="C1697" t="s">
        <v>30</v>
      </c>
      <c r="D1697">
        <f t="shared" si="55"/>
        <v>2022</v>
      </c>
      <c r="E1697">
        <v>7.06</v>
      </c>
      <c r="F1697">
        <v>6.2416</v>
      </c>
    </row>
    <row r="1698" spans="1:6" hidden="1" x14ac:dyDescent="0.25">
      <c r="A1698">
        <f t="shared" si="54"/>
        <v>24</v>
      </c>
      <c r="B1698" s="37">
        <v>44797</v>
      </c>
      <c r="C1698" t="s">
        <v>30</v>
      </c>
      <c r="D1698">
        <f t="shared" si="55"/>
        <v>2022</v>
      </c>
      <c r="E1698">
        <v>7.8</v>
      </c>
      <c r="F1698">
        <v>6.2816999999999998</v>
      </c>
    </row>
    <row r="1699" spans="1:6" hidden="1" x14ac:dyDescent="0.25">
      <c r="A1699">
        <f t="shared" si="54"/>
        <v>25</v>
      </c>
      <c r="B1699" s="37">
        <v>44798</v>
      </c>
      <c r="C1699" t="s">
        <v>30</v>
      </c>
      <c r="D1699">
        <f t="shared" si="55"/>
        <v>2022</v>
      </c>
      <c r="E1699">
        <v>8.94</v>
      </c>
      <c r="F1699">
        <v>7.0147000000000004</v>
      </c>
    </row>
    <row r="1700" spans="1:6" hidden="1" x14ac:dyDescent="0.25">
      <c r="A1700">
        <f t="shared" si="54"/>
        <v>26</v>
      </c>
      <c r="B1700" s="37">
        <v>44799</v>
      </c>
      <c r="C1700" t="s">
        <v>30</v>
      </c>
      <c r="D1700">
        <f t="shared" si="55"/>
        <v>2022</v>
      </c>
      <c r="E1700">
        <v>9.08</v>
      </c>
      <c r="F1700">
        <v>7.8360000000000003</v>
      </c>
    </row>
    <row r="1701" spans="1:6" hidden="1" x14ac:dyDescent="0.25">
      <c r="A1701">
        <f t="shared" si="54"/>
        <v>27</v>
      </c>
      <c r="B1701" s="37">
        <v>44800</v>
      </c>
      <c r="C1701" t="s">
        <v>30</v>
      </c>
      <c r="D1701">
        <f t="shared" si="55"/>
        <v>2022</v>
      </c>
      <c r="E1701">
        <v>8.56</v>
      </c>
      <c r="F1701">
        <v>7.8360000000000003</v>
      </c>
    </row>
    <row r="1702" spans="1:6" hidden="1" x14ac:dyDescent="0.25">
      <c r="A1702">
        <f t="shared" si="54"/>
        <v>28</v>
      </c>
      <c r="B1702" s="37">
        <v>44801</v>
      </c>
      <c r="C1702" t="s">
        <v>30</v>
      </c>
      <c r="D1702">
        <f t="shared" si="55"/>
        <v>2022</v>
      </c>
      <c r="E1702">
        <v>8.56</v>
      </c>
      <c r="F1702">
        <v>7.8360000000000003</v>
      </c>
    </row>
    <row r="1703" spans="1:6" hidden="1" x14ac:dyDescent="0.25">
      <c r="A1703">
        <f t="shared" si="54"/>
        <v>29</v>
      </c>
      <c r="B1703" s="37">
        <v>44802</v>
      </c>
      <c r="C1703" t="s">
        <v>30</v>
      </c>
      <c r="D1703">
        <f t="shared" si="55"/>
        <v>2022</v>
      </c>
      <c r="E1703">
        <v>8.4600000000000009</v>
      </c>
      <c r="F1703">
        <v>7.8506999999999998</v>
      </c>
    </row>
    <row r="1704" spans="1:6" hidden="1" x14ac:dyDescent="0.25">
      <c r="A1704">
        <f t="shared" si="54"/>
        <v>30</v>
      </c>
      <c r="B1704" s="37">
        <v>44803</v>
      </c>
      <c r="C1704" t="s">
        <v>30</v>
      </c>
      <c r="D1704">
        <f t="shared" si="55"/>
        <v>2022</v>
      </c>
      <c r="E1704">
        <v>8.4</v>
      </c>
      <c r="F1704">
        <v>7.8216999999999999</v>
      </c>
    </row>
    <row r="1705" spans="1:6" hidden="1" x14ac:dyDescent="0.25">
      <c r="A1705">
        <f t="shared" si="54"/>
        <v>31</v>
      </c>
      <c r="B1705" s="37">
        <v>44804</v>
      </c>
      <c r="C1705" t="s">
        <v>30</v>
      </c>
      <c r="D1705">
        <f t="shared" si="55"/>
        <v>2022</v>
      </c>
      <c r="E1705">
        <v>8.39</v>
      </c>
      <c r="F1705">
        <v>7.8552999999999997</v>
      </c>
    </row>
    <row r="1706" spans="1:6" hidden="1" x14ac:dyDescent="0.25">
      <c r="A1706">
        <f t="shared" si="54"/>
        <v>1</v>
      </c>
      <c r="B1706" s="37">
        <v>44805</v>
      </c>
      <c r="C1706" t="s">
        <v>31</v>
      </c>
      <c r="D1706">
        <f t="shared" si="55"/>
        <v>2022</v>
      </c>
      <c r="E1706">
        <v>8.16</v>
      </c>
      <c r="F1706">
        <v>7.8921999999999999</v>
      </c>
    </row>
    <row r="1707" spans="1:6" hidden="1" x14ac:dyDescent="0.25">
      <c r="A1707">
        <f t="shared" si="54"/>
        <v>2</v>
      </c>
      <c r="B1707" s="37">
        <v>44806</v>
      </c>
      <c r="C1707" t="s">
        <v>31</v>
      </c>
      <c r="D1707">
        <f t="shared" si="55"/>
        <v>2022</v>
      </c>
      <c r="E1707">
        <v>8.23</v>
      </c>
      <c r="F1707">
        <v>7.9077999999999999</v>
      </c>
    </row>
    <row r="1708" spans="1:6" hidden="1" x14ac:dyDescent="0.25">
      <c r="A1708">
        <f t="shared" si="54"/>
        <v>3</v>
      </c>
      <c r="B1708" s="37">
        <v>44807</v>
      </c>
      <c r="C1708" t="s">
        <v>31</v>
      </c>
      <c r="D1708">
        <f t="shared" si="55"/>
        <v>2022</v>
      </c>
      <c r="E1708">
        <v>8.2799999999999994</v>
      </c>
      <c r="F1708">
        <v>7.9077999999999999</v>
      </c>
    </row>
    <row r="1709" spans="1:6" hidden="1" x14ac:dyDescent="0.25">
      <c r="A1709">
        <f t="shared" si="54"/>
        <v>4</v>
      </c>
      <c r="B1709" s="37">
        <v>44808</v>
      </c>
      <c r="C1709" t="s">
        <v>31</v>
      </c>
      <c r="D1709">
        <f t="shared" si="55"/>
        <v>2022</v>
      </c>
      <c r="E1709">
        <v>8.2799999999999994</v>
      </c>
      <c r="F1709">
        <v>7.9077999999999999</v>
      </c>
    </row>
    <row r="1710" spans="1:6" hidden="1" x14ac:dyDescent="0.25">
      <c r="A1710">
        <f t="shared" si="54"/>
        <v>5</v>
      </c>
      <c r="B1710" s="37">
        <v>44809</v>
      </c>
      <c r="C1710" t="s">
        <v>31</v>
      </c>
      <c r="D1710">
        <f t="shared" si="55"/>
        <v>2022</v>
      </c>
      <c r="E1710">
        <v>8.27</v>
      </c>
      <c r="F1710">
        <v>7.9644000000000004</v>
      </c>
    </row>
    <row r="1711" spans="1:6" hidden="1" x14ac:dyDescent="0.25">
      <c r="A1711">
        <f t="shared" si="54"/>
        <v>6</v>
      </c>
      <c r="B1711" s="37">
        <v>44810</v>
      </c>
      <c r="C1711" t="s">
        <v>31</v>
      </c>
      <c r="D1711">
        <f t="shared" si="55"/>
        <v>2022</v>
      </c>
      <c r="E1711">
        <v>8.25</v>
      </c>
      <c r="F1711">
        <v>7.9447000000000001</v>
      </c>
    </row>
    <row r="1712" spans="1:6" hidden="1" x14ac:dyDescent="0.25">
      <c r="A1712">
        <f t="shared" si="54"/>
        <v>7</v>
      </c>
      <c r="B1712" s="37">
        <v>44811</v>
      </c>
      <c r="C1712" t="s">
        <v>31</v>
      </c>
      <c r="D1712">
        <f t="shared" si="55"/>
        <v>2022</v>
      </c>
      <c r="E1712">
        <v>8.23</v>
      </c>
      <c r="F1712">
        <v>7.9816000000000003</v>
      </c>
    </row>
    <row r="1713" spans="1:6" hidden="1" x14ac:dyDescent="0.25">
      <c r="A1713">
        <f t="shared" si="54"/>
        <v>8</v>
      </c>
      <c r="B1713" s="37">
        <v>44812</v>
      </c>
      <c r="C1713" t="s">
        <v>31</v>
      </c>
      <c r="D1713">
        <f t="shared" si="55"/>
        <v>2022</v>
      </c>
      <c r="E1713">
        <v>8.19</v>
      </c>
      <c r="F1713">
        <v>7.9878999999999998</v>
      </c>
    </row>
    <row r="1714" spans="1:6" hidden="1" x14ac:dyDescent="0.25">
      <c r="A1714">
        <f t="shared" si="54"/>
        <v>9</v>
      </c>
      <c r="B1714" s="37">
        <v>44813</v>
      </c>
      <c r="C1714" t="s">
        <v>31</v>
      </c>
      <c r="D1714">
        <f t="shared" si="55"/>
        <v>2022</v>
      </c>
      <c r="E1714">
        <v>8.1300000000000008</v>
      </c>
      <c r="F1714">
        <v>8.0029000000000003</v>
      </c>
    </row>
    <row r="1715" spans="1:6" hidden="1" x14ac:dyDescent="0.25">
      <c r="A1715">
        <f t="shared" si="54"/>
        <v>10</v>
      </c>
      <c r="B1715" s="37">
        <v>44814</v>
      </c>
      <c r="C1715" t="s">
        <v>31</v>
      </c>
      <c r="D1715">
        <f t="shared" si="55"/>
        <v>2022</v>
      </c>
      <c r="E1715">
        <v>8.15</v>
      </c>
      <c r="F1715">
        <v>8.0029000000000003</v>
      </c>
    </row>
    <row r="1716" spans="1:6" hidden="1" x14ac:dyDescent="0.25">
      <c r="A1716">
        <f t="shared" si="54"/>
        <v>11</v>
      </c>
      <c r="B1716" s="37">
        <v>44815</v>
      </c>
      <c r="C1716" t="s">
        <v>31</v>
      </c>
      <c r="D1716">
        <f t="shared" si="55"/>
        <v>2022</v>
      </c>
      <c r="E1716">
        <v>8.15</v>
      </c>
      <c r="F1716">
        <v>8.0029000000000003</v>
      </c>
    </row>
    <row r="1717" spans="1:6" hidden="1" x14ac:dyDescent="0.25">
      <c r="A1717">
        <f t="shared" si="54"/>
        <v>12</v>
      </c>
      <c r="B1717" s="37">
        <v>44816</v>
      </c>
      <c r="C1717" t="s">
        <v>31</v>
      </c>
      <c r="D1717">
        <f t="shared" si="55"/>
        <v>2022</v>
      </c>
      <c r="E1717">
        <v>8.14</v>
      </c>
      <c r="F1717">
        <v>7.9835000000000003</v>
      </c>
    </row>
    <row r="1718" spans="1:6" hidden="1" x14ac:dyDescent="0.25">
      <c r="A1718">
        <f t="shared" si="54"/>
        <v>13</v>
      </c>
      <c r="B1718" s="37">
        <v>44817</v>
      </c>
      <c r="C1718" t="s">
        <v>31</v>
      </c>
      <c r="D1718">
        <f t="shared" si="55"/>
        <v>2022</v>
      </c>
      <c r="E1718">
        <v>8.18</v>
      </c>
      <c r="F1718">
        <v>7.9763000000000002</v>
      </c>
    </row>
    <row r="1719" spans="1:6" hidden="1" x14ac:dyDescent="0.25">
      <c r="A1719">
        <f t="shared" si="54"/>
        <v>14</v>
      </c>
      <c r="B1719" s="37">
        <v>44818</v>
      </c>
      <c r="C1719" t="s">
        <v>31</v>
      </c>
      <c r="D1719">
        <f t="shared" si="55"/>
        <v>2022</v>
      </c>
      <c r="E1719">
        <v>8.19</v>
      </c>
      <c r="F1719">
        <v>8.0039999999999996</v>
      </c>
    </row>
    <row r="1720" spans="1:6" hidden="1" x14ac:dyDescent="0.25">
      <c r="A1720">
        <f t="shared" ref="A1720:A1783" si="56">DAY(B1720)</f>
        <v>15</v>
      </c>
      <c r="B1720" s="37">
        <v>44819</v>
      </c>
      <c r="C1720" t="s">
        <v>31</v>
      </c>
      <c r="D1720">
        <f t="shared" ref="D1720:D1783" si="57">YEAR(B1720)</f>
        <v>2022</v>
      </c>
      <c r="E1720">
        <v>8.16</v>
      </c>
      <c r="F1720">
        <v>8.0294000000000008</v>
      </c>
    </row>
    <row r="1721" spans="1:6" hidden="1" x14ac:dyDescent="0.25">
      <c r="A1721">
        <f t="shared" si="56"/>
        <v>16</v>
      </c>
      <c r="B1721" s="37">
        <v>44820</v>
      </c>
      <c r="C1721" t="s">
        <v>31</v>
      </c>
      <c r="D1721">
        <f t="shared" si="57"/>
        <v>2022</v>
      </c>
      <c r="E1721">
        <v>8.15</v>
      </c>
      <c r="F1721">
        <v>8.0276999999999994</v>
      </c>
    </row>
    <row r="1722" spans="1:6" hidden="1" x14ac:dyDescent="0.25">
      <c r="A1722">
        <f t="shared" si="56"/>
        <v>17</v>
      </c>
      <c r="B1722" s="37">
        <v>44821</v>
      </c>
      <c r="C1722" t="s">
        <v>31</v>
      </c>
      <c r="D1722">
        <f t="shared" si="57"/>
        <v>2022</v>
      </c>
      <c r="E1722">
        <v>8.15</v>
      </c>
      <c r="F1722">
        <v>8.0276999999999994</v>
      </c>
    </row>
    <row r="1723" spans="1:6" hidden="1" x14ac:dyDescent="0.25">
      <c r="A1723">
        <f t="shared" si="56"/>
        <v>18</v>
      </c>
      <c r="B1723" s="37">
        <v>44822</v>
      </c>
      <c r="C1723" t="s">
        <v>31</v>
      </c>
      <c r="D1723">
        <f t="shared" si="57"/>
        <v>2022</v>
      </c>
      <c r="E1723">
        <v>8.15</v>
      </c>
      <c r="F1723">
        <v>8.0276999999999994</v>
      </c>
    </row>
    <row r="1724" spans="1:6" hidden="1" x14ac:dyDescent="0.25">
      <c r="A1724">
        <f t="shared" si="56"/>
        <v>19</v>
      </c>
      <c r="B1724" s="37">
        <v>44823</v>
      </c>
      <c r="C1724" t="s">
        <v>31</v>
      </c>
      <c r="D1724">
        <f t="shared" si="57"/>
        <v>2022</v>
      </c>
      <c r="E1724">
        <v>8.19</v>
      </c>
      <c r="F1724">
        <v>8.0508000000000006</v>
      </c>
    </row>
    <row r="1725" spans="1:6" hidden="1" x14ac:dyDescent="0.25">
      <c r="A1725">
        <f t="shared" si="56"/>
        <v>20</v>
      </c>
      <c r="B1725" s="37">
        <v>44824</v>
      </c>
      <c r="C1725" t="s">
        <v>31</v>
      </c>
      <c r="D1725">
        <f t="shared" si="57"/>
        <v>2022</v>
      </c>
      <c r="E1725">
        <v>8.2799999999999994</v>
      </c>
      <c r="F1725">
        <v>8.0274999999999999</v>
      </c>
    </row>
    <row r="1726" spans="1:6" hidden="1" x14ac:dyDescent="0.25">
      <c r="A1726">
        <f t="shared" si="56"/>
        <v>21</v>
      </c>
      <c r="B1726" s="37">
        <v>44825</v>
      </c>
      <c r="C1726" t="s">
        <v>31</v>
      </c>
      <c r="D1726">
        <f t="shared" si="57"/>
        <v>2022</v>
      </c>
      <c r="E1726">
        <v>8.25</v>
      </c>
      <c r="F1726">
        <v>8.0495999999999999</v>
      </c>
    </row>
    <row r="1727" spans="1:6" hidden="1" x14ac:dyDescent="0.25">
      <c r="A1727">
        <f t="shared" si="56"/>
        <v>22</v>
      </c>
      <c r="B1727" s="37">
        <v>44826</v>
      </c>
      <c r="C1727" t="s">
        <v>31</v>
      </c>
      <c r="D1727">
        <f t="shared" si="57"/>
        <v>2022</v>
      </c>
      <c r="E1727">
        <v>8.24</v>
      </c>
      <c r="F1727">
        <v>8.0959000000000003</v>
      </c>
    </row>
    <row r="1728" spans="1:6" hidden="1" x14ac:dyDescent="0.25">
      <c r="A1728">
        <f t="shared" si="56"/>
        <v>23</v>
      </c>
      <c r="B1728" s="37">
        <v>44827</v>
      </c>
      <c r="C1728" t="s">
        <v>31</v>
      </c>
      <c r="D1728">
        <f t="shared" si="57"/>
        <v>2022</v>
      </c>
      <c r="E1728">
        <v>8.32</v>
      </c>
      <c r="F1728">
        <v>8.1140000000000008</v>
      </c>
    </row>
    <row r="1729" spans="1:6" hidden="1" x14ac:dyDescent="0.25">
      <c r="A1729">
        <f t="shared" si="56"/>
        <v>24</v>
      </c>
      <c r="B1729" s="37">
        <v>44828</v>
      </c>
      <c r="C1729" t="s">
        <v>31</v>
      </c>
      <c r="D1729">
        <f t="shared" si="57"/>
        <v>2022</v>
      </c>
      <c r="E1729">
        <v>8.34</v>
      </c>
      <c r="F1729">
        <v>8.1140000000000008</v>
      </c>
    </row>
    <row r="1730" spans="1:6" hidden="1" x14ac:dyDescent="0.25">
      <c r="A1730">
        <f t="shared" si="56"/>
        <v>25</v>
      </c>
      <c r="B1730" s="37">
        <v>44829</v>
      </c>
      <c r="C1730" t="s">
        <v>31</v>
      </c>
      <c r="D1730">
        <f t="shared" si="57"/>
        <v>2022</v>
      </c>
      <c r="E1730">
        <v>8.34</v>
      </c>
      <c r="F1730">
        <v>8.1140000000000008</v>
      </c>
    </row>
    <row r="1731" spans="1:6" hidden="1" x14ac:dyDescent="0.25">
      <c r="A1731">
        <f t="shared" si="56"/>
        <v>26</v>
      </c>
      <c r="B1731" s="37">
        <v>44830</v>
      </c>
      <c r="C1731" t="s">
        <v>31</v>
      </c>
      <c r="D1731">
        <f t="shared" si="57"/>
        <v>2022</v>
      </c>
      <c r="E1731">
        <v>8.33</v>
      </c>
      <c r="F1731">
        <v>8.1180000000000003</v>
      </c>
    </row>
    <row r="1732" spans="1:6" hidden="1" x14ac:dyDescent="0.25">
      <c r="A1732">
        <f t="shared" si="56"/>
        <v>27</v>
      </c>
      <c r="B1732" s="37">
        <v>44831</v>
      </c>
      <c r="C1732" t="s">
        <v>31</v>
      </c>
      <c r="D1732">
        <f t="shared" si="57"/>
        <v>2022</v>
      </c>
      <c r="E1732">
        <v>8.3699999999999992</v>
      </c>
      <c r="F1732">
        <v>8.1018000000000008</v>
      </c>
    </row>
    <row r="1733" spans="1:6" hidden="1" x14ac:dyDescent="0.25">
      <c r="A1733">
        <f t="shared" si="56"/>
        <v>28</v>
      </c>
      <c r="B1733" s="37">
        <v>44832</v>
      </c>
      <c r="C1733" t="s">
        <v>31</v>
      </c>
      <c r="D1733">
        <f t="shared" si="57"/>
        <v>2022</v>
      </c>
      <c r="E1733">
        <v>8.43</v>
      </c>
      <c r="F1733">
        <v>8.1418999999999997</v>
      </c>
    </row>
    <row r="1734" spans="1:6" hidden="1" x14ac:dyDescent="0.25">
      <c r="A1734">
        <f t="shared" si="56"/>
        <v>29</v>
      </c>
      <c r="B1734" s="37">
        <v>44833</v>
      </c>
      <c r="C1734" t="s">
        <v>31</v>
      </c>
      <c r="D1734">
        <f t="shared" si="57"/>
        <v>2022</v>
      </c>
      <c r="E1734">
        <v>8.41</v>
      </c>
      <c r="F1734">
        <v>8.1475000000000009</v>
      </c>
    </row>
    <row r="1735" spans="1:6" hidden="1" x14ac:dyDescent="0.25">
      <c r="A1735">
        <f t="shared" si="56"/>
        <v>30</v>
      </c>
      <c r="B1735" s="37">
        <v>44834</v>
      </c>
      <c r="C1735" t="s">
        <v>31</v>
      </c>
      <c r="D1735">
        <f t="shared" si="57"/>
        <v>2022</v>
      </c>
      <c r="E1735">
        <v>8.35</v>
      </c>
      <c r="F1735">
        <v>8.1837</v>
      </c>
    </row>
    <row r="1736" spans="1:6" hidden="1" x14ac:dyDescent="0.25">
      <c r="A1736">
        <f t="shared" si="56"/>
        <v>1</v>
      </c>
      <c r="B1736" s="37">
        <v>44835</v>
      </c>
      <c r="C1736" t="s">
        <v>32</v>
      </c>
      <c r="D1736">
        <f t="shared" si="57"/>
        <v>2022</v>
      </c>
      <c r="E1736">
        <v>8.3000000000000007</v>
      </c>
      <c r="F1736">
        <v>7.8552999999999997</v>
      </c>
    </row>
    <row r="1737" spans="1:6" hidden="1" x14ac:dyDescent="0.25">
      <c r="A1737">
        <f t="shared" si="56"/>
        <v>2</v>
      </c>
      <c r="B1737" s="37">
        <v>44836</v>
      </c>
      <c r="C1737" t="s">
        <v>32</v>
      </c>
      <c r="D1737">
        <f t="shared" si="57"/>
        <v>2022</v>
      </c>
      <c r="E1737">
        <v>8.3000000000000007</v>
      </c>
      <c r="F1737">
        <v>7.8552999999999997</v>
      </c>
    </row>
    <row r="1738" spans="1:6" hidden="1" x14ac:dyDescent="0.25">
      <c r="A1738">
        <f t="shared" si="56"/>
        <v>3</v>
      </c>
      <c r="B1738" s="37">
        <v>44837</v>
      </c>
      <c r="C1738" t="s">
        <v>32</v>
      </c>
      <c r="D1738">
        <f t="shared" si="57"/>
        <v>2022</v>
      </c>
      <c r="E1738">
        <v>8.31</v>
      </c>
      <c r="F1738">
        <v>8.2035999999999998</v>
      </c>
    </row>
    <row r="1739" spans="1:6" hidden="1" x14ac:dyDescent="0.25">
      <c r="A1739">
        <f t="shared" si="56"/>
        <v>4</v>
      </c>
      <c r="B1739" s="37">
        <v>44838</v>
      </c>
      <c r="C1739" t="s">
        <v>32</v>
      </c>
      <c r="D1739">
        <f t="shared" si="57"/>
        <v>2022</v>
      </c>
      <c r="E1739">
        <v>8.34</v>
      </c>
      <c r="F1739">
        <v>8.1714000000000002</v>
      </c>
    </row>
    <row r="1740" spans="1:6" hidden="1" x14ac:dyDescent="0.25">
      <c r="A1740">
        <f t="shared" si="56"/>
        <v>5</v>
      </c>
      <c r="B1740" s="37">
        <v>44839</v>
      </c>
      <c r="C1740" t="s">
        <v>32</v>
      </c>
      <c r="D1740">
        <f t="shared" si="57"/>
        <v>2022</v>
      </c>
      <c r="E1740">
        <v>8.3699999999999992</v>
      </c>
      <c r="F1740">
        <v>8.1922999999999995</v>
      </c>
    </row>
    <row r="1741" spans="1:6" hidden="1" x14ac:dyDescent="0.25">
      <c r="A1741">
        <f t="shared" si="56"/>
        <v>6</v>
      </c>
      <c r="B1741" s="37">
        <v>44840</v>
      </c>
      <c r="C1741" t="s">
        <v>32</v>
      </c>
      <c r="D1741">
        <f t="shared" si="57"/>
        <v>2022</v>
      </c>
      <c r="E1741">
        <v>8.59</v>
      </c>
      <c r="F1741">
        <v>8.2087000000000003</v>
      </c>
    </row>
    <row r="1742" spans="1:6" hidden="1" x14ac:dyDescent="0.25">
      <c r="A1742">
        <f t="shared" si="56"/>
        <v>7</v>
      </c>
      <c r="B1742" s="37">
        <v>44841</v>
      </c>
      <c r="C1742" t="s">
        <v>32</v>
      </c>
      <c r="D1742">
        <f t="shared" si="57"/>
        <v>2022</v>
      </c>
      <c r="E1742">
        <v>8.85</v>
      </c>
      <c r="F1742">
        <v>8.2102000000000004</v>
      </c>
    </row>
    <row r="1743" spans="1:6" hidden="1" x14ac:dyDescent="0.25">
      <c r="A1743">
        <f t="shared" si="56"/>
        <v>8</v>
      </c>
      <c r="B1743" s="37">
        <v>44842</v>
      </c>
      <c r="C1743" t="s">
        <v>32</v>
      </c>
      <c r="D1743">
        <f t="shared" si="57"/>
        <v>2022</v>
      </c>
      <c r="E1743">
        <v>8.82</v>
      </c>
      <c r="F1743">
        <v>8.2102000000000004</v>
      </c>
    </row>
    <row r="1744" spans="1:6" hidden="1" x14ac:dyDescent="0.25">
      <c r="A1744">
        <f t="shared" si="56"/>
        <v>9</v>
      </c>
      <c r="B1744" s="37">
        <v>44843</v>
      </c>
      <c r="C1744" t="s">
        <v>32</v>
      </c>
      <c r="D1744">
        <f t="shared" si="57"/>
        <v>2022</v>
      </c>
      <c r="E1744">
        <v>8.82</v>
      </c>
      <c r="F1744">
        <v>8.2102000000000004</v>
      </c>
    </row>
    <row r="1745" spans="1:6" hidden="1" x14ac:dyDescent="0.25">
      <c r="A1745">
        <f t="shared" si="56"/>
        <v>10</v>
      </c>
      <c r="B1745" s="37">
        <v>44844</v>
      </c>
      <c r="C1745" t="s">
        <v>32</v>
      </c>
      <c r="D1745">
        <f t="shared" si="57"/>
        <v>2022</v>
      </c>
      <c r="E1745">
        <v>8.8000000000000007</v>
      </c>
      <c r="F1745">
        <v>8.2346000000000004</v>
      </c>
    </row>
    <row r="1746" spans="1:6" hidden="1" x14ac:dyDescent="0.25">
      <c r="A1746">
        <f t="shared" si="56"/>
        <v>11</v>
      </c>
      <c r="B1746" s="37">
        <v>44845</v>
      </c>
      <c r="C1746" t="s">
        <v>32</v>
      </c>
      <c r="D1746">
        <f t="shared" si="57"/>
        <v>2022</v>
      </c>
      <c r="E1746">
        <v>8.7899999999999991</v>
      </c>
      <c r="F1746">
        <v>8.2112999999999996</v>
      </c>
    </row>
    <row r="1747" spans="1:6" hidden="1" x14ac:dyDescent="0.25">
      <c r="A1747">
        <f t="shared" si="56"/>
        <v>12</v>
      </c>
      <c r="B1747" s="37">
        <v>44846</v>
      </c>
      <c r="C1747" t="s">
        <v>32</v>
      </c>
      <c r="D1747">
        <f t="shared" si="57"/>
        <v>2022</v>
      </c>
      <c r="E1747">
        <v>8.85</v>
      </c>
      <c r="F1747">
        <v>8.2112999999999996</v>
      </c>
    </row>
    <row r="1748" spans="1:6" hidden="1" x14ac:dyDescent="0.25">
      <c r="A1748">
        <f t="shared" si="56"/>
        <v>13</v>
      </c>
      <c r="B1748" s="37">
        <v>44847</v>
      </c>
      <c r="C1748" t="s">
        <v>32</v>
      </c>
      <c r="D1748">
        <f t="shared" si="57"/>
        <v>2022</v>
      </c>
      <c r="E1748">
        <v>8.81</v>
      </c>
      <c r="F1748">
        <v>8.2681000000000004</v>
      </c>
    </row>
    <row r="1749" spans="1:6" hidden="1" x14ac:dyDescent="0.25">
      <c r="A1749">
        <f t="shared" si="56"/>
        <v>14</v>
      </c>
      <c r="B1749" s="37">
        <v>44848</v>
      </c>
      <c r="C1749" t="s">
        <v>32</v>
      </c>
      <c r="D1749">
        <f t="shared" si="57"/>
        <v>2022</v>
      </c>
      <c r="E1749">
        <v>8.76</v>
      </c>
      <c r="F1749">
        <v>8.2669999999999995</v>
      </c>
    </row>
    <row r="1750" spans="1:6" hidden="1" x14ac:dyDescent="0.25">
      <c r="A1750">
        <f t="shared" si="56"/>
        <v>15</v>
      </c>
      <c r="B1750" s="37">
        <v>44849</v>
      </c>
      <c r="C1750" t="s">
        <v>32</v>
      </c>
      <c r="D1750">
        <f t="shared" si="57"/>
        <v>2022</v>
      </c>
      <c r="E1750">
        <v>8.77</v>
      </c>
      <c r="F1750">
        <v>8.2669999999999995</v>
      </c>
    </row>
    <row r="1751" spans="1:6" hidden="1" x14ac:dyDescent="0.25">
      <c r="A1751">
        <f t="shared" si="56"/>
        <v>16</v>
      </c>
      <c r="B1751" s="37">
        <v>44850</v>
      </c>
      <c r="C1751" t="s">
        <v>32</v>
      </c>
      <c r="D1751">
        <f t="shared" si="57"/>
        <v>2022</v>
      </c>
      <c r="E1751">
        <v>8.77</v>
      </c>
      <c r="F1751">
        <v>8.2669999999999995</v>
      </c>
    </row>
    <row r="1752" spans="1:6" hidden="1" x14ac:dyDescent="0.25">
      <c r="A1752">
        <f t="shared" si="56"/>
        <v>17</v>
      </c>
      <c r="B1752" s="37">
        <v>44851</v>
      </c>
      <c r="C1752" t="s">
        <v>32</v>
      </c>
      <c r="D1752">
        <f t="shared" si="57"/>
        <v>2022</v>
      </c>
      <c r="E1752">
        <v>8.74</v>
      </c>
      <c r="F1752">
        <v>8.3078000000000003</v>
      </c>
    </row>
    <row r="1753" spans="1:6" hidden="1" x14ac:dyDescent="0.25">
      <c r="A1753">
        <f t="shared" si="56"/>
        <v>18</v>
      </c>
      <c r="B1753" s="37">
        <v>44852</v>
      </c>
      <c r="C1753" t="s">
        <v>32</v>
      </c>
      <c r="D1753">
        <f t="shared" si="57"/>
        <v>2022</v>
      </c>
      <c r="E1753">
        <v>8.74</v>
      </c>
      <c r="F1753">
        <v>8.2837999999999994</v>
      </c>
    </row>
    <row r="1754" spans="1:6" hidden="1" x14ac:dyDescent="0.25">
      <c r="A1754">
        <f t="shared" si="56"/>
        <v>19</v>
      </c>
      <c r="B1754" s="37">
        <v>44853</v>
      </c>
      <c r="C1754" t="s">
        <v>32</v>
      </c>
      <c r="D1754">
        <f t="shared" si="57"/>
        <v>2022</v>
      </c>
      <c r="E1754">
        <v>8.8000000000000007</v>
      </c>
      <c r="F1754">
        <v>8.3788</v>
      </c>
    </row>
    <row r="1755" spans="1:6" hidden="1" x14ac:dyDescent="0.25">
      <c r="A1755">
        <f t="shared" si="56"/>
        <v>20</v>
      </c>
      <c r="B1755" s="37">
        <v>44854</v>
      </c>
      <c r="C1755" t="s">
        <v>32</v>
      </c>
      <c r="D1755">
        <f t="shared" si="57"/>
        <v>2022</v>
      </c>
      <c r="E1755">
        <v>8.85</v>
      </c>
      <c r="F1755">
        <v>8.3719999999999999</v>
      </c>
    </row>
    <row r="1756" spans="1:6" hidden="1" x14ac:dyDescent="0.25">
      <c r="A1756">
        <f t="shared" si="56"/>
        <v>21</v>
      </c>
      <c r="B1756" s="37">
        <v>44855</v>
      </c>
      <c r="C1756" t="s">
        <v>32</v>
      </c>
      <c r="D1756">
        <f t="shared" si="57"/>
        <v>2022</v>
      </c>
      <c r="E1756">
        <v>8.84</v>
      </c>
      <c r="F1756">
        <v>8.3930000000000007</v>
      </c>
    </row>
    <row r="1757" spans="1:6" hidden="1" x14ac:dyDescent="0.25">
      <c r="A1757">
        <f t="shared" si="56"/>
        <v>22</v>
      </c>
      <c r="B1757" s="37">
        <v>44856</v>
      </c>
      <c r="C1757" t="s">
        <v>32</v>
      </c>
      <c r="D1757">
        <f t="shared" si="57"/>
        <v>2022</v>
      </c>
      <c r="E1757">
        <v>8.8800000000000008</v>
      </c>
      <c r="F1757">
        <v>8.3930000000000007</v>
      </c>
    </row>
    <row r="1758" spans="1:6" hidden="1" x14ac:dyDescent="0.25">
      <c r="A1758">
        <f t="shared" si="56"/>
        <v>23</v>
      </c>
      <c r="B1758" s="37">
        <v>44857</v>
      </c>
      <c r="C1758" t="s">
        <v>32</v>
      </c>
      <c r="D1758">
        <f t="shared" si="57"/>
        <v>2022</v>
      </c>
      <c r="E1758">
        <v>8.8800000000000008</v>
      </c>
      <c r="F1758">
        <v>8.3930000000000007</v>
      </c>
    </row>
    <row r="1759" spans="1:6" hidden="1" x14ac:dyDescent="0.25">
      <c r="A1759">
        <f t="shared" si="56"/>
        <v>24</v>
      </c>
      <c r="B1759" s="37">
        <v>44858</v>
      </c>
      <c r="C1759" t="s">
        <v>32</v>
      </c>
      <c r="D1759">
        <f t="shared" si="57"/>
        <v>2022</v>
      </c>
      <c r="E1759">
        <v>8.92</v>
      </c>
      <c r="F1759">
        <v>8.3930000000000007</v>
      </c>
    </row>
    <row r="1760" spans="1:6" hidden="1" x14ac:dyDescent="0.25">
      <c r="A1760">
        <f t="shared" si="56"/>
        <v>25</v>
      </c>
      <c r="B1760" s="37">
        <v>44859</v>
      </c>
      <c r="C1760" t="s">
        <v>32</v>
      </c>
      <c r="D1760">
        <f t="shared" si="57"/>
        <v>2022</v>
      </c>
      <c r="E1760">
        <v>9.02</v>
      </c>
      <c r="F1760">
        <v>8.4076000000000004</v>
      </c>
    </row>
    <row r="1761" spans="1:6" hidden="1" x14ac:dyDescent="0.25">
      <c r="A1761">
        <f t="shared" si="56"/>
        <v>26</v>
      </c>
      <c r="B1761" s="37">
        <v>44860</v>
      </c>
      <c r="C1761" t="s">
        <v>32</v>
      </c>
      <c r="D1761">
        <f t="shared" si="57"/>
        <v>2022</v>
      </c>
      <c r="E1761">
        <v>9.07</v>
      </c>
      <c r="F1761">
        <v>8.4095999999999993</v>
      </c>
    </row>
    <row r="1762" spans="1:6" hidden="1" x14ac:dyDescent="0.25">
      <c r="A1762">
        <f t="shared" si="56"/>
        <v>27</v>
      </c>
      <c r="B1762" s="37">
        <v>44861</v>
      </c>
      <c r="C1762" t="s">
        <v>32</v>
      </c>
      <c r="D1762">
        <f t="shared" si="57"/>
        <v>2022</v>
      </c>
      <c r="E1762">
        <v>9.06</v>
      </c>
      <c r="F1762">
        <v>8.4507999999999992</v>
      </c>
    </row>
    <row r="1763" spans="1:6" hidden="1" x14ac:dyDescent="0.25">
      <c r="A1763">
        <f t="shared" si="56"/>
        <v>28</v>
      </c>
      <c r="B1763" s="37">
        <v>44862</v>
      </c>
      <c r="C1763" t="s">
        <v>32</v>
      </c>
      <c r="D1763">
        <f t="shared" si="57"/>
        <v>2022</v>
      </c>
      <c r="E1763">
        <v>9.0299999999999994</v>
      </c>
      <c r="F1763">
        <v>8.5253999999999994</v>
      </c>
    </row>
    <row r="1764" spans="1:6" hidden="1" x14ac:dyDescent="0.25">
      <c r="A1764">
        <f t="shared" si="56"/>
        <v>29</v>
      </c>
      <c r="B1764" s="37">
        <v>44863</v>
      </c>
      <c r="C1764" t="s">
        <v>32</v>
      </c>
      <c r="D1764">
        <f t="shared" si="57"/>
        <v>2022</v>
      </c>
      <c r="E1764">
        <v>9.02</v>
      </c>
      <c r="F1764">
        <v>8.5253999999999994</v>
      </c>
    </row>
    <row r="1765" spans="1:6" hidden="1" x14ac:dyDescent="0.25">
      <c r="A1765">
        <f t="shared" si="56"/>
        <v>30</v>
      </c>
      <c r="B1765" s="37">
        <v>44864</v>
      </c>
      <c r="C1765" t="s">
        <v>32</v>
      </c>
      <c r="D1765">
        <f t="shared" si="57"/>
        <v>2022</v>
      </c>
      <c r="E1765">
        <v>9.01</v>
      </c>
      <c r="F1765">
        <v>8.5253999999999994</v>
      </c>
    </row>
    <row r="1766" spans="1:6" hidden="1" x14ac:dyDescent="0.25">
      <c r="A1766">
        <f t="shared" si="56"/>
        <v>31</v>
      </c>
      <c r="B1766" s="37">
        <v>44865</v>
      </c>
      <c r="C1766" t="s">
        <v>32</v>
      </c>
      <c r="D1766">
        <f t="shared" si="57"/>
        <v>2022</v>
      </c>
      <c r="E1766">
        <v>9.02</v>
      </c>
      <c r="F1766">
        <v>8.5253999999999994</v>
      </c>
    </row>
    <row r="1767" spans="1:6" hidden="1" x14ac:dyDescent="0.25">
      <c r="A1767">
        <f t="shared" si="56"/>
        <v>1</v>
      </c>
      <c r="B1767" s="37">
        <v>44866</v>
      </c>
      <c r="C1767" t="s">
        <v>33</v>
      </c>
      <c r="D1767">
        <f t="shared" si="57"/>
        <v>2022</v>
      </c>
      <c r="E1767">
        <v>9.0399999999999991</v>
      </c>
      <c r="F1767">
        <v>8.59</v>
      </c>
    </row>
    <row r="1768" spans="1:6" hidden="1" x14ac:dyDescent="0.25">
      <c r="A1768">
        <f t="shared" si="56"/>
        <v>2</v>
      </c>
      <c r="B1768" s="37">
        <v>44867</v>
      </c>
      <c r="C1768" t="s">
        <v>33</v>
      </c>
      <c r="D1768">
        <f t="shared" si="57"/>
        <v>2022</v>
      </c>
      <c r="E1768">
        <v>9.1</v>
      </c>
      <c r="F1768">
        <v>8.57</v>
      </c>
    </row>
    <row r="1769" spans="1:6" hidden="1" x14ac:dyDescent="0.25">
      <c r="A1769">
        <f t="shared" si="56"/>
        <v>3</v>
      </c>
      <c r="B1769" s="37">
        <v>44868</v>
      </c>
      <c r="C1769" t="s">
        <v>33</v>
      </c>
      <c r="D1769">
        <f t="shared" si="57"/>
        <v>2022</v>
      </c>
      <c r="E1769">
        <v>9.3800000000000008</v>
      </c>
      <c r="F1769">
        <v>8.64</v>
      </c>
    </row>
    <row r="1770" spans="1:6" hidden="1" x14ac:dyDescent="0.25">
      <c r="A1770">
        <f t="shared" si="56"/>
        <v>4</v>
      </c>
      <c r="B1770" s="37">
        <v>44869</v>
      </c>
      <c r="C1770" t="s">
        <v>33</v>
      </c>
      <c r="D1770">
        <f t="shared" si="57"/>
        <v>2022</v>
      </c>
      <c r="E1770">
        <v>9.68</v>
      </c>
      <c r="F1770">
        <v>8.66</v>
      </c>
    </row>
    <row r="1771" spans="1:6" hidden="1" x14ac:dyDescent="0.25">
      <c r="A1771">
        <f t="shared" si="56"/>
        <v>5</v>
      </c>
      <c r="B1771" s="37">
        <v>44870</v>
      </c>
      <c r="C1771" t="s">
        <v>33</v>
      </c>
      <c r="D1771">
        <f t="shared" si="57"/>
        <v>2022</v>
      </c>
      <c r="E1771">
        <v>9.68</v>
      </c>
      <c r="F1771">
        <v>8.66</v>
      </c>
    </row>
    <row r="1772" spans="1:6" hidden="1" x14ac:dyDescent="0.25">
      <c r="A1772">
        <f t="shared" si="56"/>
        <v>6</v>
      </c>
      <c r="B1772" s="37">
        <v>44871</v>
      </c>
      <c r="C1772" t="s">
        <v>33</v>
      </c>
      <c r="D1772">
        <f t="shared" si="57"/>
        <v>2022</v>
      </c>
      <c r="E1772">
        <v>9.68</v>
      </c>
      <c r="F1772">
        <v>8.66</v>
      </c>
    </row>
    <row r="1773" spans="1:6" hidden="1" x14ac:dyDescent="0.25">
      <c r="A1773">
        <f t="shared" si="56"/>
        <v>7</v>
      </c>
      <c r="B1773" s="37">
        <v>44872</v>
      </c>
      <c r="C1773" t="s">
        <v>33</v>
      </c>
      <c r="D1773">
        <f t="shared" si="57"/>
        <v>2022</v>
      </c>
      <c r="E1773">
        <v>9.68</v>
      </c>
      <c r="F1773">
        <v>8.77</v>
      </c>
    </row>
    <row r="1774" spans="1:6" hidden="1" x14ac:dyDescent="0.25">
      <c r="A1774">
        <f t="shared" si="56"/>
        <v>8</v>
      </c>
      <c r="B1774" s="37">
        <v>44873</v>
      </c>
      <c r="C1774" t="s">
        <v>33</v>
      </c>
      <c r="D1774">
        <f t="shared" si="57"/>
        <v>2022</v>
      </c>
      <c r="E1774">
        <v>10</v>
      </c>
      <c r="F1774">
        <v>8.73</v>
      </c>
    </row>
    <row r="1775" spans="1:6" hidden="1" x14ac:dyDescent="0.25">
      <c r="A1775">
        <f t="shared" si="56"/>
        <v>9</v>
      </c>
      <c r="B1775" s="37">
        <v>44874</v>
      </c>
      <c r="C1775" t="s">
        <v>33</v>
      </c>
      <c r="D1775">
        <f t="shared" si="57"/>
        <v>2022</v>
      </c>
      <c r="E1775">
        <v>10.36</v>
      </c>
      <c r="F1775">
        <v>8.82</v>
      </c>
    </row>
    <row r="1776" spans="1:6" hidden="1" x14ac:dyDescent="0.25">
      <c r="A1776">
        <f t="shared" si="56"/>
        <v>10</v>
      </c>
      <c r="B1776" s="37">
        <v>44875</v>
      </c>
      <c r="C1776" t="s">
        <v>33</v>
      </c>
      <c r="D1776">
        <f t="shared" si="57"/>
        <v>2022</v>
      </c>
      <c r="E1776">
        <v>10.42</v>
      </c>
      <c r="F1776">
        <v>8.93</v>
      </c>
    </row>
    <row r="1777" spans="1:6" hidden="1" x14ac:dyDescent="0.25">
      <c r="A1777">
        <f t="shared" si="56"/>
        <v>11</v>
      </c>
      <c r="B1777" s="37">
        <v>44876</v>
      </c>
      <c r="C1777" t="s">
        <v>33</v>
      </c>
      <c r="D1777">
        <f t="shared" si="57"/>
        <v>2022</v>
      </c>
      <c r="E1777">
        <v>10.86</v>
      </c>
      <c r="F1777">
        <v>9.2899999999999991</v>
      </c>
    </row>
    <row r="1778" spans="1:6" hidden="1" x14ac:dyDescent="0.25">
      <c r="A1778">
        <f t="shared" si="56"/>
        <v>12</v>
      </c>
      <c r="B1778" s="37">
        <v>44877</v>
      </c>
      <c r="C1778" t="s">
        <v>33</v>
      </c>
      <c r="D1778">
        <f t="shared" si="57"/>
        <v>2022</v>
      </c>
      <c r="E1778">
        <v>10.86</v>
      </c>
      <c r="F1778">
        <v>9.2899999999999991</v>
      </c>
    </row>
    <row r="1779" spans="1:6" hidden="1" x14ac:dyDescent="0.25">
      <c r="A1779">
        <f t="shared" si="56"/>
        <v>13</v>
      </c>
      <c r="B1779" s="37">
        <v>44878</v>
      </c>
      <c r="C1779" t="s">
        <v>33</v>
      </c>
      <c r="D1779">
        <f t="shared" si="57"/>
        <v>2022</v>
      </c>
      <c r="E1779">
        <v>10.86</v>
      </c>
      <c r="F1779">
        <v>9.2899999999999991</v>
      </c>
    </row>
    <row r="1780" spans="1:6" hidden="1" x14ac:dyDescent="0.25">
      <c r="A1780">
        <f t="shared" si="56"/>
        <v>14</v>
      </c>
      <c r="B1780" s="37">
        <v>44879</v>
      </c>
      <c r="C1780" t="s">
        <v>33</v>
      </c>
      <c r="D1780">
        <f t="shared" si="57"/>
        <v>2022</v>
      </c>
      <c r="E1780">
        <v>10.64</v>
      </c>
      <c r="F1780">
        <v>9.2899999999999991</v>
      </c>
    </row>
    <row r="1781" spans="1:6" hidden="1" x14ac:dyDescent="0.25">
      <c r="A1781">
        <f t="shared" si="56"/>
        <v>15</v>
      </c>
      <c r="B1781" s="37">
        <v>44880</v>
      </c>
      <c r="C1781" t="s">
        <v>33</v>
      </c>
      <c r="D1781">
        <f t="shared" si="57"/>
        <v>2022</v>
      </c>
      <c r="E1781">
        <v>11.05</v>
      </c>
      <c r="F1781">
        <v>9.31</v>
      </c>
    </row>
    <row r="1782" spans="1:6" hidden="1" x14ac:dyDescent="0.25">
      <c r="A1782">
        <f t="shared" si="56"/>
        <v>16</v>
      </c>
      <c r="B1782" s="37">
        <v>44881</v>
      </c>
      <c r="C1782" t="s">
        <v>33</v>
      </c>
      <c r="D1782">
        <f t="shared" si="57"/>
        <v>2022</v>
      </c>
      <c r="E1782">
        <v>11.37</v>
      </c>
      <c r="F1782">
        <v>9.42</v>
      </c>
    </row>
    <row r="1783" spans="1:6" hidden="1" x14ac:dyDescent="0.25">
      <c r="A1783">
        <f t="shared" si="56"/>
        <v>17</v>
      </c>
      <c r="B1783" s="37">
        <v>44882</v>
      </c>
      <c r="C1783" t="s">
        <v>33</v>
      </c>
      <c r="D1783">
        <f t="shared" si="57"/>
        <v>2022</v>
      </c>
      <c r="E1783">
        <v>11.54</v>
      </c>
      <c r="F1783">
        <v>9.56</v>
      </c>
    </row>
    <row r="1784" spans="1:6" hidden="1" x14ac:dyDescent="0.25">
      <c r="A1784">
        <f t="shared" ref="A1784:A1827" si="58">DAY(B1784)</f>
        <v>18</v>
      </c>
      <c r="B1784" s="37">
        <v>44883</v>
      </c>
      <c r="C1784" t="s">
        <v>33</v>
      </c>
      <c r="D1784">
        <f t="shared" ref="D1784:D1827" si="59">YEAR(B1784)</f>
        <v>2022</v>
      </c>
      <c r="E1784">
        <v>11.88</v>
      </c>
      <c r="F1784">
        <v>9.7899999999999991</v>
      </c>
    </row>
    <row r="1785" spans="1:6" hidden="1" x14ac:dyDescent="0.25">
      <c r="A1785">
        <f t="shared" si="58"/>
        <v>19</v>
      </c>
      <c r="B1785" s="37">
        <v>44884</v>
      </c>
      <c r="C1785" t="s">
        <v>33</v>
      </c>
      <c r="D1785">
        <f t="shared" si="59"/>
        <v>2022</v>
      </c>
      <c r="E1785">
        <v>11.88</v>
      </c>
      <c r="F1785">
        <v>9.7899999999999991</v>
      </c>
    </row>
    <row r="1786" spans="1:6" hidden="1" x14ac:dyDescent="0.25">
      <c r="A1786">
        <f t="shared" si="58"/>
        <v>20</v>
      </c>
      <c r="B1786" s="37">
        <v>44885</v>
      </c>
      <c r="C1786" t="s">
        <v>33</v>
      </c>
      <c r="D1786">
        <f t="shared" si="59"/>
        <v>2022</v>
      </c>
      <c r="E1786">
        <v>11.88</v>
      </c>
      <c r="F1786">
        <v>9.7899999999999991</v>
      </c>
    </row>
    <row r="1787" spans="1:6" hidden="1" x14ac:dyDescent="0.25">
      <c r="A1787">
        <f t="shared" si="58"/>
        <v>21</v>
      </c>
      <c r="B1787" s="37">
        <v>44886</v>
      </c>
      <c r="C1787" t="s">
        <v>33</v>
      </c>
      <c r="D1787">
        <f t="shared" si="59"/>
        <v>2022</v>
      </c>
      <c r="E1787">
        <v>11.5</v>
      </c>
      <c r="F1787">
        <v>9.7899999999999991</v>
      </c>
    </row>
    <row r="1788" spans="1:6" hidden="1" x14ac:dyDescent="0.25">
      <c r="A1788">
        <f t="shared" si="58"/>
        <v>22</v>
      </c>
      <c r="B1788" s="37">
        <v>44887</v>
      </c>
      <c r="C1788" t="s">
        <v>33</v>
      </c>
      <c r="D1788">
        <f t="shared" si="59"/>
        <v>2022</v>
      </c>
      <c r="E1788">
        <v>11.16</v>
      </c>
      <c r="F1788">
        <v>9.9786999999999999</v>
      </c>
    </row>
    <row r="1789" spans="1:6" hidden="1" x14ac:dyDescent="0.25">
      <c r="A1789">
        <f t="shared" si="58"/>
        <v>23</v>
      </c>
      <c r="B1789" s="37">
        <v>44888</v>
      </c>
      <c r="C1789" t="s">
        <v>33</v>
      </c>
      <c r="D1789">
        <f t="shared" si="59"/>
        <v>2022</v>
      </c>
      <c r="E1789">
        <v>11.63</v>
      </c>
      <c r="F1789">
        <v>9.9886999999999997</v>
      </c>
    </row>
    <row r="1790" spans="1:6" hidden="1" x14ac:dyDescent="0.25">
      <c r="A1790">
        <f t="shared" si="58"/>
        <v>24</v>
      </c>
      <c r="B1790" s="37">
        <v>44889</v>
      </c>
      <c r="C1790" t="s">
        <v>33</v>
      </c>
      <c r="D1790">
        <f t="shared" si="59"/>
        <v>2022</v>
      </c>
      <c r="E1790">
        <v>12.24</v>
      </c>
      <c r="F1790">
        <v>10.2346</v>
      </c>
    </row>
    <row r="1791" spans="1:6" hidden="1" x14ac:dyDescent="0.25">
      <c r="A1791">
        <f t="shared" si="58"/>
        <v>25</v>
      </c>
      <c r="B1791" s="37">
        <v>44890</v>
      </c>
      <c r="C1791" t="s">
        <v>33</v>
      </c>
      <c r="D1791">
        <f t="shared" si="59"/>
        <v>2022</v>
      </c>
      <c r="E1791">
        <v>12.63</v>
      </c>
      <c r="F1791">
        <v>10.4094</v>
      </c>
    </row>
    <row r="1792" spans="1:6" hidden="1" x14ac:dyDescent="0.25">
      <c r="A1792">
        <f t="shared" si="58"/>
        <v>26</v>
      </c>
      <c r="B1792" s="37">
        <v>44891</v>
      </c>
      <c r="C1792" t="s">
        <v>33</v>
      </c>
      <c r="D1792">
        <f t="shared" si="59"/>
        <v>2022</v>
      </c>
      <c r="E1792">
        <v>12.63</v>
      </c>
      <c r="F1792">
        <v>10.4094</v>
      </c>
    </row>
    <row r="1793" spans="1:6" hidden="1" x14ac:dyDescent="0.25">
      <c r="A1793">
        <f t="shared" si="58"/>
        <v>27</v>
      </c>
      <c r="B1793" s="37">
        <v>44892</v>
      </c>
      <c r="C1793" t="s">
        <v>33</v>
      </c>
      <c r="D1793">
        <f t="shared" si="59"/>
        <v>2022</v>
      </c>
      <c r="E1793">
        <v>12.63</v>
      </c>
      <c r="F1793">
        <v>10.4094</v>
      </c>
    </row>
    <row r="1794" spans="1:6" hidden="1" x14ac:dyDescent="0.25">
      <c r="A1794">
        <f t="shared" si="58"/>
        <v>28</v>
      </c>
      <c r="B1794" s="37">
        <v>44893</v>
      </c>
      <c r="C1794" t="s">
        <v>33</v>
      </c>
      <c r="D1794">
        <f t="shared" si="59"/>
        <v>2022</v>
      </c>
      <c r="E1794">
        <v>12.75</v>
      </c>
      <c r="F1794">
        <v>10.72</v>
      </c>
    </row>
    <row r="1795" spans="1:6" hidden="1" x14ac:dyDescent="0.25">
      <c r="A1795">
        <f t="shared" si="58"/>
        <v>29</v>
      </c>
      <c r="B1795" s="37">
        <v>44894</v>
      </c>
      <c r="C1795" t="s">
        <v>33</v>
      </c>
      <c r="D1795">
        <f t="shared" si="59"/>
        <v>2022</v>
      </c>
      <c r="E1795">
        <v>12.96</v>
      </c>
      <c r="F1795">
        <v>10.8</v>
      </c>
    </row>
    <row r="1796" spans="1:6" hidden="1" x14ac:dyDescent="0.25">
      <c r="A1796">
        <f t="shared" si="58"/>
        <v>30</v>
      </c>
      <c r="B1796" s="37">
        <v>44895</v>
      </c>
      <c r="C1796" t="s">
        <v>33</v>
      </c>
      <c r="D1796">
        <f t="shared" si="59"/>
        <v>2022</v>
      </c>
      <c r="E1796">
        <v>13.05</v>
      </c>
      <c r="F1796">
        <v>10.95</v>
      </c>
    </row>
    <row r="1797" spans="1:6" hidden="1" x14ac:dyDescent="0.25">
      <c r="A1797">
        <f t="shared" si="58"/>
        <v>1</v>
      </c>
      <c r="B1797" s="37">
        <v>44896</v>
      </c>
      <c r="C1797" t="s">
        <v>34</v>
      </c>
      <c r="D1797">
        <f t="shared" si="59"/>
        <v>2022</v>
      </c>
      <c r="E1797">
        <v>13.35</v>
      </c>
      <c r="F1797">
        <v>11.078900000000001</v>
      </c>
    </row>
    <row r="1798" spans="1:6" hidden="1" x14ac:dyDescent="0.25">
      <c r="A1798">
        <f t="shared" si="58"/>
        <v>2</v>
      </c>
      <c r="B1798" s="37">
        <v>44897</v>
      </c>
      <c r="C1798" t="s">
        <v>34</v>
      </c>
      <c r="D1798">
        <f t="shared" si="59"/>
        <v>2022</v>
      </c>
      <c r="E1798">
        <v>13.78</v>
      </c>
      <c r="F1798">
        <v>11.254799999999999</v>
      </c>
    </row>
    <row r="1799" spans="1:6" hidden="1" x14ac:dyDescent="0.25">
      <c r="A1799">
        <f t="shared" si="58"/>
        <v>3</v>
      </c>
      <c r="B1799" s="37">
        <v>44898</v>
      </c>
      <c r="C1799" t="s">
        <v>34</v>
      </c>
      <c r="D1799">
        <f t="shared" si="59"/>
        <v>2022</v>
      </c>
      <c r="E1799">
        <v>13.78</v>
      </c>
      <c r="F1799">
        <v>11.254799999999999</v>
      </c>
    </row>
    <row r="1800" spans="1:6" hidden="1" x14ac:dyDescent="0.25">
      <c r="A1800">
        <f t="shared" si="58"/>
        <v>4</v>
      </c>
      <c r="B1800" s="37">
        <v>44899</v>
      </c>
      <c r="C1800" t="s">
        <v>34</v>
      </c>
      <c r="D1800">
        <f t="shared" si="59"/>
        <v>2022</v>
      </c>
      <c r="E1800">
        <v>13.78</v>
      </c>
      <c r="F1800">
        <v>11.254799999999999</v>
      </c>
    </row>
    <row r="1801" spans="1:6" hidden="1" x14ac:dyDescent="0.25">
      <c r="A1801">
        <f t="shared" si="58"/>
        <v>5</v>
      </c>
      <c r="B1801" s="37">
        <v>44900</v>
      </c>
      <c r="C1801" t="s">
        <v>34</v>
      </c>
      <c r="D1801">
        <f t="shared" si="59"/>
        <v>2022</v>
      </c>
      <c r="E1801">
        <v>14.14</v>
      </c>
      <c r="F1801">
        <v>11.254799999999999</v>
      </c>
    </row>
    <row r="1802" spans="1:6" hidden="1" x14ac:dyDescent="0.25">
      <c r="A1802">
        <f t="shared" si="58"/>
        <v>6</v>
      </c>
      <c r="B1802" s="37">
        <v>44901</v>
      </c>
      <c r="C1802" t="s">
        <v>34</v>
      </c>
      <c r="D1802">
        <f t="shared" si="59"/>
        <v>2022</v>
      </c>
      <c r="E1802">
        <v>14.72</v>
      </c>
      <c r="F1802">
        <v>11.539</v>
      </c>
    </row>
    <row r="1803" spans="1:6" hidden="1" x14ac:dyDescent="0.25">
      <c r="A1803">
        <f t="shared" si="58"/>
        <v>7</v>
      </c>
      <c r="B1803" s="37">
        <v>44902</v>
      </c>
      <c r="C1803" t="s">
        <v>34</v>
      </c>
      <c r="D1803">
        <f t="shared" si="59"/>
        <v>2022</v>
      </c>
      <c r="E1803">
        <v>15.37</v>
      </c>
      <c r="F1803">
        <v>11.691800000000001</v>
      </c>
    </row>
    <row r="1804" spans="1:6" hidden="1" x14ac:dyDescent="0.25">
      <c r="A1804">
        <f t="shared" si="58"/>
        <v>8</v>
      </c>
      <c r="B1804" s="37">
        <v>44903</v>
      </c>
      <c r="C1804" t="s">
        <v>34</v>
      </c>
      <c r="D1804">
        <f t="shared" si="59"/>
        <v>2022</v>
      </c>
      <c r="E1804">
        <v>16.2</v>
      </c>
      <c r="F1804">
        <v>11.860799999999999</v>
      </c>
    </row>
    <row r="1805" spans="1:6" hidden="1" x14ac:dyDescent="0.25">
      <c r="A1805">
        <f t="shared" si="58"/>
        <v>9</v>
      </c>
      <c r="B1805" s="37">
        <v>44904</v>
      </c>
      <c r="C1805" t="s">
        <v>34</v>
      </c>
      <c r="D1805">
        <f t="shared" si="59"/>
        <v>2022</v>
      </c>
      <c r="E1805">
        <v>18.260000000000002</v>
      </c>
      <c r="F1805">
        <v>12.6615</v>
      </c>
    </row>
    <row r="1806" spans="1:6" hidden="1" x14ac:dyDescent="0.25">
      <c r="A1806">
        <f t="shared" si="58"/>
        <v>10</v>
      </c>
      <c r="B1806" s="37">
        <v>44905</v>
      </c>
      <c r="C1806" t="s">
        <v>34</v>
      </c>
      <c r="D1806">
        <f t="shared" si="59"/>
        <v>2022</v>
      </c>
      <c r="E1806">
        <v>18.260000000000002</v>
      </c>
      <c r="F1806">
        <v>12.6615</v>
      </c>
    </row>
    <row r="1807" spans="1:6" hidden="1" x14ac:dyDescent="0.25">
      <c r="A1807">
        <f t="shared" si="58"/>
        <v>11</v>
      </c>
      <c r="B1807" s="37">
        <v>44906</v>
      </c>
      <c r="C1807" t="s">
        <v>34</v>
      </c>
      <c r="D1807">
        <f t="shared" si="59"/>
        <v>2022</v>
      </c>
      <c r="E1807">
        <v>18.260000000000002</v>
      </c>
      <c r="F1807">
        <v>12.6615</v>
      </c>
    </row>
    <row r="1808" spans="1:6" hidden="1" x14ac:dyDescent="0.25">
      <c r="A1808">
        <f t="shared" si="58"/>
        <v>12</v>
      </c>
      <c r="B1808" s="37">
        <v>44907</v>
      </c>
      <c r="C1808" t="s">
        <v>34</v>
      </c>
      <c r="D1808">
        <f t="shared" si="59"/>
        <v>2022</v>
      </c>
      <c r="E1808">
        <v>17.45</v>
      </c>
      <c r="F1808">
        <v>12.6615</v>
      </c>
    </row>
    <row r="1809" spans="1:6" hidden="1" x14ac:dyDescent="0.25">
      <c r="A1809">
        <f t="shared" si="58"/>
        <v>13</v>
      </c>
      <c r="B1809" s="37">
        <v>44908</v>
      </c>
      <c r="C1809" t="s">
        <v>34</v>
      </c>
      <c r="D1809">
        <f t="shared" si="59"/>
        <v>2022</v>
      </c>
      <c r="E1809">
        <v>15.89</v>
      </c>
      <c r="F1809">
        <v>13.5966</v>
      </c>
    </row>
    <row r="1810" spans="1:6" hidden="1" x14ac:dyDescent="0.25">
      <c r="A1810">
        <f t="shared" si="58"/>
        <v>14</v>
      </c>
      <c r="B1810" s="37">
        <v>44909</v>
      </c>
      <c r="C1810" t="s">
        <v>34</v>
      </c>
      <c r="D1810">
        <f t="shared" si="59"/>
        <v>2022</v>
      </c>
      <c r="E1810">
        <v>17.41</v>
      </c>
      <c r="F1810">
        <v>14.1251</v>
      </c>
    </row>
    <row r="1811" spans="1:6" hidden="1" x14ac:dyDescent="0.25">
      <c r="A1811">
        <f t="shared" si="58"/>
        <v>15</v>
      </c>
      <c r="B1811" s="37">
        <v>44910</v>
      </c>
      <c r="C1811" t="s">
        <v>34</v>
      </c>
      <c r="D1811">
        <f t="shared" si="59"/>
        <v>2022</v>
      </c>
      <c r="E1811">
        <v>17.8</v>
      </c>
      <c r="F1811">
        <v>14.7646</v>
      </c>
    </row>
    <row r="1812" spans="1:6" hidden="1" x14ac:dyDescent="0.25">
      <c r="A1812">
        <f t="shared" si="58"/>
        <v>16</v>
      </c>
      <c r="B1812" s="37">
        <v>44911</v>
      </c>
      <c r="C1812" t="s">
        <v>34</v>
      </c>
      <c r="D1812">
        <f t="shared" si="59"/>
        <v>2022</v>
      </c>
      <c r="E1812">
        <v>17.14</v>
      </c>
      <c r="F1812">
        <v>15.2354</v>
      </c>
    </row>
    <row r="1813" spans="1:6" hidden="1" x14ac:dyDescent="0.25">
      <c r="A1813">
        <f t="shared" si="58"/>
        <v>17</v>
      </c>
      <c r="B1813" s="37">
        <v>44912</v>
      </c>
      <c r="C1813" t="s">
        <v>34</v>
      </c>
      <c r="D1813">
        <f t="shared" si="59"/>
        <v>2022</v>
      </c>
      <c r="E1813">
        <v>17.14</v>
      </c>
      <c r="F1813">
        <v>15.2354</v>
      </c>
    </row>
    <row r="1814" spans="1:6" hidden="1" x14ac:dyDescent="0.25">
      <c r="A1814">
        <f t="shared" si="58"/>
        <v>18</v>
      </c>
      <c r="B1814" s="37">
        <v>44913</v>
      </c>
      <c r="C1814" t="s">
        <v>34</v>
      </c>
      <c r="D1814">
        <f t="shared" si="59"/>
        <v>2022</v>
      </c>
      <c r="E1814">
        <v>17.14</v>
      </c>
      <c r="F1814">
        <v>15.2354</v>
      </c>
    </row>
    <row r="1815" spans="1:6" hidden="1" x14ac:dyDescent="0.25">
      <c r="A1815">
        <f t="shared" si="58"/>
        <v>19</v>
      </c>
      <c r="B1815" s="37">
        <v>44914</v>
      </c>
      <c r="C1815" t="s">
        <v>34</v>
      </c>
      <c r="D1815">
        <f t="shared" si="59"/>
        <v>2022</v>
      </c>
      <c r="E1815">
        <v>17.12</v>
      </c>
      <c r="F1815">
        <v>15.5716</v>
      </c>
    </row>
    <row r="1816" spans="1:6" hidden="1" x14ac:dyDescent="0.25">
      <c r="A1816">
        <f t="shared" si="58"/>
        <v>20</v>
      </c>
      <c r="B1816" s="37">
        <v>44915</v>
      </c>
      <c r="C1816" t="s">
        <v>34</v>
      </c>
      <c r="D1816">
        <f t="shared" si="59"/>
        <v>2022</v>
      </c>
      <c r="E1816">
        <v>17.82</v>
      </c>
      <c r="F1816">
        <v>15.7668</v>
      </c>
    </row>
    <row r="1817" spans="1:6" hidden="1" x14ac:dyDescent="0.25">
      <c r="A1817">
        <f t="shared" si="58"/>
        <v>21</v>
      </c>
      <c r="B1817" s="37">
        <v>44916</v>
      </c>
      <c r="C1817" t="s">
        <v>34</v>
      </c>
      <c r="D1817">
        <f t="shared" si="59"/>
        <v>2022</v>
      </c>
      <c r="E1817">
        <v>17.989999999999998</v>
      </c>
      <c r="F1817">
        <v>16.000599999999999</v>
      </c>
    </row>
    <row r="1818" spans="1:6" hidden="1" x14ac:dyDescent="0.25">
      <c r="A1818">
        <f t="shared" si="58"/>
        <v>22</v>
      </c>
      <c r="B1818" s="37">
        <v>44917</v>
      </c>
      <c r="C1818" t="s">
        <v>34</v>
      </c>
      <c r="D1818">
        <f t="shared" si="59"/>
        <v>2022</v>
      </c>
      <c r="E1818">
        <v>17.61</v>
      </c>
      <c r="F1818">
        <v>16.041799999999999</v>
      </c>
    </row>
    <row r="1819" spans="1:6" hidden="1" x14ac:dyDescent="0.25">
      <c r="A1819">
        <f t="shared" si="58"/>
        <v>23</v>
      </c>
      <c r="B1819" s="37">
        <v>44918</v>
      </c>
      <c r="C1819" t="s">
        <v>34</v>
      </c>
      <c r="D1819">
        <f t="shared" si="59"/>
        <v>2022</v>
      </c>
      <c r="E1819">
        <v>17.45</v>
      </c>
      <c r="F1819">
        <v>16.177700000000002</v>
      </c>
    </row>
    <row r="1820" spans="1:6" hidden="1" x14ac:dyDescent="0.25">
      <c r="A1820">
        <f t="shared" si="58"/>
        <v>24</v>
      </c>
      <c r="B1820" s="37">
        <v>44919</v>
      </c>
      <c r="C1820" t="s">
        <v>34</v>
      </c>
      <c r="D1820">
        <f t="shared" si="59"/>
        <v>2022</v>
      </c>
      <c r="E1820">
        <v>17.45</v>
      </c>
      <c r="F1820">
        <v>16.177700000000002</v>
      </c>
    </row>
    <row r="1821" spans="1:6" hidden="1" x14ac:dyDescent="0.25">
      <c r="A1821">
        <f t="shared" si="58"/>
        <v>25</v>
      </c>
      <c r="B1821" s="37">
        <v>44920</v>
      </c>
      <c r="C1821" t="s">
        <v>34</v>
      </c>
      <c r="D1821">
        <f t="shared" si="59"/>
        <v>2022</v>
      </c>
      <c r="E1821">
        <v>17.45</v>
      </c>
      <c r="F1821">
        <v>16.177700000000002</v>
      </c>
    </row>
    <row r="1822" spans="1:6" hidden="1" x14ac:dyDescent="0.25">
      <c r="A1822">
        <f t="shared" si="58"/>
        <v>26</v>
      </c>
      <c r="B1822" s="37">
        <v>44921</v>
      </c>
      <c r="C1822" t="s">
        <v>34</v>
      </c>
      <c r="D1822">
        <f t="shared" si="59"/>
        <v>2022</v>
      </c>
      <c r="E1822">
        <v>18.420000000000002</v>
      </c>
      <c r="F1822">
        <v>16.452300000000001</v>
      </c>
    </row>
    <row r="1823" spans="1:6" hidden="1" x14ac:dyDescent="0.25">
      <c r="A1823">
        <f t="shared" si="58"/>
        <v>27</v>
      </c>
      <c r="B1823" s="37">
        <v>44922</v>
      </c>
      <c r="C1823" t="s">
        <v>34</v>
      </c>
      <c r="D1823">
        <f t="shared" si="59"/>
        <v>2022</v>
      </c>
      <c r="E1823">
        <v>18.95</v>
      </c>
      <c r="F1823">
        <v>16.566299999999998</v>
      </c>
    </row>
    <row r="1824" spans="1:6" hidden="1" x14ac:dyDescent="0.25">
      <c r="A1824">
        <f t="shared" si="58"/>
        <v>28</v>
      </c>
      <c r="B1824" s="37">
        <v>44923</v>
      </c>
      <c r="C1824" t="s">
        <v>34</v>
      </c>
      <c r="D1824">
        <f t="shared" si="59"/>
        <v>2022</v>
      </c>
      <c r="E1824">
        <v>19.07</v>
      </c>
      <c r="F1824">
        <v>16.566600000000001</v>
      </c>
    </row>
    <row r="1825" spans="1:6" hidden="1" x14ac:dyDescent="0.25">
      <c r="A1825">
        <f t="shared" si="58"/>
        <v>29</v>
      </c>
      <c r="B1825" s="37">
        <v>44924</v>
      </c>
      <c r="C1825" t="s">
        <v>34</v>
      </c>
      <c r="D1825">
        <f t="shared" si="59"/>
        <v>2022</v>
      </c>
      <c r="E1825">
        <v>19.239999999999998</v>
      </c>
      <c r="F1825">
        <v>16.802800000000001</v>
      </c>
    </row>
    <row r="1826" spans="1:6" hidden="1" x14ac:dyDescent="0.25">
      <c r="A1826">
        <f t="shared" si="58"/>
        <v>30</v>
      </c>
      <c r="B1826" s="37">
        <v>44925</v>
      </c>
      <c r="C1826" t="s">
        <v>34</v>
      </c>
      <c r="D1826">
        <f t="shared" si="59"/>
        <v>2022</v>
      </c>
      <c r="E1826">
        <v>19.239999999999998</v>
      </c>
      <c r="F1826">
        <v>17.27</v>
      </c>
    </row>
    <row r="1827" spans="1:6" hidden="1" x14ac:dyDescent="0.25">
      <c r="A1827">
        <f t="shared" si="58"/>
        <v>31</v>
      </c>
      <c r="B1827" s="37">
        <v>44926</v>
      </c>
      <c r="C1827" t="s">
        <v>34</v>
      </c>
      <c r="D1827">
        <f t="shared" si="59"/>
        <v>2022</v>
      </c>
      <c r="E1827">
        <v>19.239999999999998</v>
      </c>
      <c r="F1827">
        <v>17.27</v>
      </c>
    </row>
    <row r="1828" spans="1:6" x14ac:dyDescent="0.25">
      <c r="A1828">
        <f t="shared" ref="A1828:A1891" si="60">DAY(B1828)</f>
        <v>1</v>
      </c>
      <c r="B1828" s="37">
        <v>44927</v>
      </c>
      <c r="C1828" t="s">
        <v>23</v>
      </c>
      <c r="D1828">
        <f t="shared" ref="D1828:D1891" si="61">YEAR(B1828)</f>
        <v>2023</v>
      </c>
      <c r="E1828">
        <v>18.55</v>
      </c>
      <c r="F1828">
        <v>17.489000000000001</v>
      </c>
    </row>
    <row r="1829" spans="1:6" x14ac:dyDescent="0.25">
      <c r="A1829">
        <f t="shared" si="60"/>
        <v>2</v>
      </c>
      <c r="B1829" s="37">
        <v>44928</v>
      </c>
      <c r="C1829" t="s">
        <v>23</v>
      </c>
      <c r="D1829">
        <f t="shared" si="61"/>
        <v>2023</v>
      </c>
      <c r="E1829">
        <v>18.829999999999998</v>
      </c>
      <c r="F1829">
        <v>17.489000000000001</v>
      </c>
    </row>
    <row r="1830" spans="1:6" x14ac:dyDescent="0.25">
      <c r="A1830">
        <f t="shared" si="60"/>
        <v>3</v>
      </c>
      <c r="B1830" s="37">
        <v>44929</v>
      </c>
      <c r="C1830" t="s">
        <v>23</v>
      </c>
      <c r="D1830">
        <f t="shared" si="61"/>
        <v>2023</v>
      </c>
      <c r="E1830">
        <v>19.440000000000001</v>
      </c>
      <c r="F1830">
        <v>17.559100000000001</v>
      </c>
    </row>
    <row r="1831" spans="1:6" x14ac:dyDescent="0.25">
      <c r="A1831">
        <f t="shared" si="60"/>
        <v>4</v>
      </c>
      <c r="B1831" s="37">
        <v>44930</v>
      </c>
      <c r="C1831" t="s">
        <v>23</v>
      </c>
      <c r="D1831">
        <f t="shared" si="61"/>
        <v>2023</v>
      </c>
      <c r="E1831">
        <v>19.82</v>
      </c>
      <c r="F1831">
        <v>17.8643</v>
      </c>
    </row>
    <row r="1832" spans="1:6" x14ac:dyDescent="0.25">
      <c r="A1832">
        <f t="shared" si="60"/>
        <v>5</v>
      </c>
      <c r="B1832" s="37">
        <v>44931</v>
      </c>
      <c r="C1832" t="s">
        <v>23</v>
      </c>
      <c r="D1832">
        <f t="shared" si="61"/>
        <v>2023</v>
      </c>
      <c r="E1832">
        <v>20.28</v>
      </c>
      <c r="F1832">
        <v>17.944199999999999</v>
      </c>
    </row>
    <row r="1833" spans="1:6" x14ac:dyDescent="0.25">
      <c r="A1833">
        <f t="shared" si="60"/>
        <v>6</v>
      </c>
      <c r="B1833" s="37">
        <v>44932</v>
      </c>
      <c r="C1833" t="s">
        <v>23</v>
      </c>
      <c r="D1833">
        <f t="shared" si="61"/>
        <v>2023</v>
      </c>
      <c r="E1833">
        <v>20.61</v>
      </c>
      <c r="F1833">
        <v>18.394600000000001</v>
      </c>
    </row>
    <row r="1834" spans="1:6" x14ac:dyDescent="0.25">
      <c r="A1834">
        <f t="shared" si="60"/>
        <v>7</v>
      </c>
      <c r="B1834" s="37">
        <v>44933</v>
      </c>
      <c r="C1834" t="s">
        <v>23</v>
      </c>
      <c r="D1834">
        <f t="shared" si="61"/>
        <v>2023</v>
      </c>
      <c r="E1834">
        <v>20.61</v>
      </c>
      <c r="F1834">
        <v>18.394600000000001</v>
      </c>
    </row>
    <row r="1835" spans="1:6" x14ac:dyDescent="0.25">
      <c r="A1835">
        <f t="shared" si="60"/>
        <v>8</v>
      </c>
      <c r="B1835" s="37">
        <v>44934</v>
      </c>
      <c r="C1835" t="s">
        <v>23</v>
      </c>
      <c r="D1835">
        <f t="shared" si="61"/>
        <v>2023</v>
      </c>
      <c r="E1835">
        <v>20.61</v>
      </c>
      <c r="F1835">
        <v>18.394600000000001</v>
      </c>
    </row>
    <row r="1836" spans="1:6" x14ac:dyDescent="0.25">
      <c r="A1836">
        <f t="shared" si="60"/>
        <v>9</v>
      </c>
      <c r="B1836" s="37">
        <v>44935</v>
      </c>
      <c r="C1836" t="s">
        <v>23</v>
      </c>
      <c r="D1836">
        <f t="shared" si="61"/>
        <v>2023</v>
      </c>
      <c r="E1836">
        <v>20.09</v>
      </c>
      <c r="F1836">
        <v>18.394600000000001</v>
      </c>
    </row>
    <row r="1837" spans="1:6" x14ac:dyDescent="0.25">
      <c r="A1837">
        <f t="shared" si="60"/>
        <v>10</v>
      </c>
      <c r="B1837" s="37">
        <v>44936</v>
      </c>
      <c r="C1837" t="s">
        <v>23</v>
      </c>
      <c r="D1837">
        <f t="shared" si="61"/>
        <v>2023</v>
      </c>
      <c r="E1837">
        <v>20.23</v>
      </c>
      <c r="F1837">
        <v>18.613800000000001</v>
      </c>
    </row>
    <row r="1838" spans="1:6" x14ac:dyDescent="0.25">
      <c r="A1838">
        <f t="shared" si="60"/>
        <v>11</v>
      </c>
      <c r="B1838" s="37">
        <v>44937</v>
      </c>
      <c r="C1838" t="s">
        <v>23</v>
      </c>
      <c r="D1838">
        <f t="shared" si="61"/>
        <v>2023</v>
      </c>
      <c r="E1838">
        <v>20.67</v>
      </c>
      <c r="F1838">
        <v>18.809200000000001</v>
      </c>
    </row>
    <row r="1839" spans="1:6" x14ac:dyDescent="0.25">
      <c r="A1839">
        <f t="shared" si="60"/>
        <v>12</v>
      </c>
      <c r="B1839" s="37">
        <v>44938</v>
      </c>
      <c r="C1839" t="s">
        <v>23</v>
      </c>
      <c r="D1839">
        <f t="shared" si="61"/>
        <v>2023</v>
      </c>
      <c r="E1839">
        <v>21.21</v>
      </c>
      <c r="F1839">
        <v>19.053100000000001</v>
      </c>
    </row>
    <row r="1840" spans="1:6" x14ac:dyDescent="0.25">
      <c r="A1840">
        <f t="shared" si="60"/>
        <v>13</v>
      </c>
      <c r="B1840" s="37">
        <v>44939</v>
      </c>
      <c r="C1840" t="s">
        <v>23</v>
      </c>
      <c r="D1840">
        <f t="shared" si="61"/>
        <v>2023</v>
      </c>
      <c r="E1840">
        <v>20.93</v>
      </c>
      <c r="F1840">
        <v>19.278400000000001</v>
      </c>
    </row>
    <row r="1841" spans="1:6" x14ac:dyDescent="0.25">
      <c r="A1841">
        <f t="shared" si="60"/>
        <v>14</v>
      </c>
      <c r="B1841" s="37">
        <v>44940</v>
      </c>
      <c r="C1841" t="s">
        <v>23</v>
      </c>
      <c r="D1841">
        <f t="shared" si="61"/>
        <v>2023</v>
      </c>
      <c r="E1841">
        <v>20.93</v>
      </c>
      <c r="F1841">
        <v>19.278400000000001</v>
      </c>
    </row>
    <row r="1842" spans="1:6" x14ac:dyDescent="0.25">
      <c r="A1842">
        <f t="shared" si="60"/>
        <v>15</v>
      </c>
      <c r="B1842" s="37">
        <v>44941</v>
      </c>
      <c r="C1842" t="s">
        <v>23</v>
      </c>
      <c r="D1842">
        <f t="shared" si="61"/>
        <v>2023</v>
      </c>
      <c r="E1842">
        <v>20.93</v>
      </c>
      <c r="F1842">
        <v>19.278400000000001</v>
      </c>
    </row>
    <row r="1843" spans="1:6" x14ac:dyDescent="0.25">
      <c r="A1843">
        <f t="shared" si="60"/>
        <v>16</v>
      </c>
      <c r="B1843" s="37">
        <v>44942</v>
      </c>
      <c r="C1843" t="s">
        <v>23</v>
      </c>
      <c r="D1843">
        <f t="shared" si="61"/>
        <v>2023</v>
      </c>
      <c r="E1843">
        <v>20.98</v>
      </c>
      <c r="F1843">
        <v>19.452000000000002</v>
      </c>
    </row>
    <row r="1844" spans="1:6" x14ac:dyDescent="0.25">
      <c r="A1844">
        <f t="shared" si="60"/>
        <v>17</v>
      </c>
      <c r="B1844" s="37">
        <v>44943</v>
      </c>
      <c r="C1844" t="s">
        <v>23</v>
      </c>
      <c r="D1844">
        <f t="shared" si="61"/>
        <v>2023</v>
      </c>
      <c r="E1844">
        <v>21.77</v>
      </c>
      <c r="F1844">
        <v>19.663799999999998</v>
      </c>
    </row>
    <row r="1845" spans="1:6" x14ac:dyDescent="0.25">
      <c r="A1845">
        <f t="shared" si="60"/>
        <v>18</v>
      </c>
      <c r="B1845" s="37">
        <v>44944</v>
      </c>
      <c r="C1845" t="s">
        <v>23</v>
      </c>
      <c r="D1845">
        <f t="shared" si="61"/>
        <v>2023</v>
      </c>
      <c r="E1845">
        <v>22.2</v>
      </c>
      <c r="F1845">
        <v>19.9725</v>
      </c>
    </row>
    <row r="1846" spans="1:6" x14ac:dyDescent="0.25">
      <c r="A1846">
        <f t="shared" si="60"/>
        <v>19</v>
      </c>
      <c r="B1846" s="37">
        <v>44945</v>
      </c>
      <c r="C1846" t="s">
        <v>23</v>
      </c>
      <c r="D1846">
        <f t="shared" si="61"/>
        <v>2023</v>
      </c>
      <c r="E1846">
        <v>22.42</v>
      </c>
      <c r="F1846">
        <v>19.984500000000001</v>
      </c>
    </row>
    <row r="1847" spans="1:6" x14ac:dyDescent="0.25">
      <c r="A1847">
        <f t="shared" si="60"/>
        <v>20</v>
      </c>
      <c r="B1847" s="37">
        <v>44946</v>
      </c>
      <c r="C1847" t="s">
        <v>23</v>
      </c>
      <c r="D1847">
        <f t="shared" si="61"/>
        <v>2023</v>
      </c>
      <c r="E1847">
        <v>21.6</v>
      </c>
      <c r="F1847">
        <v>20.294799999999999</v>
      </c>
    </row>
    <row r="1848" spans="1:6" x14ac:dyDescent="0.25">
      <c r="A1848">
        <f t="shared" si="60"/>
        <v>21</v>
      </c>
      <c r="B1848" s="37">
        <v>44947</v>
      </c>
      <c r="C1848" t="s">
        <v>23</v>
      </c>
      <c r="D1848">
        <f t="shared" si="61"/>
        <v>2023</v>
      </c>
      <c r="E1848">
        <v>21.6</v>
      </c>
      <c r="F1848">
        <v>20.294799999999999</v>
      </c>
    </row>
    <row r="1849" spans="1:6" x14ac:dyDescent="0.25">
      <c r="A1849">
        <f t="shared" si="60"/>
        <v>22</v>
      </c>
      <c r="B1849" s="37">
        <v>44948</v>
      </c>
      <c r="C1849" t="s">
        <v>23</v>
      </c>
      <c r="D1849">
        <f t="shared" si="61"/>
        <v>2023</v>
      </c>
      <c r="E1849">
        <v>21.6</v>
      </c>
      <c r="F1849">
        <v>20.294799999999999</v>
      </c>
    </row>
    <row r="1850" spans="1:6" x14ac:dyDescent="0.25">
      <c r="A1850">
        <f t="shared" si="60"/>
        <v>23</v>
      </c>
      <c r="B1850" s="37">
        <v>44949</v>
      </c>
      <c r="C1850" t="s">
        <v>23</v>
      </c>
      <c r="D1850">
        <f t="shared" si="61"/>
        <v>2023</v>
      </c>
      <c r="E1850">
        <v>21.99</v>
      </c>
      <c r="F1850">
        <v>20.527200000000001</v>
      </c>
    </row>
    <row r="1851" spans="1:6" x14ac:dyDescent="0.25">
      <c r="A1851">
        <f t="shared" si="60"/>
        <v>24</v>
      </c>
      <c r="B1851" s="37">
        <v>44950</v>
      </c>
      <c r="C1851" t="s">
        <v>23</v>
      </c>
      <c r="D1851">
        <f t="shared" si="61"/>
        <v>2023</v>
      </c>
      <c r="E1851">
        <v>22.56</v>
      </c>
      <c r="F1851">
        <v>20.734000000000002</v>
      </c>
    </row>
    <row r="1852" spans="1:6" x14ac:dyDescent="0.25">
      <c r="A1852">
        <f t="shared" si="60"/>
        <v>25</v>
      </c>
      <c r="B1852" s="37">
        <v>44951</v>
      </c>
      <c r="C1852" t="s">
        <v>23</v>
      </c>
      <c r="D1852">
        <f t="shared" si="61"/>
        <v>2023</v>
      </c>
      <c r="E1852">
        <v>23.03</v>
      </c>
      <c r="F1852">
        <v>21.174399999999999</v>
      </c>
    </row>
    <row r="1853" spans="1:6" x14ac:dyDescent="0.25">
      <c r="A1853">
        <f t="shared" si="60"/>
        <v>26</v>
      </c>
      <c r="B1853" s="37">
        <v>44952</v>
      </c>
      <c r="C1853" t="s">
        <v>23</v>
      </c>
      <c r="D1853">
        <f t="shared" si="61"/>
        <v>2023</v>
      </c>
      <c r="E1853">
        <v>23.22</v>
      </c>
      <c r="F1853">
        <v>21.318899999999999</v>
      </c>
    </row>
    <row r="1854" spans="1:6" x14ac:dyDescent="0.25">
      <c r="A1854">
        <f t="shared" si="60"/>
        <v>27</v>
      </c>
      <c r="B1854" s="37">
        <v>44953</v>
      </c>
      <c r="C1854" t="s">
        <v>23</v>
      </c>
      <c r="D1854">
        <f t="shared" si="61"/>
        <v>2023</v>
      </c>
      <c r="E1854">
        <v>23.2</v>
      </c>
      <c r="F1854">
        <v>21.7271</v>
      </c>
    </row>
    <row r="1855" spans="1:6" x14ac:dyDescent="0.25">
      <c r="A1855">
        <f t="shared" si="60"/>
        <v>28</v>
      </c>
      <c r="B1855" s="37">
        <v>44954</v>
      </c>
      <c r="C1855" t="s">
        <v>23</v>
      </c>
      <c r="D1855">
        <f t="shared" si="61"/>
        <v>2023</v>
      </c>
      <c r="E1855">
        <v>23.2</v>
      </c>
      <c r="F1855">
        <v>21.7271</v>
      </c>
    </row>
    <row r="1856" spans="1:6" x14ac:dyDescent="0.25">
      <c r="A1856">
        <f t="shared" si="60"/>
        <v>29</v>
      </c>
      <c r="B1856" s="37">
        <v>44955</v>
      </c>
      <c r="C1856" t="s">
        <v>23</v>
      </c>
      <c r="D1856">
        <f t="shared" si="61"/>
        <v>2023</v>
      </c>
      <c r="E1856">
        <v>23.2</v>
      </c>
      <c r="F1856">
        <v>21.7271</v>
      </c>
    </row>
    <row r="1857" spans="1:6" x14ac:dyDescent="0.25">
      <c r="A1857">
        <f t="shared" si="60"/>
        <v>30</v>
      </c>
      <c r="B1857" s="37">
        <v>44956</v>
      </c>
      <c r="C1857" t="s">
        <v>23</v>
      </c>
      <c r="D1857">
        <f t="shared" si="61"/>
        <v>2023</v>
      </c>
      <c r="E1857">
        <v>22.8</v>
      </c>
      <c r="F1857">
        <v>21.7271</v>
      </c>
    </row>
    <row r="1858" spans="1:6" x14ac:dyDescent="0.25">
      <c r="A1858">
        <f t="shared" si="60"/>
        <v>31</v>
      </c>
      <c r="B1858" s="37">
        <v>44957</v>
      </c>
      <c r="C1858" t="s">
        <v>23</v>
      </c>
      <c r="D1858">
        <f t="shared" si="61"/>
        <v>2023</v>
      </c>
      <c r="E1858">
        <v>23</v>
      </c>
      <c r="F1858">
        <v>21.95</v>
      </c>
    </row>
    <row r="1859" spans="1:6" x14ac:dyDescent="0.25">
      <c r="A1859">
        <f t="shared" si="60"/>
        <v>1</v>
      </c>
      <c r="B1859" s="37">
        <v>44958</v>
      </c>
      <c r="C1859" t="s">
        <v>24</v>
      </c>
      <c r="D1859">
        <f t="shared" si="61"/>
        <v>2023</v>
      </c>
      <c r="E1859">
        <v>23.55</v>
      </c>
      <c r="F1859">
        <v>22.31776575</v>
      </c>
    </row>
    <row r="1860" spans="1:6" x14ac:dyDescent="0.25">
      <c r="A1860">
        <f t="shared" si="60"/>
        <v>2</v>
      </c>
      <c r="B1860" s="37">
        <v>44959</v>
      </c>
      <c r="C1860" t="s">
        <v>24</v>
      </c>
      <c r="D1860">
        <f t="shared" si="61"/>
        <v>2023</v>
      </c>
      <c r="E1860">
        <v>23.55</v>
      </c>
      <c r="F1860">
        <v>22.31776575</v>
      </c>
    </row>
    <row r="1861" spans="1:6" x14ac:dyDescent="0.25">
      <c r="A1861">
        <f t="shared" si="60"/>
        <v>3</v>
      </c>
      <c r="B1861" s="37">
        <v>44960</v>
      </c>
      <c r="C1861" t="s">
        <v>24</v>
      </c>
      <c r="D1861">
        <f t="shared" si="61"/>
        <v>2023</v>
      </c>
      <c r="E1861">
        <v>23.68</v>
      </c>
      <c r="F1861">
        <v>22.624098</v>
      </c>
    </row>
    <row r="1862" spans="1:6" x14ac:dyDescent="0.25">
      <c r="A1862">
        <f t="shared" si="60"/>
        <v>4</v>
      </c>
      <c r="B1862" s="37">
        <v>44961</v>
      </c>
      <c r="C1862" t="s">
        <v>24</v>
      </c>
      <c r="D1862">
        <f t="shared" si="61"/>
        <v>2023</v>
      </c>
      <c r="E1862">
        <v>24.06</v>
      </c>
      <c r="F1862">
        <v>22.848934499999999</v>
      </c>
    </row>
    <row r="1863" spans="1:6" x14ac:dyDescent="0.25">
      <c r="A1863">
        <f t="shared" si="60"/>
        <v>5</v>
      </c>
      <c r="B1863" s="37">
        <v>44962</v>
      </c>
      <c r="C1863" t="s">
        <v>24</v>
      </c>
      <c r="D1863">
        <f t="shared" si="61"/>
        <v>2023</v>
      </c>
      <c r="E1863">
        <v>24.68</v>
      </c>
      <c r="F1863">
        <v>23.090828250000001</v>
      </c>
    </row>
    <row r="1864" spans="1:6" x14ac:dyDescent="0.25">
      <c r="A1864">
        <f t="shared" si="60"/>
        <v>6</v>
      </c>
      <c r="B1864" s="37">
        <v>44963</v>
      </c>
      <c r="C1864" t="s">
        <v>24</v>
      </c>
      <c r="D1864">
        <f t="shared" si="61"/>
        <v>2023</v>
      </c>
      <c r="E1864">
        <v>24.06</v>
      </c>
      <c r="F1864">
        <v>22.848934499999999</v>
      </c>
    </row>
    <row r="1865" spans="1:6" x14ac:dyDescent="0.25">
      <c r="A1865">
        <f t="shared" si="60"/>
        <v>7</v>
      </c>
      <c r="B1865" s="37">
        <v>44964</v>
      </c>
      <c r="C1865" t="s">
        <v>24</v>
      </c>
      <c r="D1865">
        <f t="shared" si="61"/>
        <v>2023</v>
      </c>
      <c r="E1865">
        <v>24.68</v>
      </c>
      <c r="F1865">
        <v>23.090828250000001</v>
      </c>
    </row>
    <row r="1866" spans="1:6" x14ac:dyDescent="0.25">
      <c r="A1866">
        <f t="shared" si="60"/>
        <v>8</v>
      </c>
      <c r="B1866" s="37">
        <v>44965</v>
      </c>
      <c r="C1866" t="s">
        <v>24</v>
      </c>
      <c r="D1866">
        <f t="shared" si="61"/>
        <v>2023</v>
      </c>
      <c r="E1866">
        <v>25.02</v>
      </c>
      <c r="F1866">
        <v>23.553668250000001</v>
      </c>
    </row>
    <row r="1867" spans="1:6" x14ac:dyDescent="0.25">
      <c r="A1867">
        <f t="shared" si="60"/>
        <v>9</v>
      </c>
      <c r="B1867" s="37">
        <v>44966</v>
      </c>
      <c r="C1867" t="s">
        <v>24</v>
      </c>
      <c r="D1867">
        <f t="shared" si="61"/>
        <v>2023</v>
      </c>
      <c r="E1867">
        <v>24.82</v>
      </c>
      <c r="F1867">
        <v>23.8095</v>
      </c>
    </row>
    <row r="1868" spans="1:6" x14ac:dyDescent="0.25">
      <c r="A1868">
        <f t="shared" si="60"/>
        <v>10</v>
      </c>
      <c r="B1868" s="37">
        <v>44967</v>
      </c>
      <c r="C1868" t="s">
        <v>24</v>
      </c>
      <c r="D1868">
        <f t="shared" si="61"/>
        <v>2023</v>
      </c>
      <c r="E1868">
        <v>24.72</v>
      </c>
      <c r="F1868">
        <v>24.198499999999999</v>
      </c>
    </row>
    <row r="1869" spans="1:6" x14ac:dyDescent="0.25">
      <c r="A1869">
        <f t="shared" si="60"/>
        <v>11</v>
      </c>
      <c r="B1869" s="37">
        <v>44968</v>
      </c>
      <c r="C1869" t="s">
        <v>24</v>
      </c>
      <c r="D1869">
        <f t="shared" si="61"/>
        <v>2023</v>
      </c>
      <c r="E1869">
        <v>24.72</v>
      </c>
      <c r="F1869">
        <v>24.198499999999999</v>
      </c>
    </row>
    <row r="1870" spans="1:6" x14ac:dyDescent="0.25">
      <c r="A1870">
        <f t="shared" si="60"/>
        <v>12</v>
      </c>
      <c r="B1870" s="37">
        <v>44969</v>
      </c>
      <c r="C1870" t="s">
        <v>24</v>
      </c>
      <c r="D1870">
        <f t="shared" si="61"/>
        <v>2023</v>
      </c>
      <c r="E1870">
        <v>24.72</v>
      </c>
      <c r="F1870">
        <v>24.198499999999999</v>
      </c>
    </row>
    <row r="1871" spans="1:6" x14ac:dyDescent="0.25">
      <c r="A1871">
        <f t="shared" si="60"/>
        <v>13</v>
      </c>
      <c r="B1871" s="37">
        <v>44970</v>
      </c>
      <c r="C1871" t="s">
        <v>24</v>
      </c>
      <c r="D1871">
        <f t="shared" si="61"/>
        <v>2023</v>
      </c>
      <c r="E1871">
        <v>24.8</v>
      </c>
      <c r="F1871">
        <v>24.2</v>
      </c>
    </row>
    <row r="1872" spans="1:6" x14ac:dyDescent="0.25">
      <c r="A1872">
        <f t="shared" si="60"/>
        <v>14</v>
      </c>
      <c r="B1872" s="37">
        <v>44971</v>
      </c>
      <c r="C1872" t="s">
        <v>24</v>
      </c>
      <c r="D1872">
        <f t="shared" si="61"/>
        <v>2023</v>
      </c>
      <c r="E1872">
        <v>24.95</v>
      </c>
      <c r="F1872">
        <v>24.2531</v>
      </c>
    </row>
    <row r="1873" spans="1:6" x14ac:dyDescent="0.25">
      <c r="A1873">
        <f t="shared" si="60"/>
        <v>15</v>
      </c>
      <c r="B1873" s="37">
        <v>44972</v>
      </c>
      <c r="C1873" t="s">
        <v>24</v>
      </c>
      <c r="D1873">
        <f t="shared" si="61"/>
        <v>2023</v>
      </c>
      <c r="E1873">
        <v>25</v>
      </c>
      <c r="F1873">
        <v>24.3431</v>
      </c>
    </row>
    <row r="1874" spans="1:6" x14ac:dyDescent="0.25">
      <c r="A1874">
        <f t="shared" si="60"/>
        <v>16</v>
      </c>
      <c r="B1874" s="37">
        <v>44973</v>
      </c>
      <c r="C1874" t="s">
        <v>24</v>
      </c>
      <c r="D1874">
        <f t="shared" si="61"/>
        <v>2023</v>
      </c>
      <c r="E1874">
        <v>25.09</v>
      </c>
      <c r="F1874">
        <v>24.365200000000002</v>
      </c>
    </row>
    <row r="1875" spans="1:6" x14ac:dyDescent="0.25">
      <c r="A1875">
        <f t="shared" si="60"/>
        <v>17</v>
      </c>
      <c r="B1875" s="37">
        <v>44974</v>
      </c>
      <c r="C1875" t="s">
        <v>24</v>
      </c>
      <c r="D1875">
        <f t="shared" si="61"/>
        <v>2023</v>
      </c>
      <c r="E1875">
        <v>25.02</v>
      </c>
      <c r="F1875">
        <v>24.3874</v>
      </c>
    </row>
    <row r="1876" spans="1:6" x14ac:dyDescent="0.25">
      <c r="A1876">
        <f t="shared" si="60"/>
        <v>18</v>
      </c>
      <c r="B1876" s="37">
        <v>44975</v>
      </c>
      <c r="C1876" t="s">
        <v>24</v>
      </c>
      <c r="D1876">
        <f t="shared" si="61"/>
        <v>2023</v>
      </c>
      <c r="E1876">
        <v>25.02</v>
      </c>
      <c r="F1876">
        <v>24.3874</v>
      </c>
    </row>
    <row r="1877" spans="1:6" x14ac:dyDescent="0.25">
      <c r="A1877">
        <f t="shared" si="60"/>
        <v>19</v>
      </c>
      <c r="B1877" s="37">
        <v>44976</v>
      </c>
      <c r="C1877" t="s">
        <v>24</v>
      </c>
      <c r="D1877">
        <f t="shared" si="61"/>
        <v>2023</v>
      </c>
      <c r="E1877">
        <v>25.02</v>
      </c>
      <c r="F1877">
        <v>24.3874</v>
      </c>
    </row>
    <row r="1878" spans="1:6" x14ac:dyDescent="0.25">
      <c r="A1878">
        <f t="shared" si="60"/>
        <v>20</v>
      </c>
      <c r="B1878" s="37">
        <v>44977</v>
      </c>
      <c r="C1878" t="s">
        <v>24</v>
      </c>
      <c r="D1878">
        <f t="shared" si="61"/>
        <v>2023</v>
      </c>
      <c r="E1878">
        <v>25.02</v>
      </c>
      <c r="F1878">
        <v>24.3874</v>
      </c>
    </row>
    <row r="1879" spans="1:6" x14ac:dyDescent="0.25">
      <c r="A1879">
        <f t="shared" si="60"/>
        <v>21</v>
      </c>
      <c r="B1879" s="37">
        <v>44978</v>
      </c>
      <c r="C1879" t="s">
        <v>24</v>
      </c>
      <c r="D1879">
        <f t="shared" si="61"/>
        <v>2023</v>
      </c>
      <c r="E1879">
        <v>25.02</v>
      </c>
      <c r="F1879">
        <v>24.3874</v>
      </c>
    </row>
    <row r="1880" spans="1:6" x14ac:dyDescent="0.25">
      <c r="A1880">
        <f t="shared" si="60"/>
        <v>22</v>
      </c>
      <c r="B1880" s="37">
        <v>44979</v>
      </c>
      <c r="C1880" t="s">
        <v>24</v>
      </c>
      <c r="D1880">
        <f t="shared" si="61"/>
        <v>2023</v>
      </c>
      <c r="E1880">
        <v>25.02</v>
      </c>
      <c r="F1880">
        <v>24.401399999999999</v>
      </c>
    </row>
    <row r="1881" spans="1:6" x14ac:dyDescent="0.25">
      <c r="A1881">
        <f t="shared" si="60"/>
        <v>23</v>
      </c>
      <c r="B1881" s="37">
        <v>44980</v>
      </c>
      <c r="C1881" t="s">
        <v>24</v>
      </c>
      <c r="D1881">
        <f t="shared" si="61"/>
        <v>2023</v>
      </c>
      <c r="E1881">
        <v>25.12</v>
      </c>
      <c r="F1881">
        <v>24.391400000000001</v>
      </c>
    </row>
    <row r="1882" spans="1:6" x14ac:dyDescent="0.25">
      <c r="A1882">
        <f t="shared" si="60"/>
        <v>24</v>
      </c>
      <c r="B1882" s="37">
        <v>44981</v>
      </c>
      <c r="C1882" t="s">
        <v>24</v>
      </c>
      <c r="D1882">
        <f t="shared" si="61"/>
        <v>2023</v>
      </c>
      <c r="E1882">
        <v>24.85</v>
      </c>
      <c r="F1882">
        <v>24.370799999999999</v>
      </c>
    </row>
    <row r="1883" spans="1:6" x14ac:dyDescent="0.25">
      <c r="A1883">
        <f t="shared" si="60"/>
        <v>25</v>
      </c>
      <c r="B1883" s="37">
        <v>44982</v>
      </c>
      <c r="C1883" t="s">
        <v>24</v>
      </c>
      <c r="D1883">
        <f t="shared" si="61"/>
        <v>2023</v>
      </c>
      <c r="E1883">
        <v>24.85</v>
      </c>
      <c r="F1883">
        <v>24.37</v>
      </c>
    </row>
    <row r="1884" spans="1:6" x14ac:dyDescent="0.25">
      <c r="A1884">
        <f t="shared" si="60"/>
        <v>26</v>
      </c>
      <c r="B1884" s="37">
        <v>44983</v>
      </c>
      <c r="C1884" t="s">
        <v>24</v>
      </c>
      <c r="D1884">
        <f t="shared" si="61"/>
        <v>2023</v>
      </c>
      <c r="E1884">
        <v>24.85</v>
      </c>
      <c r="F1884">
        <v>24.37</v>
      </c>
    </row>
    <row r="1885" spans="1:6" x14ac:dyDescent="0.25">
      <c r="A1885">
        <f t="shared" si="60"/>
        <v>27</v>
      </c>
      <c r="B1885" s="37">
        <v>44984</v>
      </c>
      <c r="C1885" t="s">
        <v>24</v>
      </c>
      <c r="D1885">
        <f t="shared" si="61"/>
        <v>2023</v>
      </c>
      <c r="E1885">
        <v>25.05</v>
      </c>
      <c r="F1885">
        <v>24.41</v>
      </c>
    </row>
    <row r="1886" spans="1:6" x14ac:dyDescent="0.25">
      <c r="A1886">
        <f t="shared" si="60"/>
        <v>28</v>
      </c>
      <c r="B1886" s="37">
        <v>44985</v>
      </c>
      <c r="C1886" t="s">
        <v>24</v>
      </c>
      <c r="D1886">
        <f t="shared" si="61"/>
        <v>2023</v>
      </c>
      <c r="E1886">
        <v>24.7</v>
      </c>
      <c r="F1886">
        <v>24.36</v>
      </c>
    </row>
    <row r="1887" spans="1:6" x14ac:dyDescent="0.25">
      <c r="A1887">
        <f t="shared" si="60"/>
        <v>1</v>
      </c>
      <c r="B1887" s="37">
        <v>44986</v>
      </c>
      <c r="C1887" t="s">
        <v>25</v>
      </c>
      <c r="D1887">
        <f t="shared" si="61"/>
        <v>2023</v>
      </c>
      <c r="E1887">
        <v>24.46</v>
      </c>
      <c r="F1887">
        <v>24.360900000000001</v>
      </c>
    </row>
    <row r="1888" spans="1:6" x14ac:dyDescent="0.25">
      <c r="A1888">
        <f t="shared" si="60"/>
        <v>2</v>
      </c>
      <c r="B1888" s="37">
        <v>44987</v>
      </c>
      <c r="C1888" t="s">
        <v>25</v>
      </c>
      <c r="D1888">
        <f t="shared" si="61"/>
        <v>2023</v>
      </c>
      <c r="E1888">
        <v>24.49</v>
      </c>
      <c r="F1888">
        <v>24.357099999999999</v>
      </c>
    </row>
    <row r="1889" spans="1:6" x14ac:dyDescent="0.25">
      <c r="A1889">
        <f t="shared" si="60"/>
        <v>3</v>
      </c>
      <c r="B1889" s="37">
        <v>44988</v>
      </c>
      <c r="C1889" t="s">
        <v>25</v>
      </c>
      <c r="D1889">
        <f t="shared" si="61"/>
        <v>2023</v>
      </c>
      <c r="E1889">
        <v>24.64</v>
      </c>
      <c r="F1889">
        <v>24.356999999999999</v>
      </c>
    </row>
    <row r="1890" spans="1:6" x14ac:dyDescent="0.25">
      <c r="A1890">
        <f t="shared" si="60"/>
        <v>4</v>
      </c>
      <c r="B1890" s="37">
        <v>44989</v>
      </c>
      <c r="C1890" t="s">
        <v>25</v>
      </c>
      <c r="D1890">
        <f t="shared" si="61"/>
        <v>2023</v>
      </c>
      <c r="E1890">
        <v>24.64</v>
      </c>
      <c r="F1890">
        <v>24.356999999999999</v>
      </c>
    </row>
    <row r="1891" spans="1:6" x14ac:dyDescent="0.25">
      <c r="A1891">
        <f t="shared" si="60"/>
        <v>5</v>
      </c>
      <c r="B1891" s="37">
        <v>44990</v>
      </c>
      <c r="C1891" t="s">
        <v>25</v>
      </c>
      <c r="D1891">
        <f t="shared" si="61"/>
        <v>2023</v>
      </c>
      <c r="E1891">
        <v>24.64</v>
      </c>
      <c r="F1891">
        <v>24.356999999999999</v>
      </c>
    </row>
    <row r="1892" spans="1:6" x14ac:dyDescent="0.25">
      <c r="A1892">
        <f t="shared" ref="A1892:A1955" si="62">DAY(B1892)</f>
        <v>6</v>
      </c>
      <c r="B1892" s="37">
        <v>44991</v>
      </c>
      <c r="C1892" t="s">
        <v>25</v>
      </c>
      <c r="D1892">
        <f t="shared" ref="D1892:D1955" si="63">YEAR(B1892)</f>
        <v>2023</v>
      </c>
      <c r="E1892">
        <v>24.49</v>
      </c>
      <c r="F1892">
        <v>24.316800000000001</v>
      </c>
    </row>
    <row r="1893" spans="1:6" x14ac:dyDescent="0.25">
      <c r="A1893">
        <f t="shared" si="62"/>
        <v>7</v>
      </c>
      <c r="B1893" s="37">
        <v>44992</v>
      </c>
      <c r="C1893" t="s">
        <v>25</v>
      </c>
      <c r="D1893">
        <f t="shared" si="63"/>
        <v>2023</v>
      </c>
      <c r="E1893">
        <v>24.47</v>
      </c>
      <c r="F1893">
        <v>24.274000000000001</v>
      </c>
    </row>
    <row r="1894" spans="1:6" x14ac:dyDescent="0.25">
      <c r="A1894">
        <f t="shared" si="62"/>
        <v>8</v>
      </c>
      <c r="B1894" s="37">
        <v>44993</v>
      </c>
      <c r="C1894" t="s">
        <v>25</v>
      </c>
      <c r="D1894">
        <f t="shared" si="63"/>
        <v>2023</v>
      </c>
      <c r="E1894">
        <v>24.41</v>
      </c>
      <c r="F1894">
        <v>24.1557</v>
      </c>
    </row>
    <row r="1895" spans="1:6" x14ac:dyDescent="0.25">
      <c r="A1895">
        <f t="shared" si="62"/>
        <v>9</v>
      </c>
      <c r="B1895" s="37">
        <v>44994</v>
      </c>
      <c r="C1895" t="s">
        <v>25</v>
      </c>
      <c r="D1895">
        <f t="shared" si="63"/>
        <v>2023</v>
      </c>
      <c r="E1895">
        <v>24.32</v>
      </c>
      <c r="F1895">
        <v>24.1694</v>
      </c>
    </row>
    <row r="1896" spans="1:6" x14ac:dyDescent="0.25">
      <c r="A1896">
        <f t="shared" si="62"/>
        <v>10</v>
      </c>
      <c r="B1896" s="37">
        <v>44995</v>
      </c>
      <c r="C1896" t="s">
        <v>25</v>
      </c>
      <c r="D1896">
        <f t="shared" si="63"/>
        <v>2023</v>
      </c>
      <c r="E1896">
        <v>24.28</v>
      </c>
      <c r="F1896">
        <v>24.135000000000002</v>
      </c>
    </row>
    <row r="1897" spans="1:6" x14ac:dyDescent="0.25">
      <c r="A1897">
        <f t="shared" si="62"/>
        <v>11</v>
      </c>
      <c r="B1897" s="37">
        <v>44996</v>
      </c>
      <c r="C1897" t="s">
        <v>25</v>
      </c>
      <c r="D1897">
        <f t="shared" si="63"/>
        <v>2023</v>
      </c>
      <c r="E1897">
        <v>24.28</v>
      </c>
      <c r="F1897">
        <v>24.135000000000002</v>
      </c>
    </row>
    <row r="1898" spans="1:6" x14ac:dyDescent="0.25">
      <c r="A1898">
        <f t="shared" si="62"/>
        <v>12</v>
      </c>
      <c r="B1898" s="37">
        <v>44997</v>
      </c>
      <c r="C1898" t="s">
        <v>25</v>
      </c>
      <c r="D1898">
        <f t="shared" si="63"/>
        <v>2023</v>
      </c>
      <c r="E1898">
        <v>24.28</v>
      </c>
      <c r="F1898">
        <v>24.135000000000002</v>
      </c>
    </row>
    <row r="1899" spans="1:6" x14ac:dyDescent="0.25">
      <c r="A1899">
        <f t="shared" si="62"/>
        <v>13</v>
      </c>
      <c r="B1899" s="37">
        <v>44998</v>
      </c>
      <c r="C1899" t="s">
        <v>25</v>
      </c>
      <c r="D1899">
        <f t="shared" si="63"/>
        <v>2023</v>
      </c>
      <c r="E1899">
        <v>24.23</v>
      </c>
      <c r="F1899">
        <v>24.145900000000001</v>
      </c>
    </row>
    <row r="1900" spans="1:6" x14ac:dyDescent="0.25">
      <c r="A1900">
        <f t="shared" si="62"/>
        <v>14</v>
      </c>
      <c r="B1900" s="37">
        <v>44999</v>
      </c>
      <c r="C1900" t="s">
        <v>25</v>
      </c>
      <c r="D1900">
        <f t="shared" si="63"/>
        <v>2023</v>
      </c>
      <c r="E1900">
        <v>24.46</v>
      </c>
      <c r="F1900">
        <v>24.118200000000002</v>
      </c>
    </row>
    <row r="1901" spans="1:6" x14ac:dyDescent="0.25">
      <c r="A1901">
        <f t="shared" si="62"/>
        <v>15</v>
      </c>
      <c r="B1901" s="37">
        <v>45000</v>
      </c>
      <c r="C1901" t="s">
        <v>25</v>
      </c>
      <c r="D1901">
        <f t="shared" si="63"/>
        <v>2023</v>
      </c>
      <c r="E1901">
        <v>24.61</v>
      </c>
      <c r="F1901">
        <v>24.000299999999999</v>
      </c>
    </row>
    <row r="1902" spans="1:6" x14ac:dyDescent="0.25">
      <c r="A1902">
        <f t="shared" si="62"/>
        <v>16</v>
      </c>
      <c r="B1902" s="37">
        <v>45001</v>
      </c>
      <c r="C1902" t="s">
        <v>25</v>
      </c>
      <c r="D1902">
        <f t="shared" si="63"/>
        <v>2023</v>
      </c>
      <c r="E1902">
        <v>24.8</v>
      </c>
      <c r="F1902">
        <v>24.067699999999999</v>
      </c>
    </row>
    <row r="1903" spans="1:6" x14ac:dyDescent="0.25">
      <c r="A1903">
        <f t="shared" si="62"/>
        <v>17</v>
      </c>
      <c r="B1903" s="37">
        <v>45002</v>
      </c>
      <c r="C1903" t="s">
        <v>25</v>
      </c>
      <c r="D1903">
        <f t="shared" si="63"/>
        <v>2023</v>
      </c>
      <c r="E1903">
        <v>25.38</v>
      </c>
      <c r="F1903">
        <v>24.125800000000002</v>
      </c>
    </row>
    <row r="1904" spans="1:6" x14ac:dyDescent="0.25">
      <c r="A1904">
        <f t="shared" si="62"/>
        <v>18</v>
      </c>
      <c r="B1904" s="37">
        <v>45003</v>
      </c>
      <c r="C1904" t="s">
        <v>25</v>
      </c>
      <c r="D1904">
        <f t="shared" si="63"/>
        <v>2023</v>
      </c>
      <c r="E1904">
        <v>25.38</v>
      </c>
      <c r="F1904">
        <v>24.125800000000002</v>
      </c>
    </row>
    <row r="1905" spans="1:6" x14ac:dyDescent="0.25">
      <c r="A1905">
        <f t="shared" si="62"/>
        <v>19</v>
      </c>
      <c r="B1905" s="37">
        <v>45004</v>
      </c>
      <c r="C1905" t="s">
        <v>25</v>
      </c>
      <c r="D1905">
        <f t="shared" si="63"/>
        <v>2023</v>
      </c>
      <c r="E1905">
        <v>25.38</v>
      </c>
      <c r="F1905">
        <v>24.125800000000002</v>
      </c>
    </row>
    <row r="1906" spans="1:6" x14ac:dyDescent="0.25">
      <c r="A1906">
        <f t="shared" si="62"/>
        <v>20</v>
      </c>
      <c r="B1906" s="37">
        <v>45005</v>
      </c>
      <c r="C1906" t="s">
        <v>25</v>
      </c>
      <c r="D1906">
        <f t="shared" si="63"/>
        <v>2023</v>
      </c>
      <c r="E1906">
        <v>25.29</v>
      </c>
      <c r="F1906">
        <v>24.203399999999998</v>
      </c>
    </row>
    <row r="1907" spans="1:6" x14ac:dyDescent="0.25">
      <c r="A1907">
        <f t="shared" si="62"/>
        <v>21</v>
      </c>
      <c r="B1907" s="37">
        <v>45006</v>
      </c>
      <c r="C1907" t="s">
        <v>25</v>
      </c>
      <c r="D1907">
        <f t="shared" si="63"/>
        <v>2023</v>
      </c>
      <c r="E1907">
        <v>25.1</v>
      </c>
      <c r="F1907">
        <v>24.2197</v>
      </c>
    </row>
    <row r="1908" spans="1:6" x14ac:dyDescent="0.25">
      <c r="A1908">
        <f t="shared" si="62"/>
        <v>22</v>
      </c>
      <c r="B1908" s="37">
        <v>45007</v>
      </c>
      <c r="C1908" t="s">
        <v>25</v>
      </c>
      <c r="D1908">
        <f t="shared" si="63"/>
        <v>2023</v>
      </c>
      <c r="E1908">
        <v>25.4</v>
      </c>
      <c r="F1908">
        <v>24.241499999999998</v>
      </c>
    </row>
    <row r="1909" spans="1:6" x14ac:dyDescent="0.25">
      <c r="A1909">
        <f t="shared" si="62"/>
        <v>23</v>
      </c>
      <c r="B1909" s="37">
        <v>45008</v>
      </c>
      <c r="C1909" t="s">
        <v>25</v>
      </c>
      <c r="D1909">
        <f t="shared" si="63"/>
        <v>2023</v>
      </c>
      <c r="E1909">
        <v>25.68</v>
      </c>
      <c r="F1909">
        <v>24.203900000000001</v>
      </c>
    </row>
    <row r="1910" spans="1:6" x14ac:dyDescent="0.25">
      <c r="A1910">
        <f t="shared" si="62"/>
        <v>24</v>
      </c>
      <c r="B1910" s="37">
        <v>45009</v>
      </c>
      <c r="C1910" t="s">
        <v>25</v>
      </c>
      <c r="D1910">
        <f t="shared" si="63"/>
        <v>2023</v>
      </c>
      <c r="E1910">
        <v>25.65</v>
      </c>
      <c r="F1910">
        <v>24.3093</v>
      </c>
    </row>
    <row r="1911" spans="1:6" x14ac:dyDescent="0.25">
      <c r="A1911">
        <f t="shared" si="62"/>
        <v>25</v>
      </c>
      <c r="B1911" s="37">
        <v>45010</v>
      </c>
      <c r="C1911" t="s">
        <v>25</v>
      </c>
      <c r="D1911">
        <f t="shared" si="63"/>
        <v>2023</v>
      </c>
      <c r="E1911">
        <v>25.65</v>
      </c>
      <c r="F1911">
        <v>24.3093</v>
      </c>
    </row>
    <row r="1912" spans="1:6" x14ac:dyDescent="0.25">
      <c r="A1912">
        <f t="shared" si="62"/>
        <v>26</v>
      </c>
      <c r="B1912" s="37">
        <v>45011</v>
      </c>
      <c r="C1912" t="s">
        <v>25</v>
      </c>
      <c r="D1912">
        <f t="shared" si="63"/>
        <v>2023</v>
      </c>
      <c r="E1912">
        <v>25.65</v>
      </c>
      <c r="F1912">
        <v>24.3093</v>
      </c>
    </row>
    <row r="1913" spans="1:6" x14ac:dyDescent="0.25">
      <c r="A1913">
        <f t="shared" si="62"/>
        <v>27</v>
      </c>
      <c r="B1913" s="37">
        <v>45012</v>
      </c>
      <c r="C1913" t="s">
        <v>25</v>
      </c>
      <c r="D1913">
        <f t="shared" si="63"/>
        <v>2023</v>
      </c>
      <c r="E1913">
        <v>25.25</v>
      </c>
      <c r="F1913">
        <v>24.401599999999998</v>
      </c>
    </row>
    <row r="1914" spans="1:6" x14ac:dyDescent="0.25">
      <c r="A1914">
        <f t="shared" si="62"/>
        <v>28</v>
      </c>
      <c r="B1914" s="37">
        <v>45013</v>
      </c>
      <c r="C1914" t="s">
        <v>25</v>
      </c>
      <c r="D1914">
        <f t="shared" si="63"/>
        <v>2023</v>
      </c>
      <c r="E1914">
        <v>25.32</v>
      </c>
      <c r="F1914">
        <v>24.39</v>
      </c>
    </row>
    <row r="1915" spans="1:6" x14ac:dyDescent="0.25">
      <c r="A1915">
        <f t="shared" si="62"/>
        <v>29</v>
      </c>
      <c r="B1915" s="37">
        <v>45014</v>
      </c>
      <c r="C1915" t="s">
        <v>25</v>
      </c>
      <c r="D1915">
        <f t="shared" si="63"/>
        <v>2023</v>
      </c>
      <c r="E1915">
        <v>25.07</v>
      </c>
      <c r="F1915">
        <v>24.41</v>
      </c>
    </row>
    <row r="1916" spans="1:6" x14ac:dyDescent="0.25">
      <c r="A1916">
        <f t="shared" si="62"/>
        <v>30</v>
      </c>
      <c r="B1916" s="37">
        <v>45015</v>
      </c>
      <c r="C1916" t="s">
        <v>25</v>
      </c>
      <c r="D1916">
        <f t="shared" si="63"/>
        <v>2023</v>
      </c>
      <c r="E1916">
        <v>25.11</v>
      </c>
      <c r="F1916">
        <v>24.48</v>
      </c>
    </row>
    <row r="1917" spans="1:6" x14ac:dyDescent="0.25">
      <c r="A1917">
        <f t="shared" si="62"/>
        <v>31</v>
      </c>
      <c r="B1917" s="37">
        <v>45016</v>
      </c>
      <c r="C1917" t="s">
        <v>25</v>
      </c>
      <c r="D1917">
        <f t="shared" si="63"/>
        <v>2023</v>
      </c>
      <c r="E1917">
        <v>24.75</v>
      </c>
      <c r="F1917">
        <v>24.48</v>
      </c>
    </row>
    <row r="1918" spans="1:6" x14ac:dyDescent="0.25">
      <c r="A1918">
        <f t="shared" si="62"/>
        <v>1</v>
      </c>
      <c r="B1918" s="37">
        <v>45017</v>
      </c>
      <c r="C1918" t="s">
        <v>26</v>
      </c>
      <c r="D1918">
        <f t="shared" si="63"/>
        <v>2023</v>
      </c>
    </row>
    <row r="1919" spans="1:6" x14ac:dyDescent="0.25">
      <c r="A1919">
        <f t="shared" si="62"/>
        <v>2</v>
      </c>
      <c r="B1919" s="37">
        <v>45018</v>
      </c>
      <c r="C1919" t="s">
        <v>26</v>
      </c>
      <c r="D1919">
        <f t="shared" si="63"/>
        <v>2023</v>
      </c>
    </row>
    <row r="1920" spans="1:6" x14ac:dyDescent="0.25">
      <c r="A1920">
        <f t="shared" si="62"/>
        <v>3</v>
      </c>
      <c r="B1920" s="37">
        <v>45019</v>
      </c>
      <c r="C1920" t="s">
        <v>26</v>
      </c>
      <c r="D1920">
        <f t="shared" si="63"/>
        <v>2023</v>
      </c>
    </row>
    <row r="1921" spans="1:4" x14ac:dyDescent="0.25">
      <c r="A1921">
        <f t="shared" si="62"/>
        <v>4</v>
      </c>
      <c r="B1921" s="37">
        <v>45020</v>
      </c>
      <c r="C1921" t="s">
        <v>26</v>
      </c>
      <c r="D1921">
        <f t="shared" si="63"/>
        <v>2023</v>
      </c>
    </row>
    <row r="1922" spans="1:4" x14ac:dyDescent="0.25">
      <c r="A1922">
        <f t="shared" si="62"/>
        <v>5</v>
      </c>
      <c r="B1922" s="37">
        <v>45021</v>
      </c>
      <c r="C1922" t="s">
        <v>26</v>
      </c>
      <c r="D1922">
        <f t="shared" si="63"/>
        <v>2023</v>
      </c>
    </row>
    <row r="1923" spans="1:4" x14ac:dyDescent="0.25">
      <c r="A1923">
        <f t="shared" si="62"/>
        <v>6</v>
      </c>
      <c r="B1923" s="37">
        <v>45022</v>
      </c>
      <c r="C1923" t="s">
        <v>26</v>
      </c>
      <c r="D1923">
        <f t="shared" si="63"/>
        <v>2023</v>
      </c>
    </row>
    <row r="1924" spans="1:4" x14ac:dyDescent="0.25">
      <c r="A1924">
        <f t="shared" si="62"/>
        <v>7</v>
      </c>
      <c r="B1924" s="37">
        <v>45023</v>
      </c>
      <c r="C1924" t="s">
        <v>26</v>
      </c>
      <c r="D1924">
        <f t="shared" si="63"/>
        <v>2023</v>
      </c>
    </row>
    <row r="1925" spans="1:4" x14ac:dyDescent="0.25">
      <c r="A1925">
        <f t="shared" si="62"/>
        <v>8</v>
      </c>
      <c r="B1925" s="37">
        <v>45024</v>
      </c>
      <c r="C1925" t="s">
        <v>26</v>
      </c>
      <c r="D1925">
        <f t="shared" si="63"/>
        <v>2023</v>
      </c>
    </row>
    <row r="1926" spans="1:4" x14ac:dyDescent="0.25">
      <c r="A1926">
        <f t="shared" si="62"/>
        <v>9</v>
      </c>
      <c r="B1926" s="37">
        <v>45025</v>
      </c>
      <c r="C1926" t="s">
        <v>26</v>
      </c>
      <c r="D1926">
        <f t="shared" si="63"/>
        <v>2023</v>
      </c>
    </row>
    <row r="1927" spans="1:4" x14ac:dyDescent="0.25">
      <c r="A1927">
        <f t="shared" si="62"/>
        <v>10</v>
      </c>
      <c r="B1927" s="37">
        <v>45026</v>
      </c>
      <c r="C1927" t="s">
        <v>26</v>
      </c>
      <c r="D1927">
        <f t="shared" si="63"/>
        <v>2023</v>
      </c>
    </row>
    <row r="1928" spans="1:4" x14ac:dyDescent="0.25">
      <c r="A1928">
        <f t="shared" si="62"/>
        <v>11</v>
      </c>
      <c r="B1928" s="37">
        <v>45027</v>
      </c>
      <c r="C1928" t="s">
        <v>26</v>
      </c>
      <c r="D1928">
        <f t="shared" si="63"/>
        <v>2023</v>
      </c>
    </row>
    <row r="1929" spans="1:4" x14ac:dyDescent="0.25">
      <c r="A1929">
        <f t="shared" si="62"/>
        <v>12</v>
      </c>
      <c r="B1929" s="37">
        <v>45028</v>
      </c>
      <c r="C1929" t="s">
        <v>26</v>
      </c>
      <c r="D1929">
        <f t="shared" si="63"/>
        <v>2023</v>
      </c>
    </row>
    <row r="1930" spans="1:4" x14ac:dyDescent="0.25">
      <c r="A1930">
        <f t="shared" si="62"/>
        <v>13</v>
      </c>
      <c r="B1930" s="37">
        <v>45029</v>
      </c>
      <c r="C1930" t="s">
        <v>26</v>
      </c>
      <c r="D1930">
        <f t="shared" si="63"/>
        <v>2023</v>
      </c>
    </row>
    <row r="1931" spans="1:4" x14ac:dyDescent="0.25">
      <c r="A1931">
        <f t="shared" si="62"/>
        <v>14</v>
      </c>
      <c r="B1931" s="37">
        <v>45030</v>
      </c>
      <c r="C1931" t="s">
        <v>26</v>
      </c>
      <c r="D1931">
        <f t="shared" si="63"/>
        <v>2023</v>
      </c>
    </row>
    <row r="1932" spans="1:4" x14ac:dyDescent="0.25">
      <c r="A1932">
        <f t="shared" si="62"/>
        <v>15</v>
      </c>
      <c r="B1932" s="37">
        <v>45031</v>
      </c>
      <c r="C1932" t="s">
        <v>26</v>
      </c>
      <c r="D1932">
        <f t="shared" si="63"/>
        <v>2023</v>
      </c>
    </row>
    <row r="1933" spans="1:4" x14ac:dyDescent="0.25">
      <c r="A1933">
        <f t="shared" si="62"/>
        <v>16</v>
      </c>
      <c r="B1933" s="37">
        <v>45032</v>
      </c>
      <c r="C1933" t="s">
        <v>26</v>
      </c>
      <c r="D1933">
        <f t="shared" si="63"/>
        <v>2023</v>
      </c>
    </row>
    <row r="1934" spans="1:4" x14ac:dyDescent="0.25">
      <c r="A1934">
        <f t="shared" si="62"/>
        <v>17</v>
      </c>
      <c r="B1934" s="37">
        <v>45033</v>
      </c>
      <c r="C1934" t="s">
        <v>26</v>
      </c>
      <c r="D1934">
        <f t="shared" si="63"/>
        <v>2023</v>
      </c>
    </row>
    <row r="1935" spans="1:4" x14ac:dyDescent="0.25">
      <c r="A1935">
        <f t="shared" si="62"/>
        <v>18</v>
      </c>
      <c r="B1935" s="37">
        <v>45034</v>
      </c>
      <c r="C1935" t="s">
        <v>26</v>
      </c>
      <c r="D1935">
        <f t="shared" si="63"/>
        <v>2023</v>
      </c>
    </row>
    <row r="1936" spans="1:4" x14ac:dyDescent="0.25">
      <c r="A1936">
        <f t="shared" si="62"/>
        <v>19</v>
      </c>
      <c r="B1936" s="37">
        <v>45035</v>
      </c>
      <c r="C1936" t="s">
        <v>26</v>
      </c>
      <c r="D1936">
        <f t="shared" si="63"/>
        <v>2023</v>
      </c>
    </row>
    <row r="1937" spans="1:6" x14ac:dyDescent="0.25">
      <c r="A1937">
        <f t="shared" si="62"/>
        <v>20</v>
      </c>
      <c r="B1937" s="37">
        <v>45036</v>
      </c>
      <c r="C1937" t="s">
        <v>26</v>
      </c>
      <c r="D1937">
        <f t="shared" si="63"/>
        <v>2023</v>
      </c>
    </row>
    <row r="1938" spans="1:6" x14ac:dyDescent="0.25">
      <c r="A1938">
        <f t="shared" si="62"/>
        <v>21</v>
      </c>
      <c r="B1938" s="37">
        <v>45037</v>
      </c>
      <c r="C1938" t="s">
        <v>26</v>
      </c>
      <c r="D1938">
        <f t="shared" si="63"/>
        <v>2023</v>
      </c>
    </row>
    <row r="1939" spans="1:6" x14ac:dyDescent="0.25">
      <c r="A1939">
        <f t="shared" si="62"/>
        <v>22</v>
      </c>
      <c r="B1939" s="37">
        <v>45038</v>
      </c>
      <c r="C1939" t="s">
        <v>26</v>
      </c>
      <c r="D1939">
        <f t="shared" si="63"/>
        <v>2023</v>
      </c>
    </row>
    <row r="1940" spans="1:6" x14ac:dyDescent="0.25">
      <c r="A1940">
        <f t="shared" si="62"/>
        <v>23</v>
      </c>
      <c r="B1940" s="37">
        <v>45039</v>
      </c>
      <c r="C1940" t="s">
        <v>26</v>
      </c>
      <c r="D1940">
        <f t="shared" si="63"/>
        <v>2023</v>
      </c>
    </row>
    <row r="1941" spans="1:6" x14ac:dyDescent="0.25">
      <c r="A1941">
        <f t="shared" si="62"/>
        <v>24</v>
      </c>
      <c r="B1941" s="37">
        <v>45040</v>
      </c>
      <c r="C1941" t="s">
        <v>26</v>
      </c>
      <c r="D1941">
        <f t="shared" si="63"/>
        <v>2023</v>
      </c>
    </row>
    <row r="1942" spans="1:6" x14ac:dyDescent="0.25">
      <c r="A1942">
        <f t="shared" si="62"/>
        <v>25</v>
      </c>
      <c r="B1942" s="37">
        <v>45041</v>
      </c>
      <c r="C1942" t="s">
        <v>26</v>
      </c>
      <c r="D1942">
        <f t="shared" si="63"/>
        <v>2023</v>
      </c>
    </row>
    <row r="1943" spans="1:6" x14ac:dyDescent="0.25">
      <c r="A1943">
        <f t="shared" si="62"/>
        <v>26</v>
      </c>
      <c r="B1943" s="37">
        <v>45042</v>
      </c>
      <c r="C1943" t="s">
        <v>26</v>
      </c>
      <c r="D1943">
        <f t="shared" si="63"/>
        <v>2023</v>
      </c>
    </row>
    <row r="1944" spans="1:6" x14ac:dyDescent="0.25">
      <c r="A1944">
        <f t="shared" si="62"/>
        <v>27</v>
      </c>
      <c r="B1944" s="37">
        <v>45043</v>
      </c>
      <c r="C1944" t="s">
        <v>26</v>
      </c>
      <c r="D1944">
        <f t="shared" si="63"/>
        <v>2023</v>
      </c>
    </row>
    <row r="1945" spans="1:6" x14ac:dyDescent="0.25">
      <c r="A1945">
        <f t="shared" si="62"/>
        <v>28</v>
      </c>
      <c r="B1945" s="37">
        <v>45044</v>
      </c>
      <c r="C1945" t="s">
        <v>26</v>
      </c>
      <c r="D1945">
        <f t="shared" si="63"/>
        <v>2023</v>
      </c>
    </row>
    <row r="1946" spans="1:6" x14ac:dyDescent="0.25">
      <c r="A1946">
        <f t="shared" si="62"/>
        <v>29</v>
      </c>
      <c r="B1946" s="37">
        <v>45045</v>
      </c>
      <c r="C1946" t="s">
        <v>26</v>
      </c>
      <c r="D1946">
        <f t="shared" si="63"/>
        <v>2023</v>
      </c>
    </row>
    <row r="1947" spans="1:6" x14ac:dyDescent="0.25">
      <c r="A1947">
        <f t="shared" si="62"/>
        <v>30</v>
      </c>
      <c r="B1947" s="37">
        <v>45046</v>
      </c>
      <c r="C1947" t="s">
        <v>26</v>
      </c>
      <c r="D1947">
        <f t="shared" si="63"/>
        <v>2023</v>
      </c>
    </row>
    <row r="1948" spans="1:6" x14ac:dyDescent="0.25">
      <c r="A1948">
        <f t="shared" si="62"/>
        <v>1</v>
      </c>
      <c r="B1948" s="37">
        <v>45047</v>
      </c>
      <c r="C1948" t="s">
        <v>27</v>
      </c>
      <c r="D1948">
        <f t="shared" si="63"/>
        <v>2023</v>
      </c>
      <c r="F1948">
        <v>24.730399999999999</v>
      </c>
    </row>
    <row r="1949" spans="1:6" x14ac:dyDescent="0.25">
      <c r="A1949">
        <f t="shared" si="62"/>
        <v>2</v>
      </c>
      <c r="B1949" s="37">
        <v>45048</v>
      </c>
      <c r="C1949" t="s">
        <v>27</v>
      </c>
      <c r="D1949">
        <f t="shared" si="63"/>
        <v>2023</v>
      </c>
      <c r="F1949">
        <v>24.750299999999999</v>
      </c>
    </row>
    <row r="1950" spans="1:6" x14ac:dyDescent="0.25">
      <c r="A1950">
        <f t="shared" si="62"/>
        <v>3</v>
      </c>
      <c r="B1950" s="37">
        <v>45049</v>
      </c>
      <c r="C1950" t="s">
        <v>27</v>
      </c>
      <c r="D1950">
        <f t="shared" si="63"/>
        <v>2023</v>
      </c>
      <c r="F1950">
        <v>24.8156</v>
      </c>
    </row>
    <row r="1951" spans="1:6" x14ac:dyDescent="0.25">
      <c r="A1951">
        <f t="shared" si="62"/>
        <v>4</v>
      </c>
      <c r="B1951" s="37">
        <v>45050</v>
      </c>
      <c r="C1951" t="s">
        <v>27</v>
      </c>
      <c r="D1951">
        <f t="shared" si="63"/>
        <v>2023</v>
      </c>
      <c r="F1951">
        <v>24.872499999999999</v>
      </c>
    </row>
    <row r="1952" spans="1:6" x14ac:dyDescent="0.25">
      <c r="A1952">
        <f t="shared" si="62"/>
        <v>5</v>
      </c>
      <c r="B1952" s="37">
        <v>45051</v>
      </c>
      <c r="C1952" t="s">
        <v>27</v>
      </c>
      <c r="D1952">
        <f t="shared" si="63"/>
        <v>2023</v>
      </c>
      <c r="F1952">
        <v>25.029900000000001</v>
      </c>
    </row>
    <row r="1953" spans="1:6" x14ac:dyDescent="0.25">
      <c r="A1953">
        <f t="shared" si="62"/>
        <v>6</v>
      </c>
      <c r="B1953" s="37">
        <v>45052</v>
      </c>
      <c r="C1953" t="s">
        <v>27</v>
      </c>
      <c r="D1953">
        <f t="shared" si="63"/>
        <v>2023</v>
      </c>
      <c r="F1953">
        <v>25.029900000000001</v>
      </c>
    </row>
    <row r="1954" spans="1:6" x14ac:dyDescent="0.25">
      <c r="A1954">
        <f t="shared" si="62"/>
        <v>7</v>
      </c>
      <c r="B1954" s="37">
        <v>45053</v>
      </c>
      <c r="C1954" t="s">
        <v>27</v>
      </c>
      <c r="D1954">
        <f t="shared" si="63"/>
        <v>2023</v>
      </c>
      <c r="F1954">
        <v>25.029900000000001</v>
      </c>
    </row>
    <row r="1955" spans="1:6" x14ac:dyDescent="0.25">
      <c r="A1955">
        <f t="shared" si="62"/>
        <v>8</v>
      </c>
      <c r="B1955" s="37">
        <v>45054</v>
      </c>
      <c r="C1955" t="s">
        <v>27</v>
      </c>
      <c r="D1955">
        <f t="shared" si="63"/>
        <v>2023</v>
      </c>
      <c r="F1955">
        <v>25.057700000000001</v>
      </c>
    </row>
    <row r="1956" spans="1:6" x14ac:dyDescent="0.25">
      <c r="A1956">
        <f t="shared" ref="A1956:A2019" si="64">DAY(B1956)</f>
        <v>9</v>
      </c>
      <c r="B1956" s="37">
        <v>45055</v>
      </c>
      <c r="C1956" t="s">
        <v>27</v>
      </c>
      <c r="D1956">
        <f t="shared" ref="D1956:D2019" si="65">YEAR(B1956)</f>
        <v>2023</v>
      </c>
      <c r="F1956">
        <v>25.0395</v>
      </c>
    </row>
    <row r="1957" spans="1:6" x14ac:dyDescent="0.25">
      <c r="A1957">
        <f t="shared" si="64"/>
        <v>10</v>
      </c>
      <c r="B1957" s="37">
        <v>45056</v>
      </c>
      <c r="C1957" t="s">
        <v>27</v>
      </c>
      <c r="D1957">
        <f t="shared" si="65"/>
        <v>2023</v>
      </c>
      <c r="F1957">
        <v>25.1236</v>
      </c>
    </row>
    <row r="1958" spans="1:6" x14ac:dyDescent="0.25">
      <c r="A1958">
        <f t="shared" si="64"/>
        <v>11</v>
      </c>
      <c r="B1958" s="37">
        <v>45057</v>
      </c>
      <c r="C1958" t="s">
        <v>27</v>
      </c>
      <c r="D1958">
        <f t="shared" si="65"/>
        <v>2023</v>
      </c>
      <c r="F1958">
        <v>25.179099999999998</v>
      </c>
    </row>
    <row r="1959" spans="1:6" x14ac:dyDescent="0.25">
      <c r="A1959">
        <f t="shared" si="64"/>
        <v>12</v>
      </c>
      <c r="B1959" s="37">
        <v>45058</v>
      </c>
      <c r="C1959" t="s">
        <v>27</v>
      </c>
      <c r="D1959">
        <f t="shared" si="65"/>
        <v>2023</v>
      </c>
      <c r="F1959">
        <v>25.348400000000002</v>
      </c>
    </row>
    <row r="1960" spans="1:6" x14ac:dyDescent="0.25">
      <c r="A1960">
        <f t="shared" si="64"/>
        <v>13</v>
      </c>
      <c r="B1960" s="37">
        <v>45059</v>
      </c>
      <c r="C1960" t="s">
        <v>27</v>
      </c>
      <c r="D1960">
        <f t="shared" si="65"/>
        <v>2023</v>
      </c>
      <c r="F1960">
        <v>25.348400000000002</v>
      </c>
    </row>
    <row r="1961" spans="1:6" x14ac:dyDescent="0.25">
      <c r="A1961">
        <f t="shared" si="64"/>
        <v>14</v>
      </c>
      <c r="B1961" s="37">
        <v>45060</v>
      </c>
      <c r="C1961" t="s">
        <v>27</v>
      </c>
      <c r="D1961">
        <f t="shared" si="65"/>
        <v>2023</v>
      </c>
      <c r="F1961">
        <v>25.348400000000002</v>
      </c>
    </row>
    <row r="1962" spans="1:6" x14ac:dyDescent="0.25">
      <c r="A1962">
        <f t="shared" si="64"/>
        <v>15</v>
      </c>
      <c r="B1962" s="37">
        <v>45061</v>
      </c>
      <c r="C1962" t="s">
        <v>27</v>
      </c>
      <c r="D1962">
        <f t="shared" si="65"/>
        <v>2023</v>
      </c>
      <c r="F1962">
        <v>25.434999999999999</v>
      </c>
    </row>
    <row r="1963" spans="1:6" x14ac:dyDescent="0.25">
      <c r="A1963">
        <f t="shared" si="64"/>
        <v>16</v>
      </c>
      <c r="B1963" s="37">
        <v>45062</v>
      </c>
      <c r="C1963" t="s">
        <v>27</v>
      </c>
      <c r="D1963">
        <f t="shared" si="65"/>
        <v>2023</v>
      </c>
      <c r="F1963">
        <v>25.489100000000001</v>
      </c>
    </row>
    <row r="1964" spans="1:6" x14ac:dyDescent="0.25">
      <c r="A1964">
        <f t="shared" si="64"/>
        <v>17</v>
      </c>
      <c r="B1964" s="37">
        <v>45063</v>
      </c>
      <c r="C1964" t="s">
        <v>27</v>
      </c>
      <c r="D1964">
        <f t="shared" si="65"/>
        <v>2023</v>
      </c>
      <c r="F1964">
        <v>25.6479</v>
      </c>
    </row>
    <row r="1965" spans="1:6" x14ac:dyDescent="0.25">
      <c r="A1965">
        <f t="shared" si="64"/>
        <v>18</v>
      </c>
      <c r="B1965" s="37">
        <v>45064</v>
      </c>
      <c r="C1965" t="s">
        <v>27</v>
      </c>
      <c r="D1965">
        <f t="shared" si="65"/>
        <v>2023</v>
      </c>
      <c r="F1965">
        <v>25.812200000000001</v>
      </c>
    </row>
    <row r="1966" spans="1:6" x14ac:dyDescent="0.25">
      <c r="A1966">
        <f t="shared" si="64"/>
        <v>19</v>
      </c>
      <c r="B1966" s="37">
        <v>45065</v>
      </c>
      <c r="C1966" t="s">
        <v>27</v>
      </c>
      <c r="D1966">
        <f t="shared" si="65"/>
        <v>2023</v>
      </c>
      <c r="F1966">
        <v>25.902899999999999</v>
      </c>
    </row>
    <row r="1967" spans="1:6" x14ac:dyDescent="0.25">
      <c r="A1967">
        <f t="shared" si="64"/>
        <v>20</v>
      </c>
      <c r="B1967" s="37">
        <v>45066</v>
      </c>
      <c r="C1967" t="s">
        <v>27</v>
      </c>
      <c r="D1967">
        <f t="shared" si="65"/>
        <v>2023</v>
      </c>
      <c r="F1967">
        <v>25.902899999999999</v>
      </c>
    </row>
    <row r="1968" spans="1:6" x14ac:dyDescent="0.25">
      <c r="A1968">
        <f t="shared" si="64"/>
        <v>21</v>
      </c>
      <c r="B1968" s="37">
        <v>45067</v>
      </c>
      <c r="C1968" t="s">
        <v>27</v>
      </c>
      <c r="D1968">
        <f t="shared" si="65"/>
        <v>2023</v>
      </c>
      <c r="F1968">
        <v>25.902899999999999</v>
      </c>
    </row>
    <row r="1969" spans="1:6" x14ac:dyDescent="0.25">
      <c r="A1969">
        <f t="shared" si="64"/>
        <v>22</v>
      </c>
      <c r="B1969" s="37">
        <v>45068</v>
      </c>
      <c r="C1969" t="s">
        <v>27</v>
      </c>
      <c r="D1969">
        <f t="shared" si="65"/>
        <v>2023</v>
      </c>
      <c r="F1969">
        <v>25.902899999999999</v>
      </c>
    </row>
    <row r="1970" spans="1:6" x14ac:dyDescent="0.25">
      <c r="A1970">
        <f t="shared" si="64"/>
        <v>23</v>
      </c>
      <c r="B1970" s="37">
        <v>45069</v>
      </c>
      <c r="C1970" t="s">
        <v>27</v>
      </c>
      <c r="D1970">
        <f t="shared" si="65"/>
        <v>2023</v>
      </c>
      <c r="F1970">
        <v>26.005500000000001</v>
      </c>
    </row>
    <row r="1971" spans="1:6" x14ac:dyDescent="0.25">
      <c r="A1971">
        <f t="shared" si="64"/>
        <v>24</v>
      </c>
      <c r="B1971" s="37">
        <v>45070</v>
      </c>
      <c r="C1971" t="s">
        <v>27</v>
      </c>
      <c r="D1971">
        <f t="shared" si="65"/>
        <v>2023</v>
      </c>
      <c r="F1971">
        <v>26.0015</v>
      </c>
    </row>
    <row r="1972" spans="1:6" x14ac:dyDescent="0.25">
      <c r="A1972">
        <f t="shared" si="64"/>
        <v>25</v>
      </c>
      <c r="B1972" s="37">
        <v>45071</v>
      </c>
      <c r="C1972" t="s">
        <v>27</v>
      </c>
      <c r="D1972">
        <f t="shared" si="65"/>
        <v>2023</v>
      </c>
      <c r="F1972">
        <v>26.036999999999999</v>
      </c>
    </row>
    <row r="1973" spans="1:6" x14ac:dyDescent="0.25">
      <c r="A1973">
        <f t="shared" si="64"/>
        <v>26</v>
      </c>
      <c r="B1973" s="37">
        <v>45072</v>
      </c>
      <c r="C1973" t="s">
        <v>27</v>
      </c>
      <c r="D1973">
        <f t="shared" si="65"/>
        <v>2023</v>
      </c>
      <c r="F1973">
        <v>26.1295</v>
      </c>
    </row>
    <row r="1974" spans="1:6" x14ac:dyDescent="0.25">
      <c r="A1974">
        <f t="shared" si="64"/>
        <v>27</v>
      </c>
      <c r="B1974" s="37">
        <v>45073</v>
      </c>
      <c r="C1974" t="s">
        <v>27</v>
      </c>
      <c r="D1974">
        <f t="shared" si="65"/>
        <v>2023</v>
      </c>
      <c r="F1974">
        <v>26.2714</v>
      </c>
    </row>
    <row r="1975" spans="1:6" x14ac:dyDescent="0.25">
      <c r="A1975">
        <f t="shared" si="64"/>
        <v>28</v>
      </c>
      <c r="B1975" s="37">
        <v>45074</v>
      </c>
      <c r="C1975" t="s">
        <v>27</v>
      </c>
      <c r="D1975">
        <f t="shared" si="65"/>
        <v>2023</v>
      </c>
      <c r="F1975">
        <v>26.254799999999999</v>
      </c>
    </row>
    <row r="1976" spans="1:6" x14ac:dyDescent="0.25">
      <c r="A1976">
        <f t="shared" si="64"/>
        <v>29</v>
      </c>
      <c r="B1976" s="37">
        <v>45075</v>
      </c>
      <c r="C1976" t="s">
        <v>27</v>
      </c>
      <c r="D1976">
        <f t="shared" si="65"/>
        <v>2023</v>
      </c>
      <c r="F1976">
        <v>26.2714</v>
      </c>
    </row>
    <row r="1977" spans="1:6" x14ac:dyDescent="0.25">
      <c r="A1977">
        <f t="shared" si="64"/>
        <v>30</v>
      </c>
      <c r="B1977" s="37">
        <v>45076</v>
      </c>
      <c r="C1977" t="s">
        <v>27</v>
      </c>
      <c r="D1977">
        <f t="shared" si="65"/>
        <v>2023</v>
      </c>
      <c r="F1977">
        <v>26.254799999999999</v>
      </c>
    </row>
    <row r="1978" spans="1:6" x14ac:dyDescent="0.25">
      <c r="A1978">
        <f t="shared" si="64"/>
        <v>31</v>
      </c>
      <c r="B1978" s="37">
        <v>45077</v>
      </c>
      <c r="C1978" t="s">
        <v>27</v>
      </c>
      <c r="D1978">
        <f t="shared" si="65"/>
        <v>2023</v>
      </c>
      <c r="F1978">
        <v>26.163900000000002</v>
      </c>
    </row>
    <row r="1979" spans="1:6" x14ac:dyDescent="0.25">
      <c r="A1979">
        <f t="shared" si="64"/>
        <v>1</v>
      </c>
      <c r="B1979" s="37">
        <v>45078</v>
      </c>
      <c r="C1979" t="s">
        <v>28</v>
      </c>
      <c r="D1979">
        <f t="shared" si="65"/>
        <v>2023</v>
      </c>
      <c r="F1979">
        <v>26.266999999999999</v>
      </c>
    </row>
    <row r="1980" spans="1:6" x14ac:dyDescent="0.25">
      <c r="A1980">
        <f t="shared" si="64"/>
        <v>2</v>
      </c>
      <c r="B1980" s="37">
        <v>45079</v>
      </c>
      <c r="C1980" t="s">
        <v>28</v>
      </c>
      <c r="D1980">
        <f t="shared" si="65"/>
        <v>2023</v>
      </c>
      <c r="F1980">
        <v>26.467199999999998</v>
      </c>
    </row>
    <row r="1981" spans="1:6" x14ac:dyDescent="0.25">
      <c r="A1981">
        <f t="shared" si="64"/>
        <v>3</v>
      </c>
      <c r="B1981" s="37">
        <v>45080</v>
      </c>
      <c r="C1981" t="s">
        <v>28</v>
      </c>
      <c r="D1981">
        <f t="shared" si="65"/>
        <v>2023</v>
      </c>
      <c r="F1981">
        <v>26.467199999999998</v>
      </c>
    </row>
    <row r="1982" spans="1:6" x14ac:dyDescent="0.25">
      <c r="A1982">
        <f t="shared" si="64"/>
        <v>4</v>
      </c>
      <c r="B1982" s="37">
        <v>45081</v>
      </c>
      <c r="C1982" t="s">
        <v>28</v>
      </c>
      <c r="D1982">
        <f t="shared" si="65"/>
        <v>2023</v>
      </c>
      <c r="F1982">
        <v>26.467199999999998</v>
      </c>
    </row>
    <row r="1983" spans="1:6" x14ac:dyDescent="0.25">
      <c r="A1983">
        <f t="shared" si="64"/>
        <v>5</v>
      </c>
      <c r="B1983" s="37">
        <v>45082</v>
      </c>
      <c r="C1983" t="s">
        <v>28</v>
      </c>
      <c r="D1983">
        <f t="shared" si="65"/>
        <v>2023</v>
      </c>
      <c r="F1983">
        <v>26.596299999999999</v>
      </c>
    </row>
    <row r="1984" spans="1:6" x14ac:dyDescent="0.25">
      <c r="A1984">
        <f t="shared" si="64"/>
        <v>6</v>
      </c>
      <c r="B1984" s="37">
        <v>45083</v>
      </c>
      <c r="C1984" t="s">
        <v>28</v>
      </c>
      <c r="D1984">
        <f t="shared" si="65"/>
        <v>2023</v>
      </c>
      <c r="F1984">
        <v>26.462499999999999</v>
      </c>
    </row>
    <row r="1985" spans="1:6" x14ac:dyDescent="0.25">
      <c r="A1985">
        <f t="shared" si="64"/>
        <v>7</v>
      </c>
      <c r="B1985" s="37">
        <v>45084</v>
      </c>
      <c r="C1985" t="s">
        <v>28</v>
      </c>
      <c r="D1985">
        <f t="shared" si="65"/>
        <v>2023</v>
      </c>
      <c r="F1985">
        <v>26.632899999999999</v>
      </c>
    </row>
    <row r="1986" spans="1:6" x14ac:dyDescent="0.25">
      <c r="A1986">
        <f t="shared" si="64"/>
        <v>8</v>
      </c>
      <c r="B1986" s="37">
        <v>45085</v>
      </c>
      <c r="C1986" t="s">
        <v>28</v>
      </c>
      <c r="D1986">
        <f t="shared" si="65"/>
        <v>2023</v>
      </c>
      <c r="F1986">
        <v>26.703800000000001</v>
      </c>
    </row>
    <row r="1987" spans="1:6" x14ac:dyDescent="0.25">
      <c r="A1987">
        <f t="shared" si="64"/>
        <v>9</v>
      </c>
      <c r="B1987" s="37">
        <v>45086</v>
      </c>
      <c r="C1987" t="s">
        <v>28</v>
      </c>
      <c r="D1987">
        <f t="shared" si="65"/>
        <v>2023</v>
      </c>
      <c r="F1987">
        <v>26.857099999999999</v>
      </c>
    </row>
    <row r="1988" spans="1:6" x14ac:dyDescent="0.25">
      <c r="A1988">
        <f t="shared" si="64"/>
        <v>10</v>
      </c>
      <c r="B1988" s="37">
        <v>45087</v>
      </c>
      <c r="C1988" t="s">
        <v>28</v>
      </c>
      <c r="D1988">
        <f t="shared" si="65"/>
        <v>2023</v>
      </c>
      <c r="F1988">
        <v>26.857099999999999</v>
      </c>
    </row>
    <row r="1989" spans="1:6" x14ac:dyDescent="0.25">
      <c r="A1989">
        <f t="shared" si="64"/>
        <v>11</v>
      </c>
      <c r="B1989" s="37">
        <v>45088</v>
      </c>
      <c r="C1989" t="s">
        <v>28</v>
      </c>
      <c r="D1989">
        <f t="shared" si="65"/>
        <v>2023</v>
      </c>
      <c r="F1989">
        <v>26.857099999999999</v>
      </c>
    </row>
    <row r="1990" spans="1:6" x14ac:dyDescent="0.25">
      <c r="A1990">
        <f t="shared" si="64"/>
        <v>12</v>
      </c>
      <c r="B1990" s="37">
        <v>45089</v>
      </c>
      <c r="C1990" t="s">
        <v>28</v>
      </c>
      <c r="D1990">
        <f t="shared" si="65"/>
        <v>2023</v>
      </c>
      <c r="F1990">
        <v>26.857099999999999</v>
      </c>
    </row>
    <row r="1991" spans="1:6" x14ac:dyDescent="0.25">
      <c r="A1991">
        <f t="shared" si="64"/>
        <v>13</v>
      </c>
      <c r="B1991" s="37">
        <v>45090</v>
      </c>
      <c r="C1991" t="s">
        <v>28</v>
      </c>
      <c r="D1991">
        <f t="shared" si="65"/>
        <v>2023</v>
      </c>
      <c r="F1991">
        <v>27.021000000000001</v>
      </c>
    </row>
    <row r="1992" spans="1:6" x14ac:dyDescent="0.25">
      <c r="A1992">
        <f t="shared" si="64"/>
        <v>14</v>
      </c>
      <c r="B1992" s="37">
        <v>45091</v>
      </c>
      <c r="C1992" t="s">
        <v>28</v>
      </c>
      <c r="D1992">
        <f t="shared" si="65"/>
        <v>2023</v>
      </c>
      <c r="F1992">
        <v>27.018000000000001</v>
      </c>
    </row>
    <row r="1993" spans="1:6" x14ac:dyDescent="0.25">
      <c r="A1993">
        <f t="shared" si="64"/>
        <v>15</v>
      </c>
      <c r="B1993" s="37">
        <v>45092</v>
      </c>
      <c r="C1993" t="s">
        <v>28</v>
      </c>
      <c r="D1993">
        <f t="shared" si="65"/>
        <v>2023</v>
      </c>
      <c r="F1993">
        <v>27.1053</v>
      </c>
    </row>
    <row r="1994" spans="1:6" x14ac:dyDescent="0.25">
      <c r="A1994">
        <f t="shared" si="64"/>
        <v>16</v>
      </c>
      <c r="B1994" s="37">
        <v>45093</v>
      </c>
      <c r="C1994" t="s">
        <v>28</v>
      </c>
      <c r="D1994">
        <f t="shared" si="65"/>
        <v>2023</v>
      </c>
      <c r="F1994">
        <v>27.1737</v>
      </c>
    </row>
    <row r="1995" spans="1:6" x14ac:dyDescent="0.25">
      <c r="A1995">
        <f t="shared" si="64"/>
        <v>17</v>
      </c>
      <c r="B1995" s="37">
        <v>45094</v>
      </c>
      <c r="C1995" t="s">
        <v>28</v>
      </c>
      <c r="D1995">
        <f t="shared" si="65"/>
        <v>2023</v>
      </c>
      <c r="F1995">
        <v>27.1737</v>
      </c>
    </row>
    <row r="1996" spans="1:6" x14ac:dyDescent="0.25">
      <c r="A1996">
        <f t="shared" si="64"/>
        <v>18</v>
      </c>
      <c r="B1996" s="37">
        <v>45095</v>
      </c>
      <c r="C1996" t="s">
        <v>28</v>
      </c>
      <c r="D1996">
        <f t="shared" si="65"/>
        <v>2023</v>
      </c>
      <c r="F1996">
        <v>27.1737</v>
      </c>
    </row>
    <row r="1997" spans="1:6" x14ac:dyDescent="0.25">
      <c r="A1997">
        <f t="shared" si="64"/>
        <v>19</v>
      </c>
      <c r="B1997" s="37">
        <v>45096</v>
      </c>
      <c r="C1997" t="s">
        <v>28</v>
      </c>
      <c r="D1997">
        <f t="shared" si="65"/>
        <v>2023</v>
      </c>
      <c r="F1997">
        <v>27.1737</v>
      </c>
    </row>
    <row r="1998" spans="1:6" x14ac:dyDescent="0.25">
      <c r="A1998">
        <f t="shared" si="64"/>
        <v>20</v>
      </c>
      <c r="B1998" s="37">
        <v>45097</v>
      </c>
      <c r="C1998" t="s">
        <v>28</v>
      </c>
      <c r="D1998">
        <f t="shared" si="65"/>
        <v>2023</v>
      </c>
      <c r="F1998">
        <v>27.277999999999999</v>
      </c>
    </row>
    <row r="1999" spans="1:6" x14ac:dyDescent="0.25">
      <c r="A1999">
        <f t="shared" si="64"/>
        <v>21</v>
      </c>
      <c r="B1999" s="37">
        <v>45098</v>
      </c>
      <c r="C1999" t="s">
        <v>28</v>
      </c>
      <c r="D1999">
        <f t="shared" si="65"/>
        <v>2023</v>
      </c>
      <c r="F1999">
        <v>27.254300000000001</v>
      </c>
    </row>
    <row r="2000" spans="1:6" x14ac:dyDescent="0.25">
      <c r="A2000">
        <f t="shared" si="64"/>
        <v>22</v>
      </c>
      <c r="B2000" s="37">
        <v>45099</v>
      </c>
      <c r="C2000" t="s">
        <v>28</v>
      </c>
      <c r="D2000">
        <f t="shared" si="65"/>
        <v>2023</v>
      </c>
      <c r="F2000">
        <v>27.3</v>
      </c>
    </row>
    <row r="2001" spans="1:6" x14ac:dyDescent="0.25">
      <c r="A2001">
        <f t="shared" si="64"/>
        <v>23</v>
      </c>
      <c r="B2001" s="37">
        <v>45100</v>
      </c>
      <c r="C2001" t="s">
        <v>28</v>
      </c>
      <c r="D2001">
        <f t="shared" si="65"/>
        <v>2023</v>
      </c>
      <c r="F2001">
        <v>27.542000000000002</v>
      </c>
    </row>
    <row r="2002" spans="1:6" x14ac:dyDescent="0.25">
      <c r="A2002">
        <f t="shared" si="64"/>
        <v>24</v>
      </c>
      <c r="B2002" s="37">
        <v>45101</v>
      </c>
      <c r="C2002" t="s">
        <v>28</v>
      </c>
      <c r="D2002">
        <f t="shared" si="65"/>
        <v>2023</v>
      </c>
      <c r="F2002">
        <v>27.542000000000002</v>
      </c>
    </row>
    <row r="2003" spans="1:6" x14ac:dyDescent="0.25">
      <c r="A2003">
        <f t="shared" si="64"/>
        <v>25</v>
      </c>
      <c r="B2003" s="37">
        <v>45102</v>
      </c>
      <c r="C2003" t="s">
        <v>28</v>
      </c>
      <c r="D2003">
        <f t="shared" si="65"/>
        <v>2023</v>
      </c>
      <c r="F2003">
        <v>27.542000000000002</v>
      </c>
    </row>
    <row r="2004" spans="1:6" x14ac:dyDescent="0.25">
      <c r="A2004">
        <f t="shared" si="64"/>
        <v>26</v>
      </c>
      <c r="B2004" s="37">
        <v>45103</v>
      </c>
      <c r="C2004" t="s">
        <v>28</v>
      </c>
      <c r="D2004">
        <f t="shared" si="65"/>
        <v>2023</v>
      </c>
      <c r="F2004">
        <v>27.6096</v>
      </c>
    </row>
    <row r="2005" spans="1:6" x14ac:dyDescent="0.25">
      <c r="A2005">
        <f t="shared" si="64"/>
        <v>27</v>
      </c>
      <c r="B2005" s="37">
        <v>45104</v>
      </c>
      <c r="C2005" t="s">
        <v>28</v>
      </c>
      <c r="D2005">
        <f t="shared" si="65"/>
        <v>2023</v>
      </c>
      <c r="F2005">
        <v>27.616900000000001</v>
      </c>
    </row>
    <row r="2006" spans="1:6" x14ac:dyDescent="0.25">
      <c r="A2006">
        <f t="shared" si="64"/>
        <v>28</v>
      </c>
      <c r="B2006" s="37">
        <v>45105</v>
      </c>
      <c r="C2006" t="s">
        <v>28</v>
      </c>
      <c r="D2006">
        <f t="shared" si="65"/>
        <v>2023</v>
      </c>
      <c r="F2006">
        <v>27.715599999999998</v>
      </c>
    </row>
    <row r="2007" spans="1:6" x14ac:dyDescent="0.25">
      <c r="A2007">
        <f t="shared" si="64"/>
        <v>29</v>
      </c>
      <c r="B2007" s="37">
        <v>45106</v>
      </c>
      <c r="C2007" t="s">
        <v>28</v>
      </c>
      <c r="D2007">
        <f t="shared" si="65"/>
        <v>2023</v>
      </c>
      <c r="F2007">
        <v>27.837399999999999</v>
      </c>
    </row>
    <row r="2008" spans="1:6" x14ac:dyDescent="0.25">
      <c r="A2008">
        <f t="shared" si="64"/>
        <v>30</v>
      </c>
      <c r="B2008" s="37">
        <v>45107</v>
      </c>
      <c r="C2008" t="s">
        <v>28</v>
      </c>
      <c r="D2008">
        <f t="shared" si="65"/>
        <v>2023</v>
      </c>
      <c r="F2008">
        <v>27.854600000000001</v>
      </c>
    </row>
    <row r="2009" spans="1:6" x14ac:dyDescent="0.25">
      <c r="A2009">
        <f t="shared" si="64"/>
        <v>1</v>
      </c>
      <c r="B2009" s="37">
        <v>45108</v>
      </c>
      <c r="C2009" t="s">
        <v>29</v>
      </c>
      <c r="D2009">
        <f t="shared" si="65"/>
        <v>2023</v>
      </c>
      <c r="F2009">
        <v>27.854600000000001</v>
      </c>
    </row>
    <row r="2010" spans="1:6" x14ac:dyDescent="0.25">
      <c r="A2010">
        <f t="shared" si="64"/>
        <v>2</v>
      </c>
      <c r="B2010" s="37">
        <v>45109</v>
      </c>
      <c r="C2010" t="s">
        <v>29</v>
      </c>
      <c r="D2010">
        <f t="shared" si="65"/>
        <v>2023</v>
      </c>
      <c r="F2010">
        <v>27.854600000000001</v>
      </c>
    </row>
    <row r="2011" spans="1:6" x14ac:dyDescent="0.25">
      <c r="A2011">
        <f t="shared" si="64"/>
        <v>3</v>
      </c>
      <c r="B2011" s="37">
        <v>45110</v>
      </c>
      <c r="C2011" t="s">
        <v>29</v>
      </c>
      <c r="D2011">
        <f t="shared" si="65"/>
        <v>2023</v>
      </c>
      <c r="F2011">
        <v>27.854600000000001</v>
      </c>
    </row>
    <row r="2012" spans="1:6" x14ac:dyDescent="0.25">
      <c r="A2012">
        <f t="shared" si="64"/>
        <v>4</v>
      </c>
      <c r="B2012" s="37">
        <v>45111</v>
      </c>
      <c r="C2012" t="s">
        <v>29</v>
      </c>
      <c r="D2012">
        <f t="shared" si="65"/>
        <v>2023</v>
      </c>
      <c r="F2012">
        <v>28.016200000000001</v>
      </c>
    </row>
    <row r="2013" spans="1:6" x14ac:dyDescent="0.25">
      <c r="A2013">
        <f t="shared" si="64"/>
        <v>5</v>
      </c>
      <c r="B2013" s="37">
        <v>45112</v>
      </c>
      <c r="C2013" t="s">
        <v>29</v>
      </c>
      <c r="D2013">
        <f t="shared" si="65"/>
        <v>2023</v>
      </c>
      <c r="F2013">
        <v>28.016200000000001</v>
      </c>
    </row>
    <row r="2014" spans="1:6" x14ac:dyDescent="0.25">
      <c r="A2014">
        <f t="shared" si="64"/>
        <v>6</v>
      </c>
      <c r="B2014" s="37">
        <v>45113</v>
      </c>
      <c r="C2014" t="s">
        <v>29</v>
      </c>
      <c r="D2014">
        <f t="shared" si="65"/>
        <v>2023</v>
      </c>
      <c r="F2014">
        <v>28.1648</v>
      </c>
    </row>
    <row r="2015" spans="1:6" x14ac:dyDescent="0.25">
      <c r="A2015">
        <f t="shared" si="64"/>
        <v>7</v>
      </c>
      <c r="B2015" s="37">
        <v>45114</v>
      </c>
      <c r="C2015" t="s">
        <v>29</v>
      </c>
      <c r="D2015">
        <f t="shared" si="65"/>
        <v>2023</v>
      </c>
      <c r="F2015">
        <v>28.276800000000001</v>
      </c>
    </row>
    <row r="2016" spans="1:6" x14ac:dyDescent="0.25">
      <c r="A2016">
        <f t="shared" si="64"/>
        <v>8</v>
      </c>
      <c r="B2016" s="37">
        <v>45115</v>
      </c>
      <c r="C2016" t="s">
        <v>29</v>
      </c>
      <c r="D2016">
        <f t="shared" si="65"/>
        <v>2023</v>
      </c>
      <c r="F2016">
        <v>28.276800000000001</v>
      </c>
    </row>
    <row r="2017" spans="1:6" x14ac:dyDescent="0.25">
      <c r="A2017">
        <f t="shared" si="64"/>
        <v>9</v>
      </c>
      <c r="B2017" s="37">
        <v>45116</v>
      </c>
      <c r="C2017" t="s">
        <v>29</v>
      </c>
      <c r="D2017">
        <f t="shared" si="65"/>
        <v>2023</v>
      </c>
      <c r="F2017">
        <v>28.276800000000001</v>
      </c>
    </row>
    <row r="2018" spans="1:6" x14ac:dyDescent="0.25">
      <c r="A2018">
        <f t="shared" si="64"/>
        <v>10</v>
      </c>
      <c r="B2018" s="37">
        <v>45117</v>
      </c>
      <c r="C2018" t="s">
        <v>29</v>
      </c>
      <c r="D2018">
        <f t="shared" si="65"/>
        <v>2023</v>
      </c>
      <c r="F2018">
        <v>28.3048</v>
      </c>
    </row>
    <row r="2019" spans="1:6" x14ac:dyDescent="0.25">
      <c r="A2019">
        <f t="shared" si="64"/>
        <v>11</v>
      </c>
      <c r="B2019" s="37">
        <v>45118</v>
      </c>
      <c r="C2019" t="s">
        <v>29</v>
      </c>
      <c r="D2019">
        <f t="shared" si="65"/>
        <v>2023</v>
      </c>
      <c r="F2019">
        <v>28.206600000000002</v>
      </c>
    </row>
    <row r="2020" spans="1:6" x14ac:dyDescent="0.25">
      <c r="A2020">
        <f t="shared" ref="A2020:A2083" si="66">DAY(B2020)</f>
        <v>12</v>
      </c>
      <c r="B2020" s="37">
        <v>45119</v>
      </c>
      <c r="C2020" t="s">
        <v>29</v>
      </c>
      <c r="D2020">
        <f t="shared" ref="D2020:D2083" si="67">YEAR(B2020)</f>
        <v>2023</v>
      </c>
      <c r="F2020">
        <v>28.3568</v>
      </c>
    </row>
    <row r="2021" spans="1:6" x14ac:dyDescent="0.25">
      <c r="A2021">
        <f t="shared" si="66"/>
        <v>13</v>
      </c>
      <c r="B2021" s="37">
        <v>45120</v>
      </c>
      <c r="C2021" t="s">
        <v>29</v>
      </c>
      <c r="D2021">
        <f t="shared" si="67"/>
        <v>2023</v>
      </c>
      <c r="F2021">
        <v>28.352900000000002</v>
      </c>
    </row>
    <row r="2022" spans="1:6" x14ac:dyDescent="0.25">
      <c r="A2022">
        <f t="shared" si="66"/>
        <v>14</v>
      </c>
      <c r="B2022" s="37">
        <v>45121</v>
      </c>
      <c r="C2022" t="s">
        <v>29</v>
      </c>
      <c r="D2022">
        <f t="shared" si="67"/>
        <v>2023</v>
      </c>
      <c r="F2022">
        <v>28.4556</v>
      </c>
    </row>
    <row r="2023" spans="1:6" x14ac:dyDescent="0.25">
      <c r="A2023">
        <f t="shared" si="66"/>
        <v>15</v>
      </c>
      <c r="B2023" s="37">
        <v>45122</v>
      </c>
      <c r="C2023" t="s">
        <v>29</v>
      </c>
      <c r="D2023">
        <f t="shared" si="67"/>
        <v>2023</v>
      </c>
      <c r="F2023">
        <v>28.4556</v>
      </c>
    </row>
    <row r="2024" spans="1:6" x14ac:dyDescent="0.25">
      <c r="A2024">
        <f t="shared" si="66"/>
        <v>16</v>
      </c>
      <c r="B2024" s="37">
        <v>45123</v>
      </c>
      <c r="C2024" t="s">
        <v>29</v>
      </c>
      <c r="D2024">
        <f t="shared" si="67"/>
        <v>2023</v>
      </c>
      <c r="F2024">
        <v>28.4556</v>
      </c>
    </row>
    <row r="2025" spans="1:6" x14ac:dyDescent="0.25">
      <c r="A2025">
        <f t="shared" si="66"/>
        <v>17</v>
      </c>
      <c r="B2025" s="37">
        <v>45124</v>
      </c>
      <c r="C2025" t="s">
        <v>29</v>
      </c>
      <c r="D2025">
        <f t="shared" si="67"/>
        <v>2023</v>
      </c>
      <c r="F2025">
        <v>28.6099</v>
      </c>
    </row>
    <row r="2026" spans="1:6" x14ac:dyDescent="0.25">
      <c r="A2026">
        <f t="shared" si="66"/>
        <v>18</v>
      </c>
      <c r="B2026" s="37">
        <v>45125</v>
      </c>
      <c r="C2026" t="s">
        <v>29</v>
      </c>
      <c r="D2026">
        <f t="shared" si="67"/>
        <v>2023</v>
      </c>
      <c r="F2026">
        <v>28.669499999999999</v>
      </c>
    </row>
    <row r="2027" spans="1:6" x14ac:dyDescent="0.25">
      <c r="A2027">
        <f t="shared" si="66"/>
        <v>19</v>
      </c>
      <c r="B2027" s="37">
        <v>45126</v>
      </c>
      <c r="C2027" t="s">
        <v>29</v>
      </c>
      <c r="D2027">
        <f t="shared" si="67"/>
        <v>2023</v>
      </c>
      <c r="F2027">
        <v>28.8123</v>
      </c>
    </row>
    <row r="2028" spans="1:6" x14ac:dyDescent="0.25">
      <c r="A2028">
        <f t="shared" si="66"/>
        <v>20</v>
      </c>
      <c r="B2028" s="37">
        <v>45127</v>
      </c>
      <c r="C2028" t="s">
        <v>29</v>
      </c>
      <c r="D2028">
        <f t="shared" si="67"/>
        <v>2023</v>
      </c>
      <c r="F2028">
        <v>28.878900000000002</v>
      </c>
    </row>
    <row r="2029" spans="1:6" x14ac:dyDescent="0.25">
      <c r="A2029">
        <f t="shared" si="66"/>
        <v>21</v>
      </c>
      <c r="B2029" s="37">
        <v>45128</v>
      </c>
      <c r="C2029" t="s">
        <v>29</v>
      </c>
      <c r="D2029">
        <f t="shared" si="67"/>
        <v>2023</v>
      </c>
      <c r="F2029">
        <v>28.990600000000001</v>
      </c>
    </row>
    <row r="2030" spans="1:6" x14ac:dyDescent="0.25">
      <c r="A2030">
        <f t="shared" si="66"/>
        <v>22</v>
      </c>
      <c r="B2030" s="37">
        <v>45129</v>
      </c>
      <c r="C2030" t="s">
        <v>29</v>
      </c>
      <c r="D2030">
        <f t="shared" si="67"/>
        <v>2023</v>
      </c>
      <c r="F2030">
        <v>28.990600000000001</v>
      </c>
    </row>
    <row r="2031" spans="1:6" x14ac:dyDescent="0.25">
      <c r="A2031">
        <f t="shared" si="66"/>
        <v>23</v>
      </c>
      <c r="B2031" s="37">
        <v>45130</v>
      </c>
      <c r="C2031" t="s">
        <v>29</v>
      </c>
      <c r="D2031">
        <f t="shared" si="67"/>
        <v>2023</v>
      </c>
      <c r="F2031">
        <v>28.990600000000001</v>
      </c>
    </row>
    <row r="2032" spans="1:6" x14ac:dyDescent="0.25">
      <c r="A2032">
        <f t="shared" si="66"/>
        <v>24</v>
      </c>
      <c r="B2032" s="37">
        <v>45131</v>
      </c>
      <c r="C2032" t="s">
        <v>29</v>
      </c>
      <c r="D2032">
        <f t="shared" si="67"/>
        <v>2023</v>
      </c>
      <c r="F2032">
        <v>28.990600000000001</v>
      </c>
    </row>
    <row r="2033" spans="1:6" x14ac:dyDescent="0.25">
      <c r="A2033">
        <f t="shared" si="66"/>
        <v>25</v>
      </c>
      <c r="B2033" s="37">
        <v>45132</v>
      </c>
      <c r="C2033" t="s">
        <v>29</v>
      </c>
      <c r="D2033">
        <f t="shared" si="67"/>
        <v>2023</v>
      </c>
      <c r="F2033">
        <v>29.087199999999999</v>
      </c>
    </row>
    <row r="2034" spans="1:6" x14ac:dyDescent="0.25">
      <c r="A2034">
        <f t="shared" si="66"/>
        <v>26</v>
      </c>
      <c r="B2034" s="37">
        <v>45133</v>
      </c>
      <c r="C2034" t="s">
        <v>29</v>
      </c>
      <c r="D2034">
        <f t="shared" si="67"/>
        <v>2023</v>
      </c>
      <c r="F2034">
        <v>29.104199999999999</v>
      </c>
    </row>
    <row r="2035" spans="1:6" x14ac:dyDescent="0.25">
      <c r="A2035">
        <f t="shared" si="66"/>
        <v>27</v>
      </c>
      <c r="B2035" s="37">
        <v>45134</v>
      </c>
      <c r="C2035" t="s">
        <v>29</v>
      </c>
      <c r="D2035">
        <f t="shared" si="67"/>
        <v>2023</v>
      </c>
      <c r="F2035">
        <v>29.314</v>
      </c>
    </row>
    <row r="2036" spans="1:6" x14ac:dyDescent="0.25">
      <c r="A2036">
        <f t="shared" si="66"/>
        <v>28</v>
      </c>
      <c r="B2036" s="37">
        <v>45135</v>
      </c>
      <c r="C2036" t="s">
        <v>29</v>
      </c>
      <c r="D2036">
        <f t="shared" si="67"/>
        <v>2023</v>
      </c>
      <c r="F2036">
        <v>29.305199999999999</v>
      </c>
    </row>
    <row r="2037" spans="1:6" x14ac:dyDescent="0.25">
      <c r="A2037">
        <f t="shared" si="66"/>
        <v>29</v>
      </c>
      <c r="B2037" s="37">
        <v>45136</v>
      </c>
      <c r="C2037" t="s">
        <v>29</v>
      </c>
      <c r="D2037">
        <f t="shared" si="67"/>
        <v>2023</v>
      </c>
      <c r="F2037">
        <v>29.305199999999999</v>
      </c>
    </row>
    <row r="2038" spans="1:6" x14ac:dyDescent="0.25">
      <c r="A2038">
        <f t="shared" si="66"/>
        <v>30</v>
      </c>
      <c r="B2038" s="37">
        <v>45137</v>
      </c>
      <c r="C2038" t="s">
        <v>29</v>
      </c>
      <c r="D2038">
        <f t="shared" si="67"/>
        <v>2023</v>
      </c>
      <c r="F2038">
        <v>29.305199999999999</v>
      </c>
    </row>
    <row r="2039" spans="1:6" x14ac:dyDescent="0.25">
      <c r="A2039">
        <f t="shared" si="66"/>
        <v>31</v>
      </c>
      <c r="B2039" s="37">
        <v>45138</v>
      </c>
      <c r="C2039" t="s">
        <v>29</v>
      </c>
      <c r="D2039">
        <f t="shared" si="67"/>
        <v>2023</v>
      </c>
      <c r="F2039">
        <v>29.305199999999999</v>
      </c>
    </row>
    <row r="2040" spans="1:6" x14ac:dyDescent="0.25">
      <c r="A2040">
        <f t="shared" si="66"/>
        <v>1</v>
      </c>
      <c r="B2040" s="37">
        <v>45139</v>
      </c>
      <c r="C2040" t="s">
        <v>30</v>
      </c>
      <c r="D2040">
        <f t="shared" si="67"/>
        <v>2023</v>
      </c>
      <c r="F2040">
        <v>29.503699999999998</v>
      </c>
    </row>
    <row r="2041" spans="1:6" x14ac:dyDescent="0.25">
      <c r="A2041">
        <f t="shared" si="66"/>
        <v>2</v>
      </c>
      <c r="B2041" s="37">
        <v>45140</v>
      </c>
      <c r="C2041" t="s">
        <v>30</v>
      </c>
      <c r="D2041">
        <f t="shared" si="67"/>
        <v>2023</v>
      </c>
      <c r="F2041">
        <v>29.615300000000001</v>
      </c>
    </row>
    <row r="2042" spans="1:6" x14ac:dyDescent="0.25">
      <c r="A2042">
        <f t="shared" si="66"/>
        <v>3</v>
      </c>
      <c r="B2042" s="37">
        <v>45141</v>
      </c>
      <c r="C2042" t="s">
        <v>30</v>
      </c>
      <c r="D2042">
        <f t="shared" si="67"/>
        <v>2023</v>
      </c>
      <c r="F2042">
        <v>29.7559</v>
      </c>
    </row>
    <row r="2043" spans="1:6" x14ac:dyDescent="0.25">
      <c r="A2043">
        <f t="shared" si="66"/>
        <v>4</v>
      </c>
      <c r="B2043" s="37">
        <v>45142</v>
      </c>
      <c r="C2043" t="s">
        <v>30</v>
      </c>
      <c r="D2043">
        <f t="shared" si="67"/>
        <v>2023</v>
      </c>
      <c r="F2043">
        <v>30.104199999999999</v>
      </c>
    </row>
    <row r="2044" spans="1:6" x14ac:dyDescent="0.25">
      <c r="A2044">
        <f t="shared" si="66"/>
        <v>5</v>
      </c>
      <c r="B2044" s="37">
        <v>45143</v>
      </c>
      <c r="C2044" t="s">
        <v>30</v>
      </c>
      <c r="D2044">
        <f t="shared" si="67"/>
        <v>2023</v>
      </c>
      <c r="F2044">
        <v>30.104199999999999</v>
      </c>
    </row>
    <row r="2045" spans="1:6" x14ac:dyDescent="0.25">
      <c r="A2045">
        <f t="shared" si="66"/>
        <v>6</v>
      </c>
      <c r="B2045" s="37">
        <v>45144</v>
      </c>
      <c r="C2045" t="s">
        <v>30</v>
      </c>
      <c r="D2045">
        <f t="shared" si="67"/>
        <v>2023</v>
      </c>
      <c r="F2045">
        <v>30.104199999999999</v>
      </c>
    </row>
    <row r="2046" spans="1:6" x14ac:dyDescent="0.25">
      <c r="A2046">
        <f t="shared" si="66"/>
        <v>7</v>
      </c>
      <c r="B2046" s="37">
        <v>45145</v>
      </c>
      <c r="C2046" t="s">
        <v>30</v>
      </c>
      <c r="D2046">
        <f t="shared" si="67"/>
        <v>2023</v>
      </c>
      <c r="F2046">
        <v>30.982600000000001</v>
      </c>
    </row>
    <row r="2047" spans="1:6" x14ac:dyDescent="0.25">
      <c r="A2047">
        <f t="shared" si="66"/>
        <v>8</v>
      </c>
      <c r="B2047" s="37">
        <v>45146</v>
      </c>
      <c r="C2047" t="s">
        <v>30</v>
      </c>
      <c r="D2047">
        <f t="shared" si="67"/>
        <v>2023</v>
      </c>
      <c r="F2047">
        <v>30.968499999999999</v>
      </c>
    </row>
    <row r="2048" spans="1:6" x14ac:dyDescent="0.25">
      <c r="A2048">
        <f t="shared" si="66"/>
        <v>9</v>
      </c>
      <c r="B2048" s="37">
        <v>45147</v>
      </c>
      <c r="C2048" t="s">
        <v>30</v>
      </c>
      <c r="D2048">
        <f t="shared" si="67"/>
        <v>2023</v>
      </c>
      <c r="F2048">
        <v>31.0989</v>
      </c>
    </row>
    <row r="2049" spans="1:6" x14ac:dyDescent="0.25">
      <c r="A2049">
        <f t="shared" si="66"/>
        <v>10</v>
      </c>
      <c r="B2049" s="37">
        <v>45148</v>
      </c>
      <c r="C2049" t="s">
        <v>30</v>
      </c>
      <c r="D2049">
        <f t="shared" si="67"/>
        <v>2023</v>
      </c>
      <c r="F2049">
        <v>31.2376</v>
      </c>
    </row>
    <row r="2050" spans="1:6" x14ac:dyDescent="0.25">
      <c r="A2050">
        <f t="shared" si="66"/>
        <v>11</v>
      </c>
      <c r="B2050" s="37">
        <v>45149</v>
      </c>
      <c r="C2050" t="s">
        <v>30</v>
      </c>
      <c r="D2050">
        <f t="shared" si="67"/>
        <v>2023</v>
      </c>
      <c r="F2050">
        <v>31.355399999999999</v>
      </c>
    </row>
    <row r="2051" spans="1:6" x14ac:dyDescent="0.25">
      <c r="A2051">
        <f t="shared" si="66"/>
        <v>12</v>
      </c>
      <c r="B2051" s="37">
        <v>45150</v>
      </c>
      <c r="C2051" t="s">
        <v>30</v>
      </c>
      <c r="D2051">
        <f t="shared" si="67"/>
        <v>2023</v>
      </c>
      <c r="F2051">
        <v>31.355399999999999</v>
      </c>
    </row>
    <row r="2052" spans="1:6" x14ac:dyDescent="0.25">
      <c r="A2052">
        <f t="shared" si="66"/>
        <v>13</v>
      </c>
      <c r="B2052" s="37">
        <v>45151</v>
      </c>
      <c r="C2052" t="s">
        <v>30</v>
      </c>
      <c r="D2052">
        <f t="shared" si="67"/>
        <v>2023</v>
      </c>
      <c r="F2052">
        <v>31.355399999999999</v>
      </c>
    </row>
    <row r="2053" spans="1:6" x14ac:dyDescent="0.25">
      <c r="A2053">
        <f t="shared" si="66"/>
        <v>14</v>
      </c>
      <c r="B2053" s="37">
        <v>45152</v>
      </c>
      <c r="C2053" t="s">
        <v>30</v>
      </c>
      <c r="D2053">
        <f t="shared" si="67"/>
        <v>2023</v>
      </c>
      <c r="F2053">
        <v>31.355399999999999</v>
      </c>
    </row>
    <row r="2054" spans="1:6" x14ac:dyDescent="0.25">
      <c r="A2054">
        <f t="shared" si="66"/>
        <v>15</v>
      </c>
      <c r="B2054" s="37">
        <v>45153</v>
      </c>
      <c r="C2054" t="s">
        <v>30</v>
      </c>
      <c r="D2054">
        <f t="shared" si="67"/>
        <v>2023</v>
      </c>
      <c r="F2054">
        <v>31.525099999999998</v>
      </c>
    </row>
    <row r="2055" spans="1:6" x14ac:dyDescent="0.25">
      <c r="A2055">
        <f t="shared" si="66"/>
        <v>16</v>
      </c>
      <c r="B2055" s="37">
        <v>45154</v>
      </c>
      <c r="C2055" t="s">
        <v>30</v>
      </c>
      <c r="D2055">
        <f t="shared" si="67"/>
        <v>2023</v>
      </c>
      <c r="F2055">
        <v>31.509799999999998</v>
      </c>
    </row>
    <row r="2056" spans="1:6" x14ac:dyDescent="0.25">
      <c r="A2056">
        <f t="shared" si="66"/>
        <v>17</v>
      </c>
      <c r="B2056" s="37">
        <v>45155</v>
      </c>
      <c r="C2056" t="s">
        <v>30</v>
      </c>
      <c r="D2056">
        <f t="shared" si="67"/>
        <v>2023</v>
      </c>
      <c r="F2056">
        <v>31.611699999999999</v>
      </c>
    </row>
    <row r="2057" spans="1:6" x14ac:dyDescent="0.25">
      <c r="A2057">
        <f t="shared" si="66"/>
        <v>18</v>
      </c>
      <c r="B2057" s="37">
        <v>45156</v>
      </c>
      <c r="C2057" t="s">
        <v>30</v>
      </c>
      <c r="D2057">
        <f t="shared" si="67"/>
        <v>2023</v>
      </c>
      <c r="F2057">
        <v>31.753499999999999</v>
      </c>
    </row>
    <row r="2058" spans="1:6" x14ac:dyDescent="0.25">
      <c r="A2058">
        <f t="shared" si="66"/>
        <v>19</v>
      </c>
      <c r="B2058" s="37">
        <v>45157</v>
      </c>
      <c r="C2058" t="s">
        <v>30</v>
      </c>
      <c r="D2058">
        <f t="shared" si="67"/>
        <v>2023</v>
      </c>
      <c r="F2058">
        <v>31.753499999999999</v>
      </c>
    </row>
    <row r="2059" spans="1:6" x14ac:dyDescent="0.25">
      <c r="A2059">
        <f t="shared" si="66"/>
        <v>20</v>
      </c>
      <c r="B2059" s="37">
        <v>45158</v>
      </c>
      <c r="C2059" t="s">
        <v>30</v>
      </c>
      <c r="D2059">
        <f t="shared" si="67"/>
        <v>2023</v>
      </c>
      <c r="F2059">
        <v>31.753499999999999</v>
      </c>
    </row>
    <row r="2060" spans="1:6" x14ac:dyDescent="0.25">
      <c r="A2060">
        <f t="shared" si="66"/>
        <v>21</v>
      </c>
      <c r="B2060" s="37">
        <v>45159</v>
      </c>
      <c r="C2060" t="s">
        <v>30</v>
      </c>
      <c r="D2060">
        <f t="shared" si="67"/>
        <v>2023</v>
      </c>
      <c r="F2060">
        <v>31.847300000000001</v>
      </c>
    </row>
    <row r="2061" spans="1:6" x14ac:dyDescent="0.25">
      <c r="A2061">
        <f t="shared" si="66"/>
        <v>22</v>
      </c>
      <c r="B2061" s="37">
        <v>45160</v>
      </c>
      <c r="C2061" t="s">
        <v>30</v>
      </c>
      <c r="D2061">
        <f t="shared" si="67"/>
        <v>2023</v>
      </c>
      <c r="F2061">
        <v>31.8337</v>
      </c>
    </row>
    <row r="2062" spans="1:6" x14ac:dyDescent="0.25">
      <c r="A2062">
        <f t="shared" si="66"/>
        <v>23</v>
      </c>
      <c r="B2062" s="37">
        <v>45161</v>
      </c>
      <c r="C2062" t="s">
        <v>30</v>
      </c>
      <c r="D2062">
        <f t="shared" si="67"/>
        <v>2023</v>
      </c>
      <c r="F2062">
        <v>32.007899999999999</v>
      </c>
    </row>
    <row r="2063" spans="1:6" x14ac:dyDescent="0.25">
      <c r="A2063">
        <f t="shared" si="66"/>
        <v>24</v>
      </c>
      <c r="B2063" s="37">
        <v>45162</v>
      </c>
      <c r="C2063" t="s">
        <v>30</v>
      </c>
      <c r="D2063">
        <f t="shared" si="67"/>
        <v>2023</v>
      </c>
      <c r="F2063">
        <v>32.1785</v>
      </c>
    </row>
    <row r="2064" spans="1:6" x14ac:dyDescent="0.25">
      <c r="A2064">
        <f t="shared" si="66"/>
        <v>25</v>
      </c>
      <c r="B2064" s="37">
        <v>45163</v>
      </c>
      <c r="C2064" t="s">
        <v>30</v>
      </c>
      <c r="D2064">
        <f t="shared" si="67"/>
        <v>2023</v>
      </c>
      <c r="F2064">
        <v>32.2956</v>
      </c>
    </row>
    <row r="2065" spans="1:6" x14ac:dyDescent="0.25">
      <c r="A2065">
        <f t="shared" si="66"/>
        <v>26</v>
      </c>
      <c r="B2065" s="37">
        <v>45164</v>
      </c>
      <c r="C2065" t="s">
        <v>30</v>
      </c>
      <c r="D2065">
        <f t="shared" si="67"/>
        <v>2023</v>
      </c>
      <c r="F2065">
        <v>32.2956</v>
      </c>
    </row>
    <row r="2066" spans="1:6" x14ac:dyDescent="0.25">
      <c r="A2066">
        <f t="shared" si="66"/>
        <v>27</v>
      </c>
      <c r="B2066" s="37">
        <v>45165</v>
      </c>
      <c r="C2066" t="s">
        <v>30</v>
      </c>
      <c r="D2066">
        <f t="shared" si="67"/>
        <v>2023</v>
      </c>
      <c r="F2066">
        <v>32.2956</v>
      </c>
    </row>
    <row r="2067" spans="1:6" x14ac:dyDescent="0.25">
      <c r="A2067">
        <f t="shared" si="66"/>
        <v>28</v>
      </c>
      <c r="B2067" s="37">
        <v>45166</v>
      </c>
      <c r="C2067" t="s">
        <v>30</v>
      </c>
      <c r="D2067">
        <f t="shared" si="67"/>
        <v>2023</v>
      </c>
      <c r="F2067">
        <v>32.344499999999996</v>
      </c>
    </row>
    <row r="2068" spans="1:6" x14ac:dyDescent="0.25">
      <c r="A2068">
        <f t="shared" si="66"/>
        <v>29</v>
      </c>
      <c r="B2068" s="37">
        <v>45167</v>
      </c>
      <c r="C2068" t="s">
        <v>30</v>
      </c>
      <c r="D2068">
        <f t="shared" si="67"/>
        <v>2023</v>
      </c>
      <c r="F2068">
        <v>32.437100000000001</v>
      </c>
    </row>
    <row r="2069" spans="1:6" x14ac:dyDescent="0.25">
      <c r="A2069">
        <f t="shared" si="66"/>
        <v>30</v>
      </c>
      <c r="B2069" s="37">
        <v>45168</v>
      </c>
      <c r="C2069" t="s">
        <v>30</v>
      </c>
      <c r="D2069">
        <f t="shared" si="67"/>
        <v>2023</v>
      </c>
      <c r="F2069">
        <v>32.428400000000003</v>
      </c>
    </row>
    <row r="2070" spans="1:6" x14ac:dyDescent="0.25">
      <c r="A2070">
        <f t="shared" si="66"/>
        <v>31</v>
      </c>
      <c r="B2070" s="37">
        <v>45169</v>
      </c>
      <c r="C2070" t="s">
        <v>30</v>
      </c>
      <c r="D2070">
        <f t="shared" si="67"/>
        <v>2023</v>
      </c>
      <c r="F2070">
        <v>32.428400000000003</v>
      </c>
    </row>
    <row r="2071" spans="1:6" x14ac:dyDescent="0.25">
      <c r="A2071">
        <f t="shared" si="66"/>
        <v>1</v>
      </c>
      <c r="B2071" s="37">
        <v>45170</v>
      </c>
      <c r="C2071" t="s">
        <v>31</v>
      </c>
      <c r="D2071">
        <f t="shared" si="67"/>
        <v>2023</v>
      </c>
      <c r="F2071">
        <v>32.598399999999998</v>
      </c>
    </row>
    <row r="2072" spans="1:6" x14ac:dyDescent="0.25">
      <c r="A2072">
        <f t="shared" si="66"/>
        <v>2</v>
      </c>
      <c r="B2072" s="37">
        <v>45171</v>
      </c>
      <c r="C2072" t="s">
        <v>31</v>
      </c>
      <c r="D2072">
        <f t="shared" si="67"/>
        <v>2023</v>
      </c>
      <c r="F2072">
        <v>33.598399999999998</v>
      </c>
    </row>
    <row r="2073" spans="1:6" x14ac:dyDescent="0.25">
      <c r="A2073">
        <f t="shared" si="66"/>
        <v>3</v>
      </c>
      <c r="B2073" s="37">
        <v>45172</v>
      </c>
      <c r="C2073" t="s">
        <v>31</v>
      </c>
      <c r="D2073">
        <f t="shared" si="67"/>
        <v>2023</v>
      </c>
      <c r="F2073">
        <v>34.598399999999998</v>
      </c>
    </row>
    <row r="2074" spans="1:6" x14ac:dyDescent="0.25">
      <c r="A2074">
        <f t="shared" si="66"/>
        <v>4</v>
      </c>
      <c r="B2074" s="37">
        <v>45173</v>
      </c>
      <c r="C2074" t="s">
        <v>31</v>
      </c>
      <c r="D2074">
        <f t="shared" si="67"/>
        <v>2023</v>
      </c>
      <c r="F2074">
        <v>32.815100000000001</v>
      </c>
    </row>
    <row r="2075" spans="1:6" x14ac:dyDescent="0.25">
      <c r="A2075">
        <f t="shared" si="66"/>
        <v>5</v>
      </c>
      <c r="B2075" s="37">
        <v>45174</v>
      </c>
      <c r="C2075" t="s">
        <v>31</v>
      </c>
      <c r="D2075">
        <f t="shared" si="67"/>
        <v>2023</v>
      </c>
      <c r="F2075">
        <v>32.792099999999998</v>
      </c>
    </row>
    <row r="2076" spans="1:6" x14ac:dyDescent="0.25">
      <c r="A2076">
        <f t="shared" si="66"/>
        <v>6</v>
      </c>
      <c r="B2076" s="37">
        <v>45175</v>
      </c>
      <c r="C2076" t="s">
        <v>31</v>
      </c>
      <c r="D2076">
        <f t="shared" si="67"/>
        <v>2023</v>
      </c>
      <c r="F2076">
        <v>32.939399999999999</v>
      </c>
    </row>
    <row r="2077" spans="1:6" x14ac:dyDescent="0.25">
      <c r="A2077">
        <f t="shared" si="66"/>
        <v>7</v>
      </c>
      <c r="B2077" s="37">
        <v>45176</v>
      </c>
      <c r="C2077" t="s">
        <v>31</v>
      </c>
      <c r="D2077">
        <f t="shared" si="67"/>
        <v>2023</v>
      </c>
      <c r="F2077">
        <v>33.111499999999999</v>
      </c>
    </row>
    <row r="2078" spans="1:6" x14ac:dyDescent="0.25">
      <c r="A2078">
        <f t="shared" si="66"/>
        <v>8</v>
      </c>
      <c r="B2078" s="37">
        <v>45177</v>
      </c>
      <c r="C2078" t="s">
        <v>31</v>
      </c>
      <c r="D2078">
        <f t="shared" si="67"/>
        <v>2023</v>
      </c>
      <c r="F2078">
        <v>33.215699999999998</v>
      </c>
    </row>
    <row r="2079" spans="1:6" x14ac:dyDescent="0.25">
      <c r="A2079">
        <f t="shared" si="66"/>
        <v>9</v>
      </c>
      <c r="B2079" s="37">
        <v>45178</v>
      </c>
      <c r="C2079" t="s">
        <v>31</v>
      </c>
      <c r="D2079">
        <f t="shared" si="67"/>
        <v>2023</v>
      </c>
      <c r="F2079">
        <v>34.215699999999998</v>
      </c>
    </row>
    <row r="2080" spans="1:6" x14ac:dyDescent="0.25">
      <c r="A2080">
        <f t="shared" si="66"/>
        <v>10</v>
      </c>
      <c r="B2080" s="37">
        <v>45179</v>
      </c>
      <c r="C2080" t="s">
        <v>31</v>
      </c>
      <c r="D2080">
        <f t="shared" si="67"/>
        <v>2023</v>
      </c>
      <c r="F2080">
        <v>35.215699999999998</v>
      </c>
    </row>
    <row r="2081" spans="1:6" x14ac:dyDescent="0.25">
      <c r="A2081">
        <f t="shared" si="66"/>
        <v>11</v>
      </c>
      <c r="B2081" s="37">
        <v>45180</v>
      </c>
      <c r="C2081" t="s">
        <v>31</v>
      </c>
      <c r="D2081">
        <f t="shared" si="67"/>
        <v>2023</v>
      </c>
      <c r="F2081">
        <v>36.215699999999998</v>
      </c>
    </row>
    <row r="2082" spans="1:6" x14ac:dyDescent="0.25">
      <c r="A2082">
        <f t="shared" si="66"/>
        <v>12</v>
      </c>
      <c r="B2082" s="37">
        <v>45181</v>
      </c>
      <c r="C2082" t="s">
        <v>31</v>
      </c>
      <c r="D2082">
        <f t="shared" si="67"/>
        <v>2023</v>
      </c>
      <c r="F2082">
        <v>33.3401</v>
      </c>
    </row>
    <row r="2083" spans="1:6" x14ac:dyDescent="0.25">
      <c r="A2083">
        <f t="shared" si="66"/>
        <v>13</v>
      </c>
      <c r="B2083" s="37">
        <v>45182</v>
      </c>
      <c r="C2083" t="s">
        <v>31</v>
      </c>
      <c r="D2083">
        <f t="shared" si="67"/>
        <v>2023</v>
      </c>
      <c r="F2083">
        <v>33.3371</v>
      </c>
    </row>
    <row r="2084" spans="1:6" x14ac:dyDescent="0.25">
      <c r="A2084">
        <f t="shared" ref="A2084:A2147" si="68">DAY(B2084)</f>
        <v>14</v>
      </c>
      <c r="B2084" s="37">
        <v>45183</v>
      </c>
      <c r="C2084" t="s">
        <v>31</v>
      </c>
      <c r="D2084">
        <f t="shared" ref="D2084:D2147" si="69">YEAR(B2084)</f>
        <v>2023</v>
      </c>
      <c r="F2084">
        <v>33.440199999999997</v>
      </c>
    </row>
    <row r="2085" spans="1:6" x14ac:dyDescent="0.25">
      <c r="A2085">
        <f t="shared" si="68"/>
        <v>15</v>
      </c>
      <c r="B2085" s="37">
        <v>45184</v>
      </c>
      <c r="C2085" t="s">
        <v>31</v>
      </c>
      <c r="D2085">
        <f t="shared" si="69"/>
        <v>2023</v>
      </c>
      <c r="F2085">
        <v>33.507800000000003</v>
      </c>
    </row>
    <row r="2086" spans="1:6" x14ac:dyDescent="0.25">
      <c r="A2086">
        <f t="shared" si="68"/>
        <v>16</v>
      </c>
      <c r="B2086" s="37">
        <v>45185</v>
      </c>
      <c r="C2086" t="s">
        <v>31</v>
      </c>
      <c r="D2086">
        <f t="shared" si="69"/>
        <v>2023</v>
      </c>
      <c r="F2086">
        <v>34.507800000000003</v>
      </c>
    </row>
    <row r="2087" spans="1:6" x14ac:dyDescent="0.25">
      <c r="A2087">
        <f t="shared" si="68"/>
        <v>17</v>
      </c>
      <c r="B2087" s="37">
        <v>45186</v>
      </c>
      <c r="C2087" t="s">
        <v>31</v>
      </c>
      <c r="D2087">
        <f t="shared" si="69"/>
        <v>2023</v>
      </c>
      <c r="F2087">
        <v>35.507800000000003</v>
      </c>
    </row>
    <row r="2088" spans="1:6" x14ac:dyDescent="0.25">
      <c r="A2088">
        <f t="shared" si="68"/>
        <v>18</v>
      </c>
      <c r="B2088" s="37">
        <v>45187</v>
      </c>
      <c r="C2088" t="s">
        <v>31</v>
      </c>
      <c r="D2088">
        <f t="shared" si="69"/>
        <v>2023</v>
      </c>
      <c r="F2088">
        <v>33.660699999999999</v>
      </c>
    </row>
    <row r="2089" spans="1:6" x14ac:dyDescent="0.25">
      <c r="A2089">
        <f t="shared" si="68"/>
        <v>19</v>
      </c>
      <c r="B2089" s="37">
        <v>45188</v>
      </c>
      <c r="C2089" t="s">
        <v>31</v>
      </c>
      <c r="D2089">
        <f t="shared" si="69"/>
        <v>2023</v>
      </c>
      <c r="F2089">
        <v>33.668100000000003</v>
      </c>
    </row>
    <row r="2090" spans="1:6" x14ac:dyDescent="0.25">
      <c r="A2090">
        <f t="shared" si="68"/>
        <v>20</v>
      </c>
      <c r="B2090" s="37">
        <v>45189</v>
      </c>
      <c r="C2090" t="s">
        <v>31</v>
      </c>
      <c r="D2090">
        <f t="shared" si="69"/>
        <v>2023</v>
      </c>
      <c r="F2090">
        <v>33.816099999999999</v>
      </c>
    </row>
    <row r="2091" spans="1:6" x14ac:dyDescent="0.25">
      <c r="A2091">
        <f t="shared" si="68"/>
        <v>21</v>
      </c>
      <c r="B2091" s="37">
        <v>45190</v>
      </c>
      <c r="C2091" t="s">
        <v>31</v>
      </c>
      <c r="D2091">
        <f t="shared" si="69"/>
        <v>2023</v>
      </c>
      <c r="F2091">
        <v>33.833300000000001</v>
      </c>
    </row>
    <row r="2092" spans="1:6" x14ac:dyDescent="0.25">
      <c r="A2092">
        <f t="shared" si="68"/>
        <v>22</v>
      </c>
      <c r="B2092" s="37">
        <v>45191</v>
      </c>
      <c r="C2092" t="s">
        <v>31</v>
      </c>
      <c r="D2092">
        <f t="shared" si="69"/>
        <v>2023</v>
      </c>
      <c r="F2092">
        <v>33.928899999999999</v>
      </c>
    </row>
    <row r="2093" spans="1:6" x14ac:dyDescent="0.25">
      <c r="A2093">
        <f t="shared" si="68"/>
        <v>23</v>
      </c>
      <c r="B2093" s="37">
        <v>45192</v>
      </c>
      <c r="C2093" t="s">
        <v>31</v>
      </c>
      <c r="D2093">
        <f t="shared" si="69"/>
        <v>2023</v>
      </c>
      <c r="F2093">
        <v>34.928899999999999</v>
      </c>
    </row>
    <row r="2094" spans="1:6" x14ac:dyDescent="0.25">
      <c r="A2094">
        <f t="shared" si="68"/>
        <v>24</v>
      </c>
      <c r="B2094" s="37">
        <v>45193</v>
      </c>
      <c r="C2094" t="s">
        <v>31</v>
      </c>
      <c r="D2094">
        <f t="shared" si="69"/>
        <v>2023</v>
      </c>
      <c r="F2094">
        <v>35.928899999999999</v>
      </c>
    </row>
    <row r="2095" spans="1:6" x14ac:dyDescent="0.25">
      <c r="A2095">
        <f t="shared" si="68"/>
        <v>25</v>
      </c>
      <c r="B2095" s="37">
        <v>45194</v>
      </c>
      <c r="C2095" t="s">
        <v>31</v>
      </c>
      <c r="D2095">
        <f t="shared" si="69"/>
        <v>2023</v>
      </c>
      <c r="F2095">
        <v>33.991199999999999</v>
      </c>
    </row>
    <row r="2096" spans="1:6" x14ac:dyDescent="0.25">
      <c r="A2096">
        <f t="shared" si="68"/>
        <v>26</v>
      </c>
      <c r="B2096" s="37">
        <v>45195</v>
      </c>
      <c r="C2096" t="s">
        <v>31</v>
      </c>
      <c r="D2096">
        <f t="shared" si="69"/>
        <v>2023</v>
      </c>
      <c r="F2096">
        <v>34.023299999999999</v>
      </c>
    </row>
    <row r="2097" spans="1:6" x14ac:dyDescent="0.25">
      <c r="A2097">
        <f t="shared" si="68"/>
        <v>27</v>
      </c>
      <c r="B2097" s="37">
        <v>45196</v>
      </c>
      <c r="C2097" t="s">
        <v>31</v>
      </c>
      <c r="D2097">
        <f t="shared" si="69"/>
        <v>2023</v>
      </c>
      <c r="F2097">
        <v>34.093299999999999</v>
      </c>
    </row>
    <row r="2098" spans="1:6" x14ac:dyDescent="0.25">
      <c r="A2098">
        <f t="shared" si="68"/>
        <v>28</v>
      </c>
      <c r="B2098" s="37">
        <v>45197</v>
      </c>
      <c r="C2098" t="s">
        <v>31</v>
      </c>
      <c r="D2098">
        <f t="shared" si="69"/>
        <v>2023</v>
      </c>
      <c r="F2098">
        <v>34.250700000000002</v>
      </c>
    </row>
    <row r="2099" spans="1:6" x14ac:dyDescent="0.25">
      <c r="A2099">
        <f t="shared" si="68"/>
        <v>29</v>
      </c>
      <c r="B2099" s="37">
        <v>45198</v>
      </c>
      <c r="C2099" t="s">
        <v>31</v>
      </c>
      <c r="D2099">
        <f t="shared" si="69"/>
        <v>2023</v>
      </c>
      <c r="F2099">
        <v>34.250700000000002</v>
      </c>
    </row>
    <row r="2100" spans="1:6" x14ac:dyDescent="0.25">
      <c r="A2100">
        <f t="shared" si="68"/>
        <v>30</v>
      </c>
      <c r="B2100" s="37">
        <v>45199</v>
      </c>
      <c r="C2100" t="s">
        <v>31</v>
      </c>
      <c r="D2100">
        <f t="shared" si="69"/>
        <v>2023</v>
      </c>
      <c r="F2100">
        <v>34.250700000000002</v>
      </c>
    </row>
    <row r="2101" spans="1:6" x14ac:dyDescent="0.25">
      <c r="A2101">
        <f t="shared" si="68"/>
        <v>1</v>
      </c>
      <c r="B2101" s="37">
        <v>45200</v>
      </c>
      <c r="C2101" t="s">
        <v>32</v>
      </c>
      <c r="D2101">
        <f t="shared" si="69"/>
        <v>2023</v>
      </c>
      <c r="F2101">
        <v>34.300899999999999</v>
      </c>
    </row>
    <row r="2102" spans="1:6" x14ac:dyDescent="0.25">
      <c r="A2102">
        <f t="shared" si="68"/>
        <v>2</v>
      </c>
      <c r="B2102" s="37">
        <v>45201</v>
      </c>
      <c r="C2102" t="s">
        <v>32</v>
      </c>
      <c r="D2102">
        <f t="shared" si="69"/>
        <v>2023</v>
      </c>
      <c r="F2102">
        <v>34.425400000000003</v>
      </c>
    </row>
    <row r="2103" spans="1:6" x14ac:dyDescent="0.25">
      <c r="A2103">
        <f t="shared" si="68"/>
        <v>3</v>
      </c>
      <c r="B2103" s="37">
        <v>45202</v>
      </c>
      <c r="C2103" t="s">
        <v>32</v>
      </c>
      <c r="D2103">
        <f t="shared" si="69"/>
        <v>2023</v>
      </c>
      <c r="F2103">
        <v>34.4681</v>
      </c>
    </row>
    <row r="2104" spans="1:6" x14ac:dyDescent="0.25">
      <c r="A2104">
        <f t="shared" si="68"/>
        <v>4</v>
      </c>
      <c r="B2104" s="37">
        <v>45203</v>
      </c>
      <c r="C2104" t="s">
        <v>32</v>
      </c>
      <c r="D2104">
        <f t="shared" si="69"/>
        <v>2023</v>
      </c>
      <c r="F2104">
        <v>34.668500000000002</v>
      </c>
    </row>
    <row r="2105" spans="1:6" x14ac:dyDescent="0.25">
      <c r="A2105">
        <f t="shared" si="68"/>
        <v>5</v>
      </c>
      <c r="B2105" s="37">
        <v>45204</v>
      </c>
      <c r="C2105" t="s">
        <v>32</v>
      </c>
      <c r="D2105">
        <f t="shared" si="69"/>
        <v>2023</v>
      </c>
      <c r="F2105">
        <v>34.713299999999997</v>
      </c>
    </row>
    <row r="2106" spans="1:6" x14ac:dyDescent="0.25">
      <c r="A2106">
        <f t="shared" si="68"/>
        <v>6</v>
      </c>
      <c r="B2106" s="37">
        <v>45205</v>
      </c>
      <c r="C2106" t="s">
        <v>32</v>
      </c>
      <c r="D2106">
        <f t="shared" si="69"/>
        <v>2023</v>
      </c>
      <c r="F2106">
        <v>34.749899999999997</v>
      </c>
    </row>
    <row r="2107" spans="1:6" x14ac:dyDescent="0.25">
      <c r="A2107">
        <f t="shared" si="68"/>
        <v>7</v>
      </c>
      <c r="B2107" s="37">
        <v>45206</v>
      </c>
      <c r="C2107" t="s">
        <v>32</v>
      </c>
      <c r="D2107">
        <f t="shared" si="69"/>
        <v>2023</v>
      </c>
      <c r="F2107">
        <v>34.749899999999997</v>
      </c>
    </row>
    <row r="2108" spans="1:6" x14ac:dyDescent="0.25">
      <c r="A2108">
        <f t="shared" si="68"/>
        <v>8</v>
      </c>
      <c r="B2108" s="37">
        <v>45207</v>
      </c>
      <c r="C2108" t="s">
        <v>32</v>
      </c>
      <c r="D2108">
        <f t="shared" si="69"/>
        <v>2023</v>
      </c>
      <c r="F2108">
        <v>34.749899999999997</v>
      </c>
    </row>
    <row r="2109" spans="1:6" x14ac:dyDescent="0.25">
      <c r="A2109">
        <f t="shared" si="68"/>
        <v>9</v>
      </c>
      <c r="B2109" s="37">
        <v>45208</v>
      </c>
      <c r="C2109" t="s">
        <v>32</v>
      </c>
      <c r="D2109">
        <f t="shared" si="69"/>
        <v>2023</v>
      </c>
      <c r="F2109">
        <v>34.856499999999997</v>
      </c>
    </row>
    <row r="2110" spans="1:6" x14ac:dyDescent="0.25">
      <c r="A2110">
        <f t="shared" si="68"/>
        <v>10</v>
      </c>
      <c r="B2110" s="37">
        <v>45209</v>
      </c>
      <c r="C2110" t="s">
        <v>32</v>
      </c>
      <c r="D2110">
        <f t="shared" si="69"/>
        <v>2023</v>
      </c>
      <c r="F2110">
        <v>34.819899999999997</v>
      </c>
    </row>
    <row r="2111" spans="1:6" x14ac:dyDescent="0.25">
      <c r="A2111">
        <f t="shared" si="68"/>
        <v>11</v>
      </c>
      <c r="B2111" s="37">
        <v>45210</v>
      </c>
      <c r="C2111" t="s">
        <v>32</v>
      </c>
      <c r="D2111">
        <f t="shared" si="69"/>
        <v>2023</v>
      </c>
      <c r="F2111">
        <v>34.8416</v>
      </c>
    </row>
    <row r="2112" spans="1:6" x14ac:dyDescent="0.25">
      <c r="A2112">
        <f t="shared" si="68"/>
        <v>12</v>
      </c>
      <c r="B2112" s="37">
        <v>45211</v>
      </c>
      <c r="C2112" t="s">
        <v>32</v>
      </c>
      <c r="D2112">
        <f t="shared" si="69"/>
        <v>2023</v>
      </c>
      <c r="F2112">
        <v>34.8416</v>
      </c>
    </row>
    <row r="2113" spans="1:6" x14ac:dyDescent="0.25">
      <c r="A2113">
        <f t="shared" si="68"/>
        <v>13</v>
      </c>
      <c r="B2113" s="37">
        <v>45212</v>
      </c>
      <c r="C2113" t="s">
        <v>32</v>
      </c>
      <c r="D2113">
        <f t="shared" si="69"/>
        <v>2023</v>
      </c>
      <c r="F2113">
        <v>34.900100000000002</v>
      </c>
    </row>
    <row r="2114" spans="1:6" x14ac:dyDescent="0.25">
      <c r="A2114">
        <f t="shared" si="68"/>
        <v>14</v>
      </c>
      <c r="B2114" s="37">
        <v>45213</v>
      </c>
      <c r="C2114" t="s">
        <v>32</v>
      </c>
      <c r="D2114">
        <f t="shared" si="69"/>
        <v>2023</v>
      </c>
      <c r="F2114">
        <v>34.900100000000002</v>
      </c>
    </row>
    <row r="2115" spans="1:6" x14ac:dyDescent="0.25">
      <c r="A2115">
        <f t="shared" si="68"/>
        <v>15</v>
      </c>
      <c r="B2115" s="37">
        <v>45214</v>
      </c>
      <c r="C2115" t="s">
        <v>32</v>
      </c>
      <c r="D2115">
        <f t="shared" si="69"/>
        <v>2023</v>
      </c>
      <c r="F2115">
        <v>34.900100000000002</v>
      </c>
    </row>
    <row r="2116" spans="1:6" x14ac:dyDescent="0.25">
      <c r="A2116">
        <f t="shared" si="68"/>
        <v>16</v>
      </c>
      <c r="B2116" s="37">
        <v>45215</v>
      </c>
      <c r="C2116" t="s">
        <v>32</v>
      </c>
      <c r="D2116">
        <f t="shared" si="69"/>
        <v>2023</v>
      </c>
      <c r="F2116">
        <v>34.877600000000001</v>
      </c>
    </row>
    <row r="2117" spans="1:6" x14ac:dyDescent="0.25">
      <c r="A2117">
        <f t="shared" si="68"/>
        <v>17</v>
      </c>
      <c r="B2117" s="37">
        <v>45216</v>
      </c>
      <c r="C2117" t="s">
        <v>32</v>
      </c>
      <c r="D2117">
        <f t="shared" si="69"/>
        <v>2023</v>
      </c>
      <c r="F2117">
        <v>34.8508</v>
      </c>
    </row>
    <row r="2118" spans="1:6" x14ac:dyDescent="0.25">
      <c r="A2118">
        <f t="shared" si="68"/>
        <v>18</v>
      </c>
      <c r="B2118" s="37">
        <v>45217</v>
      </c>
      <c r="C2118" t="s">
        <v>32</v>
      </c>
      <c r="D2118">
        <f t="shared" si="69"/>
        <v>2023</v>
      </c>
      <c r="F2118">
        <v>34.812600000000003</v>
      </c>
    </row>
    <row r="2119" spans="1:6" x14ac:dyDescent="0.25">
      <c r="A2119">
        <f t="shared" si="68"/>
        <v>19</v>
      </c>
      <c r="B2119" s="37">
        <v>45218</v>
      </c>
      <c r="C2119" t="s">
        <v>32</v>
      </c>
      <c r="D2119">
        <f t="shared" si="69"/>
        <v>2023</v>
      </c>
      <c r="F2119">
        <v>34.860199999999999</v>
      </c>
    </row>
    <row r="2120" spans="1:6" x14ac:dyDescent="0.25">
      <c r="A2120">
        <f t="shared" si="68"/>
        <v>20</v>
      </c>
      <c r="B2120" s="37">
        <v>45219</v>
      </c>
      <c r="C2120" t="s">
        <v>32</v>
      </c>
      <c r="D2120">
        <f t="shared" si="69"/>
        <v>2023</v>
      </c>
      <c r="F2120">
        <v>34.858400000000003</v>
      </c>
    </row>
    <row r="2121" spans="1:6" x14ac:dyDescent="0.25">
      <c r="A2121">
        <f t="shared" si="68"/>
        <v>21</v>
      </c>
      <c r="B2121" s="37">
        <v>45220</v>
      </c>
      <c r="C2121" t="s">
        <v>32</v>
      </c>
      <c r="D2121">
        <f t="shared" si="69"/>
        <v>2023</v>
      </c>
      <c r="F2121">
        <v>34.858400000000003</v>
      </c>
    </row>
    <row r="2122" spans="1:6" x14ac:dyDescent="0.25">
      <c r="A2122">
        <f t="shared" si="68"/>
        <v>22</v>
      </c>
      <c r="B2122" s="37">
        <v>45221</v>
      </c>
      <c r="C2122" t="s">
        <v>32</v>
      </c>
      <c r="D2122">
        <f t="shared" si="69"/>
        <v>2023</v>
      </c>
      <c r="F2122">
        <v>34.858400000000003</v>
      </c>
    </row>
    <row r="2123" spans="1:6" x14ac:dyDescent="0.25">
      <c r="A2123">
        <f t="shared" si="68"/>
        <v>23</v>
      </c>
      <c r="B2123" s="37">
        <v>45222</v>
      </c>
      <c r="C2123" t="s">
        <v>32</v>
      </c>
      <c r="D2123">
        <f t="shared" si="69"/>
        <v>2023</v>
      </c>
      <c r="F2123">
        <v>34.977899999999998</v>
      </c>
    </row>
    <row r="2124" spans="1:6" x14ac:dyDescent="0.25">
      <c r="A2124">
        <f t="shared" si="68"/>
        <v>24</v>
      </c>
      <c r="B2124" s="37">
        <v>45223</v>
      </c>
      <c r="C2124" t="s">
        <v>32</v>
      </c>
      <c r="D2124">
        <f t="shared" si="69"/>
        <v>2023</v>
      </c>
      <c r="F2124">
        <v>34.975999999999999</v>
      </c>
    </row>
    <row r="2125" spans="1:6" x14ac:dyDescent="0.25">
      <c r="A2125">
        <f t="shared" si="68"/>
        <v>25</v>
      </c>
      <c r="B2125" s="37">
        <v>45224</v>
      </c>
      <c r="C2125" t="s">
        <v>32</v>
      </c>
      <c r="D2125">
        <f t="shared" si="69"/>
        <v>2023</v>
      </c>
      <c r="F2125">
        <v>35.027799999999999</v>
      </c>
    </row>
    <row r="2126" spans="1:6" x14ac:dyDescent="0.25">
      <c r="A2126">
        <f t="shared" si="68"/>
        <v>26</v>
      </c>
      <c r="B2126" s="37">
        <v>45225</v>
      </c>
      <c r="C2126" t="s">
        <v>32</v>
      </c>
      <c r="D2126">
        <f t="shared" si="69"/>
        <v>2023</v>
      </c>
      <c r="F2126">
        <v>35.022199999999998</v>
      </c>
    </row>
    <row r="2127" spans="1:6" x14ac:dyDescent="0.25">
      <c r="A2127">
        <f t="shared" si="68"/>
        <v>27</v>
      </c>
      <c r="B2127" s="37">
        <v>45226</v>
      </c>
      <c r="C2127" t="s">
        <v>32</v>
      </c>
      <c r="D2127">
        <f t="shared" si="69"/>
        <v>2023</v>
      </c>
      <c r="F2127">
        <v>35.091900000000003</v>
      </c>
    </row>
    <row r="2128" spans="1:6" x14ac:dyDescent="0.25">
      <c r="A2128">
        <f t="shared" si="68"/>
        <v>28</v>
      </c>
      <c r="B2128" s="37">
        <v>45227</v>
      </c>
      <c r="C2128" t="s">
        <v>32</v>
      </c>
      <c r="D2128">
        <f t="shared" si="69"/>
        <v>2023</v>
      </c>
      <c r="F2128">
        <v>35.091900000000003</v>
      </c>
    </row>
    <row r="2129" spans="1:6" x14ac:dyDescent="0.25">
      <c r="A2129">
        <f t="shared" si="68"/>
        <v>29</v>
      </c>
      <c r="B2129" s="37">
        <v>45228</v>
      </c>
      <c r="C2129" t="s">
        <v>32</v>
      </c>
      <c r="D2129">
        <f t="shared" si="69"/>
        <v>2023</v>
      </c>
      <c r="F2129">
        <v>35.091900000000003</v>
      </c>
    </row>
    <row r="2130" spans="1:6" x14ac:dyDescent="0.25">
      <c r="A2130">
        <f t="shared" si="68"/>
        <v>30</v>
      </c>
      <c r="B2130" s="37">
        <v>45229</v>
      </c>
      <c r="C2130" t="s">
        <v>32</v>
      </c>
      <c r="D2130">
        <f t="shared" si="69"/>
        <v>2023</v>
      </c>
      <c r="F2130">
        <v>35.091900000000003</v>
      </c>
    </row>
    <row r="2131" spans="1:6" x14ac:dyDescent="0.25">
      <c r="A2131">
        <f t="shared" si="68"/>
        <v>31</v>
      </c>
      <c r="B2131" s="37">
        <v>45230</v>
      </c>
      <c r="C2131" t="s">
        <v>32</v>
      </c>
      <c r="D2131">
        <f t="shared" si="69"/>
        <v>2023</v>
      </c>
      <c r="F2131">
        <v>35.127600000000001</v>
      </c>
    </row>
    <row r="2132" spans="1:6" x14ac:dyDescent="0.25">
      <c r="A2132">
        <f t="shared" si="68"/>
        <v>1</v>
      </c>
      <c r="B2132" s="37">
        <v>45231</v>
      </c>
      <c r="C2132" t="s">
        <v>33</v>
      </c>
      <c r="D2132">
        <f t="shared" si="69"/>
        <v>2023</v>
      </c>
    </row>
    <row r="2133" spans="1:6" x14ac:dyDescent="0.25">
      <c r="A2133">
        <f t="shared" si="68"/>
        <v>2</v>
      </c>
      <c r="B2133" s="37">
        <v>45232</v>
      </c>
      <c r="C2133" t="s">
        <v>33</v>
      </c>
      <c r="D2133">
        <f t="shared" si="69"/>
        <v>2023</v>
      </c>
    </row>
    <row r="2134" spans="1:6" x14ac:dyDescent="0.25">
      <c r="A2134">
        <f t="shared" si="68"/>
        <v>3</v>
      </c>
      <c r="B2134" s="37">
        <v>45233</v>
      </c>
      <c r="C2134" t="s">
        <v>33</v>
      </c>
      <c r="D2134">
        <f t="shared" si="69"/>
        <v>2023</v>
      </c>
    </row>
    <row r="2135" spans="1:6" x14ac:dyDescent="0.25">
      <c r="A2135">
        <f t="shared" si="68"/>
        <v>4</v>
      </c>
      <c r="B2135" s="37">
        <v>45234</v>
      </c>
      <c r="C2135" t="s">
        <v>33</v>
      </c>
      <c r="D2135">
        <f t="shared" si="69"/>
        <v>2023</v>
      </c>
    </row>
    <row r="2136" spans="1:6" x14ac:dyDescent="0.25">
      <c r="A2136">
        <f t="shared" si="68"/>
        <v>5</v>
      </c>
      <c r="B2136" s="37">
        <v>45235</v>
      </c>
      <c r="C2136" t="s">
        <v>33</v>
      </c>
      <c r="D2136">
        <f t="shared" si="69"/>
        <v>2023</v>
      </c>
    </row>
    <row r="2137" spans="1:6" x14ac:dyDescent="0.25">
      <c r="A2137">
        <f t="shared" si="68"/>
        <v>6</v>
      </c>
      <c r="B2137" s="37">
        <v>45236</v>
      </c>
      <c r="C2137" t="s">
        <v>33</v>
      </c>
      <c r="D2137">
        <f t="shared" si="69"/>
        <v>2023</v>
      </c>
    </row>
    <row r="2138" spans="1:6" x14ac:dyDescent="0.25">
      <c r="A2138">
        <f t="shared" si="68"/>
        <v>7</v>
      </c>
      <c r="B2138" s="37">
        <v>45237</v>
      </c>
      <c r="C2138" t="s">
        <v>33</v>
      </c>
      <c r="D2138">
        <f t="shared" si="69"/>
        <v>2023</v>
      </c>
    </row>
    <row r="2139" spans="1:6" x14ac:dyDescent="0.25">
      <c r="A2139">
        <f t="shared" si="68"/>
        <v>8</v>
      </c>
      <c r="B2139" s="37">
        <v>45238</v>
      </c>
      <c r="C2139" t="s">
        <v>33</v>
      </c>
      <c r="D2139">
        <f t="shared" si="69"/>
        <v>2023</v>
      </c>
    </row>
    <row r="2140" spans="1:6" x14ac:dyDescent="0.25">
      <c r="A2140">
        <f t="shared" si="68"/>
        <v>9</v>
      </c>
      <c r="B2140" s="37">
        <v>45239</v>
      </c>
      <c r="C2140" t="s">
        <v>33</v>
      </c>
      <c r="D2140">
        <f t="shared" si="69"/>
        <v>2023</v>
      </c>
    </row>
    <row r="2141" spans="1:6" x14ac:dyDescent="0.25">
      <c r="A2141">
        <f t="shared" si="68"/>
        <v>10</v>
      </c>
      <c r="B2141" s="37">
        <v>45240</v>
      </c>
      <c r="C2141" t="s">
        <v>33</v>
      </c>
      <c r="D2141">
        <f t="shared" si="69"/>
        <v>2023</v>
      </c>
    </row>
    <row r="2142" spans="1:6" x14ac:dyDescent="0.25">
      <c r="A2142">
        <f t="shared" si="68"/>
        <v>11</v>
      </c>
      <c r="B2142" s="37">
        <v>45241</v>
      </c>
      <c r="C2142" t="s">
        <v>33</v>
      </c>
      <c r="D2142">
        <f t="shared" si="69"/>
        <v>2023</v>
      </c>
    </row>
    <row r="2143" spans="1:6" x14ac:dyDescent="0.25">
      <c r="A2143">
        <f t="shared" si="68"/>
        <v>12</v>
      </c>
      <c r="B2143" s="37">
        <v>45242</v>
      </c>
      <c r="C2143" t="s">
        <v>33</v>
      </c>
      <c r="D2143">
        <f t="shared" si="69"/>
        <v>2023</v>
      </c>
    </row>
    <row r="2144" spans="1:6" x14ac:dyDescent="0.25">
      <c r="A2144">
        <f t="shared" si="68"/>
        <v>13</v>
      </c>
      <c r="B2144" s="37">
        <v>45243</v>
      </c>
      <c r="C2144" t="s">
        <v>33</v>
      </c>
      <c r="D2144">
        <f t="shared" si="69"/>
        <v>2023</v>
      </c>
    </row>
    <row r="2145" spans="1:4" x14ac:dyDescent="0.25">
      <c r="A2145">
        <f t="shared" si="68"/>
        <v>14</v>
      </c>
      <c r="B2145" s="37">
        <v>45244</v>
      </c>
      <c r="C2145" t="s">
        <v>33</v>
      </c>
      <c r="D2145">
        <f t="shared" si="69"/>
        <v>2023</v>
      </c>
    </row>
    <row r="2146" spans="1:4" x14ac:dyDescent="0.25">
      <c r="A2146">
        <f t="shared" si="68"/>
        <v>15</v>
      </c>
      <c r="B2146" s="37">
        <v>45245</v>
      </c>
      <c r="C2146" t="s">
        <v>33</v>
      </c>
      <c r="D2146">
        <f t="shared" si="69"/>
        <v>2023</v>
      </c>
    </row>
    <row r="2147" spans="1:4" x14ac:dyDescent="0.25">
      <c r="A2147">
        <f t="shared" si="68"/>
        <v>16</v>
      </c>
      <c r="B2147" s="37">
        <v>45246</v>
      </c>
      <c r="C2147" t="s">
        <v>33</v>
      </c>
      <c r="D2147">
        <f t="shared" si="69"/>
        <v>2023</v>
      </c>
    </row>
    <row r="2148" spans="1:4" x14ac:dyDescent="0.25">
      <c r="A2148">
        <f t="shared" ref="A2148:A2192" si="70">DAY(B2148)</f>
        <v>17</v>
      </c>
      <c r="B2148" s="37">
        <v>45247</v>
      </c>
      <c r="C2148" t="s">
        <v>33</v>
      </c>
      <c r="D2148">
        <f t="shared" ref="D2148:D2192" si="71">YEAR(B2148)</f>
        <v>2023</v>
      </c>
    </row>
    <row r="2149" spans="1:4" x14ac:dyDescent="0.25">
      <c r="A2149">
        <f t="shared" si="70"/>
        <v>18</v>
      </c>
      <c r="B2149" s="37">
        <v>45248</v>
      </c>
      <c r="C2149" t="s">
        <v>33</v>
      </c>
      <c r="D2149">
        <f t="shared" si="71"/>
        <v>2023</v>
      </c>
    </row>
    <row r="2150" spans="1:4" x14ac:dyDescent="0.25">
      <c r="A2150">
        <f t="shared" si="70"/>
        <v>19</v>
      </c>
      <c r="B2150" s="37">
        <v>45249</v>
      </c>
      <c r="C2150" t="s">
        <v>33</v>
      </c>
      <c r="D2150">
        <f t="shared" si="71"/>
        <v>2023</v>
      </c>
    </row>
    <row r="2151" spans="1:4" x14ac:dyDescent="0.25">
      <c r="A2151">
        <f t="shared" si="70"/>
        <v>20</v>
      </c>
      <c r="B2151" s="37">
        <v>45250</v>
      </c>
      <c r="C2151" t="s">
        <v>33</v>
      </c>
      <c r="D2151">
        <f t="shared" si="71"/>
        <v>2023</v>
      </c>
    </row>
    <row r="2152" spans="1:4" x14ac:dyDescent="0.25">
      <c r="A2152">
        <f t="shared" si="70"/>
        <v>21</v>
      </c>
      <c r="B2152" s="37">
        <v>45251</v>
      </c>
      <c r="C2152" t="s">
        <v>33</v>
      </c>
      <c r="D2152">
        <f t="shared" si="71"/>
        <v>2023</v>
      </c>
    </row>
    <row r="2153" spans="1:4" x14ac:dyDescent="0.25">
      <c r="A2153">
        <f t="shared" si="70"/>
        <v>22</v>
      </c>
      <c r="B2153" s="37">
        <v>45252</v>
      </c>
      <c r="C2153" t="s">
        <v>33</v>
      </c>
      <c r="D2153">
        <f t="shared" si="71"/>
        <v>2023</v>
      </c>
    </row>
    <row r="2154" spans="1:4" x14ac:dyDescent="0.25">
      <c r="A2154">
        <f t="shared" si="70"/>
        <v>23</v>
      </c>
      <c r="B2154" s="37">
        <v>45253</v>
      </c>
      <c r="C2154" t="s">
        <v>33</v>
      </c>
      <c r="D2154">
        <f t="shared" si="71"/>
        <v>2023</v>
      </c>
    </row>
    <row r="2155" spans="1:4" x14ac:dyDescent="0.25">
      <c r="A2155">
        <f t="shared" si="70"/>
        <v>24</v>
      </c>
      <c r="B2155" s="37">
        <v>45254</v>
      </c>
      <c r="C2155" t="s">
        <v>33</v>
      </c>
      <c r="D2155">
        <f t="shared" si="71"/>
        <v>2023</v>
      </c>
    </row>
    <row r="2156" spans="1:4" x14ac:dyDescent="0.25">
      <c r="A2156">
        <f t="shared" si="70"/>
        <v>25</v>
      </c>
      <c r="B2156" s="37">
        <v>45255</v>
      </c>
      <c r="C2156" t="s">
        <v>33</v>
      </c>
      <c r="D2156">
        <f t="shared" si="71"/>
        <v>2023</v>
      </c>
    </row>
    <row r="2157" spans="1:4" x14ac:dyDescent="0.25">
      <c r="A2157">
        <f t="shared" si="70"/>
        <v>26</v>
      </c>
      <c r="B2157" s="37">
        <v>45256</v>
      </c>
      <c r="C2157" t="s">
        <v>33</v>
      </c>
      <c r="D2157">
        <f t="shared" si="71"/>
        <v>2023</v>
      </c>
    </row>
    <row r="2158" spans="1:4" x14ac:dyDescent="0.25">
      <c r="A2158">
        <f t="shared" si="70"/>
        <v>27</v>
      </c>
      <c r="B2158" s="37">
        <v>45257</v>
      </c>
      <c r="C2158" t="s">
        <v>33</v>
      </c>
      <c r="D2158">
        <f t="shared" si="71"/>
        <v>2023</v>
      </c>
    </row>
    <row r="2159" spans="1:4" x14ac:dyDescent="0.25">
      <c r="A2159">
        <f t="shared" si="70"/>
        <v>28</v>
      </c>
      <c r="B2159" s="37">
        <v>45258</v>
      </c>
      <c r="C2159" t="s">
        <v>33</v>
      </c>
      <c r="D2159">
        <f t="shared" si="71"/>
        <v>2023</v>
      </c>
    </row>
    <row r="2160" spans="1:4" x14ac:dyDescent="0.25">
      <c r="A2160">
        <f t="shared" si="70"/>
        <v>29</v>
      </c>
      <c r="B2160" s="37">
        <v>45259</v>
      </c>
      <c r="C2160" t="s">
        <v>33</v>
      </c>
      <c r="D2160">
        <f t="shared" si="71"/>
        <v>2023</v>
      </c>
    </row>
    <row r="2161" spans="1:4" x14ac:dyDescent="0.25">
      <c r="A2161">
        <f t="shared" si="70"/>
        <v>30</v>
      </c>
      <c r="B2161" s="37">
        <v>45260</v>
      </c>
      <c r="C2161" t="s">
        <v>33</v>
      </c>
      <c r="D2161">
        <f t="shared" si="71"/>
        <v>2023</v>
      </c>
    </row>
    <row r="2162" spans="1:4" x14ac:dyDescent="0.25">
      <c r="A2162">
        <f t="shared" si="70"/>
        <v>1</v>
      </c>
      <c r="B2162" s="37">
        <v>45261</v>
      </c>
      <c r="C2162" t="s">
        <v>34</v>
      </c>
      <c r="D2162">
        <f t="shared" si="71"/>
        <v>2023</v>
      </c>
    </row>
    <row r="2163" spans="1:4" x14ac:dyDescent="0.25">
      <c r="A2163">
        <f t="shared" si="70"/>
        <v>2</v>
      </c>
      <c r="B2163" s="37">
        <v>45262</v>
      </c>
      <c r="C2163" t="s">
        <v>34</v>
      </c>
      <c r="D2163">
        <f t="shared" si="71"/>
        <v>2023</v>
      </c>
    </row>
    <row r="2164" spans="1:4" x14ac:dyDescent="0.25">
      <c r="A2164">
        <f t="shared" si="70"/>
        <v>3</v>
      </c>
      <c r="B2164" s="37">
        <v>45263</v>
      </c>
      <c r="C2164" t="s">
        <v>34</v>
      </c>
      <c r="D2164">
        <f t="shared" si="71"/>
        <v>2023</v>
      </c>
    </row>
    <row r="2165" spans="1:4" x14ac:dyDescent="0.25">
      <c r="A2165">
        <f t="shared" si="70"/>
        <v>4</v>
      </c>
      <c r="B2165" s="37">
        <v>45264</v>
      </c>
      <c r="C2165" t="s">
        <v>34</v>
      </c>
      <c r="D2165">
        <f t="shared" si="71"/>
        <v>2023</v>
      </c>
    </row>
    <row r="2166" spans="1:4" x14ac:dyDescent="0.25">
      <c r="A2166">
        <f t="shared" si="70"/>
        <v>5</v>
      </c>
      <c r="B2166" s="37">
        <v>45265</v>
      </c>
      <c r="C2166" t="s">
        <v>34</v>
      </c>
      <c r="D2166">
        <f t="shared" si="71"/>
        <v>2023</v>
      </c>
    </row>
    <row r="2167" spans="1:4" x14ac:dyDescent="0.25">
      <c r="A2167">
        <f t="shared" si="70"/>
        <v>6</v>
      </c>
      <c r="B2167" s="37">
        <v>45266</v>
      </c>
      <c r="C2167" t="s">
        <v>34</v>
      </c>
      <c r="D2167">
        <f t="shared" si="71"/>
        <v>2023</v>
      </c>
    </row>
    <row r="2168" spans="1:4" x14ac:dyDescent="0.25">
      <c r="A2168">
        <f t="shared" si="70"/>
        <v>7</v>
      </c>
      <c r="B2168" s="37">
        <v>45267</v>
      </c>
      <c r="C2168" t="s">
        <v>34</v>
      </c>
      <c r="D2168">
        <f t="shared" si="71"/>
        <v>2023</v>
      </c>
    </row>
    <row r="2169" spans="1:4" x14ac:dyDescent="0.25">
      <c r="A2169">
        <f t="shared" si="70"/>
        <v>8</v>
      </c>
      <c r="B2169" s="37">
        <v>45268</v>
      </c>
      <c r="C2169" t="s">
        <v>34</v>
      </c>
      <c r="D2169">
        <f t="shared" si="71"/>
        <v>2023</v>
      </c>
    </row>
    <row r="2170" spans="1:4" x14ac:dyDescent="0.25">
      <c r="A2170">
        <f t="shared" si="70"/>
        <v>9</v>
      </c>
      <c r="B2170" s="37">
        <v>45269</v>
      </c>
      <c r="C2170" t="s">
        <v>34</v>
      </c>
      <c r="D2170">
        <f t="shared" si="71"/>
        <v>2023</v>
      </c>
    </row>
    <row r="2171" spans="1:4" x14ac:dyDescent="0.25">
      <c r="A2171">
        <f t="shared" si="70"/>
        <v>10</v>
      </c>
      <c r="B2171" s="37">
        <v>45270</v>
      </c>
      <c r="C2171" t="s">
        <v>34</v>
      </c>
      <c r="D2171">
        <f t="shared" si="71"/>
        <v>2023</v>
      </c>
    </row>
    <row r="2172" spans="1:4" x14ac:dyDescent="0.25">
      <c r="A2172">
        <f t="shared" si="70"/>
        <v>11</v>
      </c>
      <c r="B2172" s="37">
        <v>45271</v>
      </c>
      <c r="C2172" t="s">
        <v>34</v>
      </c>
      <c r="D2172">
        <f t="shared" si="71"/>
        <v>2023</v>
      </c>
    </row>
    <row r="2173" spans="1:4" x14ac:dyDescent="0.25">
      <c r="A2173">
        <f t="shared" si="70"/>
        <v>12</v>
      </c>
      <c r="B2173" s="37">
        <v>45272</v>
      </c>
      <c r="C2173" t="s">
        <v>34</v>
      </c>
      <c r="D2173">
        <f t="shared" si="71"/>
        <v>2023</v>
      </c>
    </row>
    <row r="2174" spans="1:4" x14ac:dyDescent="0.25">
      <c r="A2174">
        <f t="shared" si="70"/>
        <v>13</v>
      </c>
      <c r="B2174" s="37">
        <v>45273</v>
      </c>
      <c r="C2174" t="s">
        <v>34</v>
      </c>
      <c r="D2174">
        <f t="shared" si="71"/>
        <v>2023</v>
      </c>
    </row>
    <row r="2175" spans="1:4" x14ac:dyDescent="0.25">
      <c r="A2175">
        <f t="shared" si="70"/>
        <v>14</v>
      </c>
      <c r="B2175" s="37">
        <v>45274</v>
      </c>
      <c r="C2175" t="s">
        <v>34</v>
      </c>
      <c r="D2175">
        <f t="shared" si="71"/>
        <v>2023</v>
      </c>
    </row>
    <row r="2176" spans="1:4" x14ac:dyDescent="0.25">
      <c r="A2176">
        <f t="shared" si="70"/>
        <v>15</v>
      </c>
      <c r="B2176" s="37">
        <v>45275</v>
      </c>
      <c r="C2176" t="s">
        <v>34</v>
      </c>
      <c r="D2176">
        <f t="shared" si="71"/>
        <v>2023</v>
      </c>
    </row>
    <row r="2177" spans="1:4" x14ac:dyDescent="0.25">
      <c r="A2177">
        <f t="shared" si="70"/>
        <v>16</v>
      </c>
      <c r="B2177" s="37">
        <v>45276</v>
      </c>
      <c r="C2177" t="s">
        <v>34</v>
      </c>
      <c r="D2177">
        <f t="shared" si="71"/>
        <v>2023</v>
      </c>
    </row>
    <row r="2178" spans="1:4" x14ac:dyDescent="0.25">
      <c r="A2178">
        <f t="shared" si="70"/>
        <v>17</v>
      </c>
      <c r="B2178" s="37">
        <v>45277</v>
      </c>
      <c r="C2178" t="s">
        <v>34</v>
      </c>
      <c r="D2178">
        <f t="shared" si="71"/>
        <v>2023</v>
      </c>
    </row>
    <row r="2179" spans="1:4" x14ac:dyDescent="0.25">
      <c r="A2179">
        <f t="shared" si="70"/>
        <v>18</v>
      </c>
      <c r="B2179" s="37">
        <v>45278</v>
      </c>
      <c r="C2179" t="s">
        <v>34</v>
      </c>
      <c r="D2179">
        <f t="shared" si="71"/>
        <v>2023</v>
      </c>
    </row>
    <row r="2180" spans="1:4" x14ac:dyDescent="0.25">
      <c r="A2180">
        <f t="shared" si="70"/>
        <v>19</v>
      </c>
      <c r="B2180" s="37">
        <v>45279</v>
      </c>
      <c r="C2180" t="s">
        <v>34</v>
      </c>
      <c r="D2180">
        <f t="shared" si="71"/>
        <v>2023</v>
      </c>
    </row>
    <row r="2181" spans="1:4" x14ac:dyDescent="0.25">
      <c r="A2181">
        <f t="shared" si="70"/>
        <v>20</v>
      </c>
      <c r="B2181" s="37">
        <v>45280</v>
      </c>
      <c r="C2181" t="s">
        <v>34</v>
      </c>
      <c r="D2181">
        <f t="shared" si="71"/>
        <v>2023</v>
      </c>
    </row>
    <row r="2182" spans="1:4" x14ac:dyDescent="0.25">
      <c r="A2182">
        <f t="shared" si="70"/>
        <v>21</v>
      </c>
      <c r="B2182" s="37">
        <v>45281</v>
      </c>
      <c r="C2182" t="s">
        <v>34</v>
      </c>
      <c r="D2182">
        <f t="shared" si="71"/>
        <v>2023</v>
      </c>
    </row>
    <row r="2183" spans="1:4" x14ac:dyDescent="0.25">
      <c r="A2183">
        <f t="shared" si="70"/>
        <v>22</v>
      </c>
      <c r="B2183" s="37">
        <v>45282</v>
      </c>
      <c r="C2183" t="s">
        <v>34</v>
      </c>
      <c r="D2183">
        <f t="shared" si="71"/>
        <v>2023</v>
      </c>
    </row>
    <row r="2184" spans="1:4" x14ac:dyDescent="0.25">
      <c r="A2184">
        <f t="shared" si="70"/>
        <v>23</v>
      </c>
      <c r="B2184" s="37">
        <v>45283</v>
      </c>
      <c r="C2184" t="s">
        <v>34</v>
      </c>
      <c r="D2184">
        <f t="shared" si="71"/>
        <v>2023</v>
      </c>
    </row>
    <row r="2185" spans="1:4" x14ac:dyDescent="0.25">
      <c r="A2185">
        <f t="shared" si="70"/>
        <v>24</v>
      </c>
      <c r="B2185" s="37">
        <v>45284</v>
      </c>
      <c r="C2185" t="s">
        <v>34</v>
      </c>
      <c r="D2185">
        <f t="shared" si="71"/>
        <v>2023</v>
      </c>
    </row>
    <row r="2186" spans="1:4" x14ac:dyDescent="0.25">
      <c r="A2186">
        <f t="shared" si="70"/>
        <v>25</v>
      </c>
      <c r="B2186" s="37">
        <v>45285</v>
      </c>
      <c r="C2186" t="s">
        <v>34</v>
      </c>
      <c r="D2186">
        <f t="shared" si="71"/>
        <v>2023</v>
      </c>
    </row>
    <row r="2187" spans="1:4" x14ac:dyDescent="0.25">
      <c r="A2187">
        <f t="shared" si="70"/>
        <v>26</v>
      </c>
      <c r="B2187" s="37">
        <v>45286</v>
      </c>
      <c r="C2187" t="s">
        <v>34</v>
      </c>
      <c r="D2187">
        <f t="shared" si="71"/>
        <v>2023</v>
      </c>
    </row>
    <row r="2188" spans="1:4" x14ac:dyDescent="0.25">
      <c r="A2188">
        <f t="shared" si="70"/>
        <v>27</v>
      </c>
      <c r="B2188" s="37">
        <v>45287</v>
      </c>
      <c r="C2188" t="s">
        <v>34</v>
      </c>
      <c r="D2188">
        <f t="shared" si="71"/>
        <v>2023</v>
      </c>
    </row>
    <row r="2189" spans="1:4" x14ac:dyDescent="0.25">
      <c r="A2189">
        <f t="shared" si="70"/>
        <v>28</v>
      </c>
      <c r="B2189" s="37">
        <v>45288</v>
      </c>
      <c r="C2189" t="s">
        <v>34</v>
      </c>
      <c r="D2189">
        <f t="shared" si="71"/>
        <v>2023</v>
      </c>
    </row>
    <row r="2190" spans="1:4" x14ac:dyDescent="0.25">
      <c r="A2190">
        <f t="shared" si="70"/>
        <v>29</v>
      </c>
      <c r="B2190" s="37">
        <v>45289</v>
      </c>
      <c r="C2190" t="s">
        <v>34</v>
      </c>
      <c r="D2190">
        <f t="shared" si="71"/>
        <v>2023</v>
      </c>
    </row>
    <row r="2191" spans="1:4" x14ac:dyDescent="0.25">
      <c r="A2191">
        <f t="shared" si="70"/>
        <v>30</v>
      </c>
      <c r="B2191" s="37">
        <v>45290</v>
      </c>
      <c r="C2191" t="s">
        <v>34</v>
      </c>
      <c r="D2191">
        <f t="shared" si="71"/>
        <v>2023</v>
      </c>
    </row>
    <row r="2192" spans="1:4" x14ac:dyDescent="0.25">
      <c r="A2192">
        <f t="shared" si="70"/>
        <v>31</v>
      </c>
      <c r="B2192" s="37">
        <v>45291</v>
      </c>
      <c r="C2192" t="s">
        <v>34</v>
      </c>
      <c r="D2192">
        <f t="shared" si="71"/>
        <v>2023</v>
      </c>
    </row>
    <row r="2193" spans="1:4" hidden="1" x14ac:dyDescent="0.25">
      <c r="A2193">
        <f t="shared" ref="A2193:A2256" si="72">DAY(B2193)</f>
        <v>0</v>
      </c>
      <c r="B2193" s="37"/>
      <c r="C2193" t="s">
        <v>23</v>
      </c>
      <c r="D2193">
        <f t="shared" ref="D2193:D2256" si="73">YEAR(B2193)</f>
        <v>1900</v>
      </c>
    </row>
    <row r="2194" spans="1:4" hidden="1" x14ac:dyDescent="0.25">
      <c r="A2194">
        <f t="shared" si="72"/>
        <v>0</v>
      </c>
      <c r="B2194" s="37"/>
      <c r="C2194" t="s">
        <v>23</v>
      </c>
      <c r="D2194">
        <f t="shared" si="73"/>
        <v>1900</v>
      </c>
    </row>
    <row r="2195" spans="1:4" hidden="1" x14ac:dyDescent="0.25">
      <c r="A2195">
        <f t="shared" si="72"/>
        <v>0</v>
      </c>
      <c r="B2195" s="37"/>
      <c r="C2195" t="s">
        <v>23</v>
      </c>
      <c r="D2195">
        <f t="shared" si="73"/>
        <v>1900</v>
      </c>
    </row>
    <row r="2196" spans="1:4" hidden="1" x14ac:dyDescent="0.25">
      <c r="A2196">
        <f t="shared" si="72"/>
        <v>0</v>
      </c>
      <c r="B2196" s="37"/>
      <c r="C2196" t="s">
        <v>23</v>
      </c>
      <c r="D2196">
        <f t="shared" si="73"/>
        <v>1900</v>
      </c>
    </row>
    <row r="2197" spans="1:4" hidden="1" x14ac:dyDescent="0.25">
      <c r="A2197">
        <f t="shared" si="72"/>
        <v>0</v>
      </c>
      <c r="B2197" s="37"/>
      <c r="C2197" t="s">
        <v>23</v>
      </c>
      <c r="D2197">
        <f t="shared" si="73"/>
        <v>1900</v>
      </c>
    </row>
    <row r="2198" spans="1:4" hidden="1" x14ac:dyDescent="0.25">
      <c r="A2198">
        <f t="shared" si="72"/>
        <v>0</v>
      </c>
      <c r="B2198" s="37"/>
      <c r="C2198" t="s">
        <v>23</v>
      </c>
      <c r="D2198">
        <f t="shared" si="73"/>
        <v>1900</v>
      </c>
    </row>
    <row r="2199" spans="1:4" hidden="1" x14ac:dyDescent="0.25">
      <c r="A2199">
        <f t="shared" si="72"/>
        <v>0</v>
      </c>
      <c r="B2199" s="37"/>
      <c r="C2199" t="s">
        <v>23</v>
      </c>
      <c r="D2199">
        <f t="shared" si="73"/>
        <v>1900</v>
      </c>
    </row>
    <row r="2200" spans="1:4" hidden="1" x14ac:dyDescent="0.25">
      <c r="A2200">
        <f t="shared" si="72"/>
        <v>0</v>
      </c>
      <c r="B2200" s="37"/>
      <c r="C2200" t="s">
        <v>23</v>
      </c>
      <c r="D2200">
        <f t="shared" si="73"/>
        <v>1900</v>
      </c>
    </row>
    <row r="2201" spans="1:4" hidden="1" x14ac:dyDescent="0.25">
      <c r="A2201">
        <f t="shared" si="72"/>
        <v>0</v>
      </c>
      <c r="B2201" s="37"/>
      <c r="C2201" t="s">
        <v>23</v>
      </c>
      <c r="D2201">
        <f t="shared" si="73"/>
        <v>1900</v>
      </c>
    </row>
    <row r="2202" spans="1:4" hidden="1" x14ac:dyDescent="0.25">
      <c r="A2202">
        <f t="shared" si="72"/>
        <v>0</v>
      </c>
      <c r="B2202" s="37"/>
      <c r="C2202" t="s">
        <v>23</v>
      </c>
      <c r="D2202">
        <f t="shared" si="73"/>
        <v>1900</v>
      </c>
    </row>
    <row r="2203" spans="1:4" hidden="1" x14ac:dyDescent="0.25">
      <c r="A2203">
        <f t="shared" si="72"/>
        <v>0</v>
      </c>
      <c r="B2203" s="37"/>
      <c r="C2203" t="s">
        <v>23</v>
      </c>
      <c r="D2203">
        <f t="shared" si="73"/>
        <v>1900</v>
      </c>
    </row>
    <row r="2204" spans="1:4" hidden="1" x14ac:dyDescent="0.25">
      <c r="A2204">
        <f t="shared" si="72"/>
        <v>0</v>
      </c>
      <c r="B2204" s="37"/>
      <c r="C2204" t="s">
        <v>23</v>
      </c>
      <c r="D2204">
        <f t="shared" si="73"/>
        <v>1900</v>
      </c>
    </row>
    <row r="2205" spans="1:4" hidden="1" x14ac:dyDescent="0.25">
      <c r="A2205">
        <f t="shared" si="72"/>
        <v>0</v>
      </c>
      <c r="B2205" s="37"/>
      <c r="C2205" t="s">
        <v>23</v>
      </c>
      <c r="D2205">
        <f t="shared" si="73"/>
        <v>1900</v>
      </c>
    </row>
    <row r="2206" spans="1:4" hidden="1" x14ac:dyDescent="0.25">
      <c r="A2206">
        <f t="shared" si="72"/>
        <v>0</v>
      </c>
      <c r="B2206" s="37"/>
      <c r="C2206" t="s">
        <v>23</v>
      </c>
      <c r="D2206">
        <f t="shared" si="73"/>
        <v>1900</v>
      </c>
    </row>
    <row r="2207" spans="1:4" hidden="1" x14ac:dyDescent="0.25">
      <c r="A2207">
        <f t="shared" si="72"/>
        <v>0</v>
      </c>
      <c r="B2207" s="37"/>
      <c r="C2207" t="s">
        <v>23</v>
      </c>
      <c r="D2207">
        <f t="shared" si="73"/>
        <v>1900</v>
      </c>
    </row>
    <row r="2208" spans="1:4" hidden="1" x14ac:dyDescent="0.25">
      <c r="A2208">
        <f t="shared" si="72"/>
        <v>0</v>
      </c>
      <c r="B2208" s="37"/>
      <c r="C2208" t="s">
        <v>23</v>
      </c>
      <c r="D2208">
        <f t="shared" si="73"/>
        <v>1900</v>
      </c>
    </row>
    <row r="2209" spans="1:4" hidden="1" x14ac:dyDescent="0.25">
      <c r="A2209">
        <f t="shared" si="72"/>
        <v>0</v>
      </c>
      <c r="B2209" s="37"/>
      <c r="C2209" t="s">
        <v>23</v>
      </c>
      <c r="D2209">
        <f t="shared" si="73"/>
        <v>1900</v>
      </c>
    </row>
    <row r="2210" spans="1:4" hidden="1" x14ac:dyDescent="0.25">
      <c r="A2210">
        <f t="shared" si="72"/>
        <v>0</v>
      </c>
      <c r="B2210" s="37"/>
      <c r="C2210" t="s">
        <v>23</v>
      </c>
      <c r="D2210">
        <f t="shared" si="73"/>
        <v>1900</v>
      </c>
    </row>
    <row r="2211" spans="1:4" hidden="1" x14ac:dyDescent="0.25">
      <c r="A2211">
        <f t="shared" si="72"/>
        <v>0</v>
      </c>
      <c r="B2211" s="37"/>
      <c r="C2211" t="s">
        <v>23</v>
      </c>
      <c r="D2211">
        <f t="shared" si="73"/>
        <v>1900</v>
      </c>
    </row>
    <row r="2212" spans="1:4" hidden="1" x14ac:dyDescent="0.25">
      <c r="A2212">
        <f t="shared" si="72"/>
        <v>0</v>
      </c>
      <c r="B2212" s="37"/>
      <c r="C2212" t="s">
        <v>23</v>
      </c>
      <c r="D2212">
        <f t="shared" si="73"/>
        <v>1900</v>
      </c>
    </row>
    <row r="2213" spans="1:4" hidden="1" x14ac:dyDescent="0.25">
      <c r="A2213">
        <f t="shared" si="72"/>
        <v>0</v>
      </c>
      <c r="B2213" s="37"/>
      <c r="C2213" t="s">
        <v>23</v>
      </c>
      <c r="D2213">
        <f t="shared" si="73"/>
        <v>1900</v>
      </c>
    </row>
    <row r="2214" spans="1:4" hidden="1" x14ac:dyDescent="0.25">
      <c r="A2214">
        <f t="shared" si="72"/>
        <v>0</v>
      </c>
      <c r="B2214" s="37"/>
      <c r="C2214" t="s">
        <v>23</v>
      </c>
      <c r="D2214">
        <f t="shared" si="73"/>
        <v>1900</v>
      </c>
    </row>
    <row r="2215" spans="1:4" hidden="1" x14ac:dyDescent="0.25">
      <c r="A2215">
        <f t="shared" si="72"/>
        <v>0</v>
      </c>
      <c r="B2215" s="37"/>
      <c r="C2215" t="s">
        <v>23</v>
      </c>
      <c r="D2215">
        <f t="shared" si="73"/>
        <v>1900</v>
      </c>
    </row>
    <row r="2216" spans="1:4" hidden="1" x14ac:dyDescent="0.25">
      <c r="A2216">
        <f t="shared" si="72"/>
        <v>0</v>
      </c>
      <c r="B2216" s="37"/>
      <c r="C2216" t="s">
        <v>23</v>
      </c>
      <c r="D2216">
        <f t="shared" si="73"/>
        <v>1900</v>
      </c>
    </row>
    <row r="2217" spans="1:4" hidden="1" x14ac:dyDescent="0.25">
      <c r="A2217">
        <f t="shared" si="72"/>
        <v>0</v>
      </c>
      <c r="B2217" s="37"/>
      <c r="C2217" t="s">
        <v>23</v>
      </c>
      <c r="D2217">
        <f t="shared" si="73"/>
        <v>1900</v>
      </c>
    </row>
    <row r="2218" spans="1:4" hidden="1" x14ac:dyDescent="0.25">
      <c r="A2218">
        <f t="shared" si="72"/>
        <v>0</v>
      </c>
      <c r="B2218" s="37"/>
      <c r="C2218" t="s">
        <v>23</v>
      </c>
      <c r="D2218">
        <f t="shared" si="73"/>
        <v>1900</v>
      </c>
    </row>
    <row r="2219" spans="1:4" hidden="1" x14ac:dyDescent="0.25">
      <c r="A2219">
        <f t="shared" si="72"/>
        <v>0</v>
      </c>
      <c r="B2219" s="37"/>
      <c r="C2219" t="s">
        <v>23</v>
      </c>
      <c r="D2219">
        <f t="shared" si="73"/>
        <v>1900</v>
      </c>
    </row>
    <row r="2220" spans="1:4" hidden="1" x14ac:dyDescent="0.25">
      <c r="A2220">
        <f t="shared" si="72"/>
        <v>0</v>
      </c>
      <c r="B2220" s="37"/>
      <c r="C2220" t="s">
        <v>23</v>
      </c>
      <c r="D2220">
        <f t="shared" si="73"/>
        <v>1900</v>
      </c>
    </row>
    <row r="2221" spans="1:4" hidden="1" x14ac:dyDescent="0.25">
      <c r="A2221">
        <f t="shared" si="72"/>
        <v>0</v>
      </c>
      <c r="B2221" s="37"/>
      <c r="C2221" t="s">
        <v>23</v>
      </c>
      <c r="D2221">
        <f t="shared" si="73"/>
        <v>1900</v>
      </c>
    </row>
    <row r="2222" spans="1:4" hidden="1" x14ac:dyDescent="0.25">
      <c r="A2222">
        <f t="shared" si="72"/>
        <v>0</v>
      </c>
      <c r="B2222" s="37"/>
      <c r="C2222" t="s">
        <v>23</v>
      </c>
      <c r="D2222">
        <f t="shared" si="73"/>
        <v>1900</v>
      </c>
    </row>
    <row r="2223" spans="1:4" hidden="1" x14ac:dyDescent="0.25">
      <c r="A2223">
        <f t="shared" si="72"/>
        <v>0</v>
      </c>
      <c r="B2223" s="37"/>
      <c r="C2223" t="s">
        <v>23</v>
      </c>
      <c r="D2223">
        <f t="shared" si="73"/>
        <v>1900</v>
      </c>
    </row>
    <row r="2224" spans="1:4" hidden="1" x14ac:dyDescent="0.25">
      <c r="A2224">
        <f t="shared" si="72"/>
        <v>0</v>
      </c>
      <c r="B2224" s="37"/>
      <c r="C2224" t="s">
        <v>24</v>
      </c>
      <c r="D2224">
        <f t="shared" si="73"/>
        <v>1900</v>
      </c>
    </row>
    <row r="2225" spans="1:4" hidden="1" x14ac:dyDescent="0.25">
      <c r="A2225">
        <f t="shared" si="72"/>
        <v>0</v>
      </c>
      <c r="B2225" s="37"/>
      <c r="C2225" t="s">
        <v>24</v>
      </c>
      <c r="D2225">
        <f t="shared" si="73"/>
        <v>1900</v>
      </c>
    </row>
    <row r="2226" spans="1:4" hidden="1" x14ac:dyDescent="0.25">
      <c r="A2226">
        <f t="shared" si="72"/>
        <v>0</v>
      </c>
      <c r="B2226" s="37"/>
      <c r="C2226" t="s">
        <v>24</v>
      </c>
      <c r="D2226">
        <f t="shared" si="73"/>
        <v>1900</v>
      </c>
    </row>
    <row r="2227" spans="1:4" hidden="1" x14ac:dyDescent="0.25">
      <c r="A2227">
        <f t="shared" si="72"/>
        <v>0</v>
      </c>
      <c r="B2227" s="37"/>
      <c r="C2227" t="s">
        <v>24</v>
      </c>
      <c r="D2227">
        <f t="shared" si="73"/>
        <v>1900</v>
      </c>
    </row>
    <row r="2228" spans="1:4" hidden="1" x14ac:dyDescent="0.25">
      <c r="A2228">
        <f t="shared" si="72"/>
        <v>0</v>
      </c>
      <c r="B2228" s="37"/>
      <c r="C2228" t="s">
        <v>24</v>
      </c>
      <c r="D2228">
        <f t="shared" si="73"/>
        <v>1900</v>
      </c>
    </row>
    <row r="2229" spans="1:4" hidden="1" x14ac:dyDescent="0.25">
      <c r="A2229">
        <f t="shared" si="72"/>
        <v>0</v>
      </c>
      <c r="B2229" s="37"/>
      <c r="C2229" t="s">
        <v>24</v>
      </c>
      <c r="D2229">
        <f t="shared" si="73"/>
        <v>1900</v>
      </c>
    </row>
    <row r="2230" spans="1:4" hidden="1" x14ac:dyDescent="0.25">
      <c r="A2230">
        <f t="shared" si="72"/>
        <v>0</v>
      </c>
      <c r="B2230" s="37"/>
      <c r="C2230" t="s">
        <v>24</v>
      </c>
      <c r="D2230">
        <f t="shared" si="73"/>
        <v>1900</v>
      </c>
    </row>
    <row r="2231" spans="1:4" hidden="1" x14ac:dyDescent="0.25">
      <c r="A2231">
        <f t="shared" si="72"/>
        <v>0</v>
      </c>
      <c r="B2231" s="37"/>
      <c r="C2231" t="s">
        <v>24</v>
      </c>
      <c r="D2231">
        <f t="shared" si="73"/>
        <v>1900</v>
      </c>
    </row>
    <row r="2232" spans="1:4" hidden="1" x14ac:dyDescent="0.25">
      <c r="A2232">
        <f t="shared" si="72"/>
        <v>0</v>
      </c>
      <c r="B2232" s="37"/>
      <c r="C2232" t="s">
        <v>24</v>
      </c>
      <c r="D2232">
        <f t="shared" si="73"/>
        <v>1900</v>
      </c>
    </row>
    <row r="2233" spans="1:4" hidden="1" x14ac:dyDescent="0.25">
      <c r="A2233">
        <f t="shared" si="72"/>
        <v>0</v>
      </c>
      <c r="B2233" s="37"/>
      <c r="C2233" t="s">
        <v>24</v>
      </c>
      <c r="D2233">
        <f t="shared" si="73"/>
        <v>1900</v>
      </c>
    </row>
    <row r="2234" spans="1:4" hidden="1" x14ac:dyDescent="0.25">
      <c r="A2234">
        <f t="shared" si="72"/>
        <v>0</v>
      </c>
      <c r="B2234" s="37"/>
      <c r="C2234" t="s">
        <v>24</v>
      </c>
      <c r="D2234">
        <f t="shared" si="73"/>
        <v>1900</v>
      </c>
    </row>
    <row r="2235" spans="1:4" hidden="1" x14ac:dyDescent="0.25">
      <c r="A2235">
        <f t="shared" si="72"/>
        <v>0</v>
      </c>
      <c r="B2235" s="37"/>
      <c r="C2235" t="s">
        <v>24</v>
      </c>
      <c r="D2235">
        <f t="shared" si="73"/>
        <v>1900</v>
      </c>
    </row>
    <row r="2236" spans="1:4" hidden="1" x14ac:dyDescent="0.25">
      <c r="A2236">
        <f t="shared" si="72"/>
        <v>0</v>
      </c>
      <c r="B2236" s="37"/>
      <c r="C2236" t="s">
        <v>24</v>
      </c>
      <c r="D2236">
        <f t="shared" si="73"/>
        <v>1900</v>
      </c>
    </row>
    <row r="2237" spans="1:4" hidden="1" x14ac:dyDescent="0.25">
      <c r="A2237">
        <f t="shared" si="72"/>
        <v>0</v>
      </c>
      <c r="B2237" s="37"/>
      <c r="C2237" t="s">
        <v>24</v>
      </c>
      <c r="D2237">
        <f t="shared" si="73"/>
        <v>1900</v>
      </c>
    </row>
    <row r="2238" spans="1:4" hidden="1" x14ac:dyDescent="0.25">
      <c r="A2238">
        <f t="shared" si="72"/>
        <v>0</v>
      </c>
      <c r="B2238" s="37"/>
      <c r="C2238" t="s">
        <v>24</v>
      </c>
      <c r="D2238">
        <f t="shared" si="73"/>
        <v>1900</v>
      </c>
    </row>
    <row r="2239" spans="1:4" hidden="1" x14ac:dyDescent="0.25">
      <c r="A2239">
        <f t="shared" si="72"/>
        <v>0</v>
      </c>
      <c r="B2239" s="37"/>
      <c r="C2239" t="s">
        <v>24</v>
      </c>
      <c r="D2239">
        <f t="shared" si="73"/>
        <v>1900</v>
      </c>
    </row>
    <row r="2240" spans="1:4" hidden="1" x14ac:dyDescent="0.25">
      <c r="A2240">
        <f t="shared" si="72"/>
        <v>0</v>
      </c>
      <c r="B2240" s="37"/>
      <c r="C2240" t="s">
        <v>24</v>
      </c>
      <c r="D2240">
        <f t="shared" si="73"/>
        <v>1900</v>
      </c>
    </row>
    <row r="2241" spans="1:4" hidden="1" x14ac:dyDescent="0.25">
      <c r="A2241">
        <f t="shared" si="72"/>
        <v>0</v>
      </c>
      <c r="B2241" s="37"/>
      <c r="C2241" t="s">
        <v>24</v>
      </c>
      <c r="D2241">
        <f t="shared" si="73"/>
        <v>1900</v>
      </c>
    </row>
    <row r="2242" spans="1:4" hidden="1" x14ac:dyDescent="0.25">
      <c r="A2242">
        <f t="shared" si="72"/>
        <v>0</v>
      </c>
      <c r="B2242" s="37"/>
      <c r="C2242" t="s">
        <v>24</v>
      </c>
      <c r="D2242">
        <f t="shared" si="73"/>
        <v>1900</v>
      </c>
    </row>
    <row r="2243" spans="1:4" hidden="1" x14ac:dyDescent="0.25">
      <c r="A2243">
        <f t="shared" si="72"/>
        <v>0</v>
      </c>
      <c r="B2243" s="37"/>
      <c r="C2243" t="s">
        <v>24</v>
      </c>
      <c r="D2243">
        <f t="shared" si="73"/>
        <v>1900</v>
      </c>
    </row>
    <row r="2244" spans="1:4" hidden="1" x14ac:dyDescent="0.25">
      <c r="A2244">
        <f t="shared" si="72"/>
        <v>0</v>
      </c>
      <c r="B2244" s="37"/>
      <c r="C2244" t="s">
        <v>24</v>
      </c>
      <c r="D2244">
        <f t="shared" si="73"/>
        <v>1900</v>
      </c>
    </row>
    <row r="2245" spans="1:4" hidden="1" x14ac:dyDescent="0.25">
      <c r="A2245">
        <f t="shared" si="72"/>
        <v>0</v>
      </c>
      <c r="B2245" s="37"/>
      <c r="C2245" t="s">
        <v>24</v>
      </c>
      <c r="D2245">
        <f t="shared" si="73"/>
        <v>1900</v>
      </c>
    </row>
    <row r="2246" spans="1:4" hidden="1" x14ac:dyDescent="0.25">
      <c r="A2246">
        <f t="shared" si="72"/>
        <v>0</v>
      </c>
      <c r="B2246" s="37"/>
      <c r="C2246" t="s">
        <v>24</v>
      </c>
      <c r="D2246">
        <f t="shared" si="73"/>
        <v>1900</v>
      </c>
    </row>
    <row r="2247" spans="1:4" hidden="1" x14ac:dyDescent="0.25">
      <c r="A2247">
        <f t="shared" si="72"/>
        <v>0</v>
      </c>
      <c r="B2247" s="37"/>
      <c r="C2247" t="s">
        <v>24</v>
      </c>
      <c r="D2247">
        <f t="shared" si="73"/>
        <v>1900</v>
      </c>
    </row>
    <row r="2248" spans="1:4" hidden="1" x14ac:dyDescent="0.25">
      <c r="A2248">
        <f t="shared" si="72"/>
        <v>0</v>
      </c>
      <c r="B2248" s="37"/>
      <c r="C2248" t="s">
        <v>24</v>
      </c>
      <c r="D2248">
        <f t="shared" si="73"/>
        <v>1900</v>
      </c>
    </row>
    <row r="2249" spans="1:4" hidden="1" x14ac:dyDescent="0.25">
      <c r="A2249">
        <f t="shared" si="72"/>
        <v>0</v>
      </c>
      <c r="B2249" s="37"/>
      <c r="C2249" t="s">
        <v>24</v>
      </c>
      <c r="D2249">
        <f t="shared" si="73"/>
        <v>1900</v>
      </c>
    </row>
    <row r="2250" spans="1:4" hidden="1" x14ac:dyDescent="0.25">
      <c r="A2250">
        <f t="shared" si="72"/>
        <v>0</v>
      </c>
      <c r="B2250" s="37"/>
      <c r="C2250" t="s">
        <v>24</v>
      </c>
      <c r="D2250">
        <f t="shared" si="73"/>
        <v>1900</v>
      </c>
    </row>
    <row r="2251" spans="1:4" hidden="1" x14ac:dyDescent="0.25">
      <c r="A2251">
        <f t="shared" si="72"/>
        <v>0</v>
      </c>
      <c r="B2251" s="37"/>
      <c r="C2251" t="s">
        <v>24</v>
      </c>
      <c r="D2251">
        <f t="shared" si="73"/>
        <v>1900</v>
      </c>
    </row>
    <row r="2252" spans="1:4" hidden="1" x14ac:dyDescent="0.25">
      <c r="A2252">
        <f t="shared" si="72"/>
        <v>0</v>
      </c>
      <c r="B2252" s="37"/>
      <c r="C2252" t="s">
        <v>25</v>
      </c>
      <c r="D2252">
        <f t="shared" si="73"/>
        <v>1900</v>
      </c>
    </row>
    <row r="2253" spans="1:4" hidden="1" x14ac:dyDescent="0.25">
      <c r="A2253">
        <f t="shared" si="72"/>
        <v>0</v>
      </c>
      <c r="B2253" s="37"/>
      <c r="C2253" t="s">
        <v>25</v>
      </c>
      <c r="D2253">
        <f t="shared" si="73"/>
        <v>1900</v>
      </c>
    </row>
    <row r="2254" spans="1:4" hidden="1" x14ac:dyDescent="0.25">
      <c r="A2254">
        <f t="shared" si="72"/>
        <v>0</v>
      </c>
      <c r="B2254" s="37"/>
      <c r="C2254" t="s">
        <v>25</v>
      </c>
      <c r="D2254">
        <f t="shared" si="73"/>
        <v>1900</v>
      </c>
    </row>
    <row r="2255" spans="1:4" hidden="1" x14ac:dyDescent="0.25">
      <c r="A2255">
        <f t="shared" si="72"/>
        <v>0</v>
      </c>
      <c r="B2255" s="37"/>
      <c r="C2255" t="s">
        <v>25</v>
      </c>
      <c r="D2255">
        <f t="shared" si="73"/>
        <v>1900</v>
      </c>
    </row>
    <row r="2256" spans="1:4" hidden="1" x14ac:dyDescent="0.25">
      <c r="A2256">
        <f t="shared" si="72"/>
        <v>0</v>
      </c>
      <c r="B2256" s="37"/>
      <c r="C2256" t="s">
        <v>25</v>
      </c>
      <c r="D2256">
        <f t="shared" si="73"/>
        <v>1900</v>
      </c>
    </row>
    <row r="2257" spans="1:4" hidden="1" x14ac:dyDescent="0.25">
      <c r="A2257">
        <f t="shared" ref="A2257:A2320" si="74">DAY(B2257)</f>
        <v>0</v>
      </c>
      <c r="B2257" s="37"/>
      <c r="C2257" t="s">
        <v>25</v>
      </c>
      <c r="D2257">
        <f t="shared" ref="D2257:D2320" si="75">YEAR(B2257)</f>
        <v>1900</v>
      </c>
    </row>
    <row r="2258" spans="1:4" hidden="1" x14ac:dyDescent="0.25">
      <c r="A2258">
        <f t="shared" si="74"/>
        <v>0</v>
      </c>
      <c r="B2258" s="37"/>
      <c r="C2258" t="s">
        <v>25</v>
      </c>
      <c r="D2258">
        <f t="shared" si="75"/>
        <v>1900</v>
      </c>
    </row>
    <row r="2259" spans="1:4" hidden="1" x14ac:dyDescent="0.25">
      <c r="A2259">
        <f t="shared" si="74"/>
        <v>0</v>
      </c>
      <c r="B2259" s="37"/>
      <c r="C2259" t="s">
        <v>25</v>
      </c>
      <c r="D2259">
        <f t="shared" si="75"/>
        <v>1900</v>
      </c>
    </row>
    <row r="2260" spans="1:4" hidden="1" x14ac:dyDescent="0.25">
      <c r="A2260">
        <f t="shared" si="74"/>
        <v>0</v>
      </c>
      <c r="B2260" s="37"/>
      <c r="C2260" t="s">
        <v>25</v>
      </c>
      <c r="D2260">
        <f t="shared" si="75"/>
        <v>1900</v>
      </c>
    </row>
    <row r="2261" spans="1:4" hidden="1" x14ac:dyDescent="0.25">
      <c r="A2261">
        <f t="shared" si="74"/>
        <v>0</v>
      </c>
      <c r="B2261" s="37"/>
      <c r="C2261" t="s">
        <v>25</v>
      </c>
      <c r="D2261">
        <f t="shared" si="75"/>
        <v>1900</v>
      </c>
    </row>
    <row r="2262" spans="1:4" hidden="1" x14ac:dyDescent="0.25">
      <c r="A2262">
        <f t="shared" si="74"/>
        <v>0</v>
      </c>
      <c r="B2262" s="37"/>
      <c r="C2262" t="s">
        <v>25</v>
      </c>
      <c r="D2262">
        <f t="shared" si="75"/>
        <v>1900</v>
      </c>
    </row>
    <row r="2263" spans="1:4" hidden="1" x14ac:dyDescent="0.25">
      <c r="A2263">
        <f t="shared" si="74"/>
        <v>0</v>
      </c>
      <c r="B2263" s="37"/>
      <c r="C2263" t="s">
        <v>25</v>
      </c>
      <c r="D2263">
        <f t="shared" si="75"/>
        <v>1900</v>
      </c>
    </row>
    <row r="2264" spans="1:4" hidden="1" x14ac:dyDescent="0.25">
      <c r="A2264">
        <f t="shared" si="74"/>
        <v>0</v>
      </c>
      <c r="B2264" s="37"/>
      <c r="C2264" t="s">
        <v>25</v>
      </c>
      <c r="D2264">
        <f t="shared" si="75"/>
        <v>1900</v>
      </c>
    </row>
    <row r="2265" spans="1:4" hidden="1" x14ac:dyDescent="0.25">
      <c r="A2265">
        <f t="shared" si="74"/>
        <v>0</v>
      </c>
      <c r="B2265" s="37"/>
      <c r="C2265" t="s">
        <v>25</v>
      </c>
      <c r="D2265">
        <f t="shared" si="75"/>
        <v>1900</v>
      </c>
    </row>
    <row r="2266" spans="1:4" hidden="1" x14ac:dyDescent="0.25">
      <c r="A2266">
        <f t="shared" si="74"/>
        <v>0</v>
      </c>
      <c r="B2266" s="37"/>
      <c r="C2266" t="s">
        <v>25</v>
      </c>
      <c r="D2266">
        <f t="shared" si="75"/>
        <v>1900</v>
      </c>
    </row>
    <row r="2267" spans="1:4" hidden="1" x14ac:dyDescent="0.25">
      <c r="A2267">
        <f t="shared" si="74"/>
        <v>0</v>
      </c>
      <c r="B2267" s="37"/>
      <c r="C2267" t="s">
        <v>25</v>
      </c>
      <c r="D2267">
        <f t="shared" si="75"/>
        <v>1900</v>
      </c>
    </row>
    <row r="2268" spans="1:4" hidden="1" x14ac:dyDescent="0.25">
      <c r="A2268">
        <f t="shared" si="74"/>
        <v>0</v>
      </c>
      <c r="B2268" s="37"/>
      <c r="C2268" t="s">
        <v>25</v>
      </c>
      <c r="D2268">
        <f t="shared" si="75"/>
        <v>1900</v>
      </c>
    </row>
    <row r="2269" spans="1:4" hidden="1" x14ac:dyDescent="0.25">
      <c r="A2269">
        <f t="shared" si="74"/>
        <v>0</v>
      </c>
      <c r="B2269" s="37"/>
      <c r="C2269" t="s">
        <v>25</v>
      </c>
      <c r="D2269">
        <f t="shared" si="75"/>
        <v>1900</v>
      </c>
    </row>
    <row r="2270" spans="1:4" hidden="1" x14ac:dyDescent="0.25">
      <c r="A2270">
        <f t="shared" si="74"/>
        <v>0</v>
      </c>
      <c r="B2270" s="37"/>
      <c r="C2270" t="s">
        <v>25</v>
      </c>
      <c r="D2270">
        <f t="shared" si="75"/>
        <v>1900</v>
      </c>
    </row>
    <row r="2271" spans="1:4" hidden="1" x14ac:dyDescent="0.25">
      <c r="A2271">
        <f t="shared" si="74"/>
        <v>0</v>
      </c>
      <c r="B2271" s="37"/>
      <c r="C2271" t="s">
        <v>25</v>
      </c>
      <c r="D2271">
        <f t="shared" si="75"/>
        <v>1900</v>
      </c>
    </row>
    <row r="2272" spans="1:4" hidden="1" x14ac:dyDescent="0.25">
      <c r="A2272">
        <f t="shared" si="74"/>
        <v>0</v>
      </c>
      <c r="B2272" s="37"/>
      <c r="C2272" t="s">
        <v>25</v>
      </c>
      <c r="D2272">
        <f t="shared" si="75"/>
        <v>1900</v>
      </c>
    </row>
    <row r="2273" spans="1:4" hidden="1" x14ac:dyDescent="0.25">
      <c r="A2273">
        <f t="shared" si="74"/>
        <v>0</v>
      </c>
      <c r="B2273" s="37"/>
      <c r="C2273" t="s">
        <v>25</v>
      </c>
      <c r="D2273">
        <f t="shared" si="75"/>
        <v>1900</v>
      </c>
    </row>
    <row r="2274" spans="1:4" hidden="1" x14ac:dyDescent="0.25">
      <c r="A2274">
        <f t="shared" si="74"/>
        <v>0</v>
      </c>
      <c r="B2274" s="37"/>
      <c r="C2274" t="s">
        <v>25</v>
      </c>
      <c r="D2274">
        <f t="shared" si="75"/>
        <v>1900</v>
      </c>
    </row>
    <row r="2275" spans="1:4" hidden="1" x14ac:dyDescent="0.25">
      <c r="A2275">
        <f t="shared" si="74"/>
        <v>0</v>
      </c>
      <c r="B2275" s="37"/>
      <c r="C2275" t="s">
        <v>25</v>
      </c>
      <c r="D2275">
        <f t="shared" si="75"/>
        <v>1900</v>
      </c>
    </row>
    <row r="2276" spans="1:4" hidden="1" x14ac:dyDescent="0.25">
      <c r="A2276">
        <f t="shared" si="74"/>
        <v>0</v>
      </c>
      <c r="B2276" s="37"/>
      <c r="C2276" t="s">
        <v>25</v>
      </c>
      <c r="D2276">
        <f t="shared" si="75"/>
        <v>1900</v>
      </c>
    </row>
    <row r="2277" spans="1:4" hidden="1" x14ac:dyDescent="0.25">
      <c r="A2277">
        <f t="shared" si="74"/>
        <v>0</v>
      </c>
      <c r="B2277" s="37"/>
      <c r="C2277" t="s">
        <v>25</v>
      </c>
      <c r="D2277">
        <f t="shared" si="75"/>
        <v>1900</v>
      </c>
    </row>
    <row r="2278" spans="1:4" hidden="1" x14ac:dyDescent="0.25">
      <c r="A2278">
        <f t="shared" si="74"/>
        <v>0</v>
      </c>
      <c r="B2278" s="37"/>
      <c r="C2278" t="s">
        <v>25</v>
      </c>
      <c r="D2278">
        <f t="shared" si="75"/>
        <v>1900</v>
      </c>
    </row>
    <row r="2279" spans="1:4" hidden="1" x14ac:dyDescent="0.25">
      <c r="A2279">
        <f t="shared" si="74"/>
        <v>0</v>
      </c>
      <c r="B2279" s="37"/>
      <c r="C2279" t="s">
        <v>25</v>
      </c>
      <c r="D2279">
        <f t="shared" si="75"/>
        <v>1900</v>
      </c>
    </row>
    <row r="2280" spans="1:4" hidden="1" x14ac:dyDescent="0.25">
      <c r="A2280">
        <f t="shared" si="74"/>
        <v>0</v>
      </c>
      <c r="B2280" s="37"/>
      <c r="C2280" t="s">
        <v>25</v>
      </c>
      <c r="D2280">
        <f t="shared" si="75"/>
        <v>1900</v>
      </c>
    </row>
    <row r="2281" spans="1:4" hidden="1" x14ac:dyDescent="0.25">
      <c r="A2281">
        <f t="shared" si="74"/>
        <v>0</v>
      </c>
      <c r="B2281" s="37"/>
      <c r="C2281" t="s">
        <v>25</v>
      </c>
      <c r="D2281">
        <f t="shared" si="75"/>
        <v>1900</v>
      </c>
    </row>
    <row r="2282" spans="1:4" hidden="1" x14ac:dyDescent="0.25">
      <c r="A2282">
        <f t="shared" si="74"/>
        <v>0</v>
      </c>
      <c r="B2282" s="37"/>
      <c r="C2282" t="s">
        <v>25</v>
      </c>
      <c r="D2282">
        <f t="shared" si="75"/>
        <v>1900</v>
      </c>
    </row>
    <row r="2283" spans="1:4" hidden="1" x14ac:dyDescent="0.25">
      <c r="A2283">
        <f t="shared" si="74"/>
        <v>0</v>
      </c>
      <c r="B2283" s="37"/>
      <c r="C2283" t="s">
        <v>26</v>
      </c>
      <c r="D2283">
        <f t="shared" si="75"/>
        <v>1900</v>
      </c>
    </row>
    <row r="2284" spans="1:4" hidden="1" x14ac:dyDescent="0.25">
      <c r="A2284">
        <f t="shared" si="74"/>
        <v>0</v>
      </c>
      <c r="B2284" s="37"/>
      <c r="C2284" t="s">
        <v>26</v>
      </c>
      <c r="D2284">
        <f t="shared" si="75"/>
        <v>1900</v>
      </c>
    </row>
    <row r="2285" spans="1:4" hidden="1" x14ac:dyDescent="0.25">
      <c r="A2285">
        <f t="shared" si="74"/>
        <v>0</v>
      </c>
      <c r="B2285" s="37"/>
      <c r="C2285" t="s">
        <v>26</v>
      </c>
      <c r="D2285">
        <f t="shared" si="75"/>
        <v>1900</v>
      </c>
    </row>
    <row r="2286" spans="1:4" hidden="1" x14ac:dyDescent="0.25">
      <c r="A2286">
        <f t="shared" si="74"/>
        <v>0</v>
      </c>
      <c r="B2286" s="37"/>
      <c r="C2286" t="s">
        <v>26</v>
      </c>
      <c r="D2286">
        <f t="shared" si="75"/>
        <v>1900</v>
      </c>
    </row>
    <row r="2287" spans="1:4" hidden="1" x14ac:dyDescent="0.25">
      <c r="A2287">
        <f t="shared" si="74"/>
        <v>0</v>
      </c>
      <c r="B2287" s="37"/>
      <c r="C2287" t="s">
        <v>26</v>
      </c>
      <c r="D2287">
        <f t="shared" si="75"/>
        <v>1900</v>
      </c>
    </row>
    <row r="2288" spans="1:4" hidden="1" x14ac:dyDescent="0.25">
      <c r="A2288">
        <f t="shared" si="74"/>
        <v>0</v>
      </c>
      <c r="B2288" s="37"/>
      <c r="C2288" t="s">
        <v>26</v>
      </c>
      <c r="D2288">
        <f t="shared" si="75"/>
        <v>1900</v>
      </c>
    </row>
    <row r="2289" spans="1:4" hidden="1" x14ac:dyDescent="0.25">
      <c r="A2289">
        <f t="shared" si="74"/>
        <v>0</v>
      </c>
      <c r="B2289" s="37"/>
      <c r="C2289" t="s">
        <v>26</v>
      </c>
      <c r="D2289">
        <f t="shared" si="75"/>
        <v>1900</v>
      </c>
    </row>
    <row r="2290" spans="1:4" hidden="1" x14ac:dyDescent="0.25">
      <c r="A2290">
        <f t="shared" si="74"/>
        <v>0</v>
      </c>
      <c r="B2290" s="37"/>
      <c r="C2290" t="s">
        <v>26</v>
      </c>
      <c r="D2290">
        <f t="shared" si="75"/>
        <v>1900</v>
      </c>
    </row>
    <row r="2291" spans="1:4" hidden="1" x14ac:dyDescent="0.25">
      <c r="A2291">
        <f t="shared" si="74"/>
        <v>0</v>
      </c>
      <c r="B2291" s="37"/>
      <c r="C2291" t="s">
        <v>26</v>
      </c>
      <c r="D2291">
        <f t="shared" si="75"/>
        <v>1900</v>
      </c>
    </row>
    <row r="2292" spans="1:4" hidden="1" x14ac:dyDescent="0.25">
      <c r="A2292">
        <f t="shared" si="74"/>
        <v>0</v>
      </c>
      <c r="B2292" s="37"/>
      <c r="C2292" t="s">
        <v>26</v>
      </c>
      <c r="D2292">
        <f t="shared" si="75"/>
        <v>1900</v>
      </c>
    </row>
    <row r="2293" spans="1:4" hidden="1" x14ac:dyDescent="0.25">
      <c r="A2293">
        <f t="shared" si="74"/>
        <v>0</v>
      </c>
      <c r="B2293" s="37"/>
      <c r="C2293" t="s">
        <v>26</v>
      </c>
      <c r="D2293">
        <f t="shared" si="75"/>
        <v>1900</v>
      </c>
    </row>
    <row r="2294" spans="1:4" hidden="1" x14ac:dyDescent="0.25">
      <c r="A2294">
        <f t="shared" si="74"/>
        <v>0</v>
      </c>
      <c r="B2294" s="37"/>
      <c r="C2294" t="s">
        <v>26</v>
      </c>
      <c r="D2294">
        <f t="shared" si="75"/>
        <v>1900</v>
      </c>
    </row>
    <row r="2295" spans="1:4" hidden="1" x14ac:dyDescent="0.25">
      <c r="A2295">
        <f t="shared" si="74"/>
        <v>0</v>
      </c>
      <c r="B2295" s="37"/>
      <c r="C2295" t="s">
        <v>26</v>
      </c>
      <c r="D2295">
        <f t="shared" si="75"/>
        <v>1900</v>
      </c>
    </row>
    <row r="2296" spans="1:4" hidden="1" x14ac:dyDescent="0.25">
      <c r="A2296">
        <f t="shared" si="74"/>
        <v>0</v>
      </c>
      <c r="B2296" s="37"/>
      <c r="C2296" t="s">
        <v>26</v>
      </c>
      <c r="D2296">
        <f t="shared" si="75"/>
        <v>1900</v>
      </c>
    </row>
    <row r="2297" spans="1:4" hidden="1" x14ac:dyDescent="0.25">
      <c r="A2297">
        <f t="shared" si="74"/>
        <v>0</v>
      </c>
      <c r="B2297" s="37"/>
      <c r="C2297" t="s">
        <v>26</v>
      </c>
      <c r="D2297">
        <f t="shared" si="75"/>
        <v>1900</v>
      </c>
    </row>
    <row r="2298" spans="1:4" hidden="1" x14ac:dyDescent="0.25">
      <c r="A2298">
        <f t="shared" si="74"/>
        <v>0</v>
      </c>
      <c r="B2298" s="37"/>
      <c r="C2298" t="s">
        <v>26</v>
      </c>
      <c r="D2298">
        <f t="shared" si="75"/>
        <v>1900</v>
      </c>
    </row>
    <row r="2299" spans="1:4" hidden="1" x14ac:dyDescent="0.25">
      <c r="A2299">
        <f t="shared" si="74"/>
        <v>0</v>
      </c>
      <c r="B2299" s="37"/>
      <c r="C2299" t="s">
        <v>26</v>
      </c>
      <c r="D2299">
        <f t="shared" si="75"/>
        <v>1900</v>
      </c>
    </row>
    <row r="2300" spans="1:4" hidden="1" x14ac:dyDescent="0.25">
      <c r="A2300">
        <f t="shared" si="74"/>
        <v>0</v>
      </c>
      <c r="B2300" s="37"/>
      <c r="C2300" t="s">
        <v>26</v>
      </c>
      <c r="D2300">
        <f t="shared" si="75"/>
        <v>1900</v>
      </c>
    </row>
    <row r="2301" spans="1:4" hidden="1" x14ac:dyDescent="0.25">
      <c r="A2301">
        <f t="shared" si="74"/>
        <v>0</v>
      </c>
      <c r="B2301" s="37"/>
      <c r="C2301" t="s">
        <v>26</v>
      </c>
      <c r="D2301">
        <f t="shared" si="75"/>
        <v>1900</v>
      </c>
    </row>
    <row r="2302" spans="1:4" hidden="1" x14ac:dyDescent="0.25">
      <c r="A2302">
        <f t="shared" si="74"/>
        <v>0</v>
      </c>
      <c r="B2302" s="37"/>
      <c r="C2302" t="s">
        <v>26</v>
      </c>
      <c r="D2302">
        <f t="shared" si="75"/>
        <v>1900</v>
      </c>
    </row>
    <row r="2303" spans="1:4" hidden="1" x14ac:dyDescent="0.25">
      <c r="A2303">
        <f t="shared" si="74"/>
        <v>0</v>
      </c>
      <c r="B2303" s="37"/>
      <c r="C2303" t="s">
        <v>26</v>
      </c>
      <c r="D2303">
        <f t="shared" si="75"/>
        <v>1900</v>
      </c>
    </row>
    <row r="2304" spans="1:4" hidden="1" x14ac:dyDescent="0.25">
      <c r="A2304">
        <f t="shared" si="74"/>
        <v>0</v>
      </c>
      <c r="B2304" s="37"/>
      <c r="C2304" t="s">
        <v>26</v>
      </c>
      <c r="D2304">
        <f t="shared" si="75"/>
        <v>1900</v>
      </c>
    </row>
    <row r="2305" spans="1:4" hidden="1" x14ac:dyDescent="0.25">
      <c r="A2305">
        <f t="shared" si="74"/>
        <v>0</v>
      </c>
      <c r="B2305" s="37"/>
      <c r="C2305" t="s">
        <v>26</v>
      </c>
      <c r="D2305">
        <f t="shared" si="75"/>
        <v>1900</v>
      </c>
    </row>
    <row r="2306" spans="1:4" hidden="1" x14ac:dyDescent="0.25">
      <c r="A2306">
        <f t="shared" si="74"/>
        <v>0</v>
      </c>
      <c r="B2306" s="37"/>
      <c r="C2306" t="s">
        <v>26</v>
      </c>
      <c r="D2306">
        <f t="shared" si="75"/>
        <v>1900</v>
      </c>
    </row>
    <row r="2307" spans="1:4" hidden="1" x14ac:dyDescent="0.25">
      <c r="A2307">
        <f t="shared" si="74"/>
        <v>0</v>
      </c>
      <c r="B2307" s="37"/>
      <c r="C2307" t="s">
        <v>26</v>
      </c>
      <c r="D2307">
        <f t="shared" si="75"/>
        <v>1900</v>
      </c>
    </row>
    <row r="2308" spans="1:4" hidden="1" x14ac:dyDescent="0.25">
      <c r="A2308">
        <f t="shared" si="74"/>
        <v>0</v>
      </c>
      <c r="B2308" s="37"/>
      <c r="C2308" t="s">
        <v>26</v>
      </c>
      <c r="D2308">
        <f t="shared" si="75"/>
        <v>1900</v>
      </c>
    </row>
    <row r="2309" spans="1:4" hidden="1" x14ac:dyDescent="0.25">
      <c r="A2309">
        <f t="shared" si="74"/>
        <v>0</v>
      </c>
      <c r="B2309" s="37"/>
      <c r="C2309" t="s">
        <v>26</v>
      </c>
      <c r="D2309">
        <f t="shared" si="75"/>
        <v>1900</v>
      </c>
    </row>
    <row r="2310" spans="1:4" hidden="1" x14ac:dyDescent="0.25">
      <c r="A2310">
        <f t="shared" si="74"/>
        <v>0</v>
      </c>
      <c r="B2310" s="37"/>
      <c r="C2310" t="s">
        <v>26</v>
      </c>
      <c r="D2310">
        <f t="shared" si="75"/>
        <v>1900</v>
      </c>
    </row>
    <row r="2311" spans="1:4" hidden="1" x14ac:dyDescent="0.25">
      <c r="A2311">
        <f t="shared" si="74"/>
        <v>0</v>
      </c>
      <c r="B2311" s="37"/>
      <c r="C2311" t="s">
        <v>26</v>
      </c>
      <c r="D2311">
        <f t="shared" si="75"/>
        <v>1900</v>
      </c>
    </row>
    <row r="2312" spans="1:4" hidden="1" x14ac:dyDescent="0.25">
      <c r="A2312">
        <f t="shared" si="74"/>
        <v>0</v>
      </c>
      <c r="B2312" s="37"/>
      <c r="C2312" t="s">
        <v>26</v>
      </c>
      <c r="D2312">
        <f t="shared" si="75"/>
        <v>1900</v>
      </c>
    </row>
    <row r="2313" spans="1:4" hidden="1" x14ac:dyDescent="0.25">
      <c r="A2313">
        <f t="shared" si="74"/>
        <v>0</v>
      </c>
      <c r="B2313" s="37"/>
      <c r="C2313" t="s">
        <v>27</v>
      </c>
      <c r="D2313">
        <f t="shared" si="75"/>
        <v>1900</v>
      </c>
    </row>
    <row r="2314" spans="1:4" hidden="1" x14ac:dyDescent="0.25">
      <c r="A2314">
        <f t="shared" si="74"/>
        <v>0</v>
      </c>
      <c r="B2314" s="37"/>
      <c r="C2314" t="s">
        <v>27</v>
      </c>
      <c r="D2314">
        <f t="shared" si="75"/>
        <v>1900</v>
      </c>
    </row>
    <row r="2315" spans="1:4" hidden="1" x14ac:dyDescent="0.25">
      <c r="A2315">
        <f t="shared" si="74"/>
        <v>0</v>
      </c>
      <c r="B2315" s="37"/>
      <c r="C2315" t="s">
        <v>27</v>
      </c>
      <c r="D2315">
        <f t="shared" si="75"/>
        <v>1900</v>
      </c>
    </row>
    <row r="2316" spans="1:4" hidden="1" x14ac:dyDescent="0.25">
      <c r="A2316">
        <f t="shared" si="74"/>
        <v>0</v>
      </c>
      <c r="B2316" s="37"/>
      <c r="C2316" t="s">
        <v>27</v>
      </c>
      <c r="D2316">
        <f t="shared" si="75"/>
        <v>1900</v>
      </c>
    </row>
    <row r="2317" spans="1:4" hidden="1" x14ac:dyDescent="0.25">
      <c r="A2317">
        <f t="shared" si="74"/>
        <v>0</v>
      </c>
      <c r="B2317" s="37"/>
      <c r="C2317" t="s">
        <v>27</v>
      </c>
      <c r="D2317">
        <f t="shared" si="75"/>
        <v>1900</v>
      </c>
    </row>
    <row r="2318" spans="1:4" hidden="1" x14ac:dyDescent="0.25">
      <c r="A2318">
        <f t="shared" si="74"/>
        <v>0</v>
      </c>
      <c r="B2318" s="37"/>
      <c r="C2318" t="s">
        <v>27</v>
      </c>
      <c r="D2318">
        <f t="shared" si="75"/>
        <v>1900</v>
      </c>
    </row>
    <row r="2319" spans="1:4" hidden="1" x14ac:dyDescent="0.25">
      <c r="A2319">
        <f t="shared" si="74"/>
        <v>0</v>
      </c>
      <c r="B2319" s="37"/>
      <c r="C2319" t="s">
        <v>27</v>
      </c>
      <c r="D2319">
        <f t="shared" si="75"/>
        <v>1900</v>
      </c>
    </row>
    <row r="2320" spans="1:4" hidden="1" x14ac:dyDescent="0.25">
      <c r="A2320">
        <f t="shared" si="74"/>
        <v>0</v>
      </c>
      <c r="B2320" s="37"/>
      <c r="C2320" t="s">
        <v>27</v>
      </c>
      <c r="D2320">
        <f t="shared" si="75"/>
        <v>1900</v>
      </c>
    </row>
    <row r="2321" spans="1:4" hidden="1" x14ac:dyDescent="0.25">
      <c r="A2321">
        <f t="shared" ref="A2321:A2384" si="76">DAY(B2321)</f>
        <v>0</v>
      </c>
      <c r="B2321" s="37"/>
      <c r="C2321" t="s">
        <v>27</v>
      </c>
      <c r="D2321">
        <f t="shared" ref="D2321:D2384" si="77">YEAR(B2321)</f>
        <v>1900</v>
      </c>
    </row>
    <row r="2322" spans="1:4" hidden="1" x14ac:dyDescent="0.25">
      <c r="A2322">
        <f t="shared" si="76"/>
        <v>0</v>
      </c>
      <c r="B2322" s="37"/>
      <c r="C2322" t="s">
        <v>27</v>
      </c>
      <c r="D2322">
        <f t="shared" si="77"/>
        <v>1900</v>
      </c>
    </row>
    <row r="2323" spans="1:4" hidden="1" x14ac:dyDescent="0.25">
      <c r="A2323">
        <f t="shared" si="76"/>
        <v>0</v>
      </c>
      <c r="B2323" s="37"/>
      <c r="C2323" t="s">
        <v>27</v>
      </c>
      <c r="D2323">
        <f t="shared" si="77"/>
        <v>1900</v>
      </c>
    </row>
    <row r="2324" spans="1:4" hidden="1" x14ac:dyDescent="0.25">
      <c r="A2324">
        <f t="shared" si="76"/>
        <v>0</v>
      </c>
      <c r="B2324" s="37"/>
      <c r="C2324" t="s">
        <v>27</v>
      </c>
      <c r="D2324">
        <f t="shared" si="77"/>
        <v>1900</v>
      </c>
    </row>
    <row r="2325" spans="1:4" hidden="1" x14ac:dyDescent="0.25">
      <c r="A2325">
        <f t="shared" si="76"/>
        <v>0</v>
      </c>
      <c r="B2325" s="37"/>
      <c r="C2325" t="s">
        <v>27</v>
      </c>
      <c r="D2325">
        <f t="shared" si="77"/>
        <v>1900</v>
      </c>
    </row>
    <row r="2326" spans="1:4" hidden="1" x14ac:dyDescent="0.25">
      <c r="A2326">
        <f t="shared" si="76"/>
        <v>0</v>
      </c>
      <c r="B2326" s="37"/>
      <c r="C2326" t="s">
        <v>27</v>
      </c>
      <c r="D2326">
        <f t="shared" si="77"/>
        <v>1900</v>
      </c>
    </row>
    <row r="2327" spans="1:4" hidden="1" x14ac:dyDescent="0.25">
      <c r="A2327">
        <f t="shared" si="76"/>
        <v>0</v>
      </c>
      <c r="B2327" s="37"/>
      <c r="C2327" t="s">
        <v>27</v>
      </c>
      <c r="D2327">
        <f t="shared" si="77"/>
        <v>1900</v>
      </c>
    </row>
    <row r="2328" spans="1:4" hidden="1" x14ac:dyDescent="0.25">
      <c r="A2328">
        <f t="shared" si="76"/>
        <v>0</v>
      </c>
      <c r="B2328" s="37"/>
      <c r="C2328" t="s">
        <v>27</v>
      </c>
      <c r="D2328">
        <f t="shared" si="77"/>
        <v>1900</v>
      </c>
    </row>
    <row r="2329" spans="1:4" hidden="1" x14ac:dyDescent="0.25">
      <c r="A2329">
        <f t="shared" si="76"/>
        <v>0</v>
      </c>
      <c r="B2329" s="37"/>
      <c r="C2329" t="s">
        <v>27</v>
      </c>
      <c r="D2329">
        <f t="shared" si="77"/>
        <v>1900</v>
      </c>
    </row>
    <row r="2330" spans="1:4" hidden="1" x14ac:dyDescent="0.25">
      <c r="A2330">
        <f t="shared" si="76"/>
        <v>0</v>
      </c>
      <c r="B2330" s="37"/>
      <c r="C2330" t="s">
        <v>27</v>
      </c>
      <c r="D2330">
        <f t="shared" si="77"/>
        <v>1900</v>
      </c>
    </row>
    <row r="2331" spans="1:4" hidden="1" x14ac:dyDescent="0.25">
      <c r="A2331">
        <f t="shared" si="76"/>
        <v>0</v>
      </c>
      <c r="B2331" s="37"/>
      <c r="C2331" t="s">
        <v>27</v>
      </c>
      <c r="D2331">
        <f t="shared" si="77"/>
        <v>1900</v>
      </c>
    </row>
    <row r="2332" spans="1:4" hidden="1" x14ac:dyDescent="0.25">
      <c r="A2332">
        <f t="shared" si="76"/>
        <v>0</v>
      </c>
      <c r="B2332" s="37"/>
      <c r="C2332" t="s">
        <v>27</v>
      </c>
      <c r="D2332">
        <f t="shared" si="77"/>
        <v>1900</v>
      </c>
    </row>
    <row r="2333" spans="1:4" hidden="1" x14ac:dyDescent="0.25">
      <c r="A2333">
        <f t="shared" si="76"/>
        <v>0</v>
      </c>
      <c r="B2333" s="37"/>
      <c r="C2333" t="s">
        <v>27</v>
      </c>
      <c r="D2333">
        <f t="shared" si="77"/>
        <v>1900</v>
      </c>
    </row>
    <row r="2334" spans="1:4" hidden="1" x14ac:dyDescent="0.25">
      <c r="A2334">
        <f t="shared" si="76"/>
        <v>0</v>
      </c>
      <c r="B2334" s="37"/>
      <c r="C2334" t="s">
        <v>27</v>
      </c>
      <c r="D2334">
        <f t="shared" si="77"/>
        <v>1900</v>
      </c>
    </row>
    <row r="2335" spans="1:4" hidden="1" x14ac:dyDescent="0.25">
      <c r="A2335">
        <f t="shared" si="76"/>
        <v>0</v>
      </c>
      <c r="B2335" s="37"/>
      <c r="C2335" t="s">
        <v>27</v>
      </c>
      <c r="D2335">
        <f t="shared" si="77"/>
        <v>1900</v>
      </c>
    </row>
    <row r="2336" spans="1:4" hidden="1" x14ac:dyDescent="0.25">
      <c r="A2336">
        <f t="shared" si="76"/>
        <v>0</v>
      </c>
      <c r="B2336" s="37"/>
      <c r="C2336" t="s">
        <v>27</v>
      </c>
      <c r="D2336">
        <f t="shared" si="77"/>
        <v>1900</v>
      </c>
    </row>
    <row r="2337" spans="1:4" hidden="1" x14ac:dyDescent="0.25">
      <c r="A2337">
        <f t="shared" si="76"/>
        <v>0</v>
      </c>
      <c r="B2337" s="37"/>
      <c r="C2337" t="s">
        <v>27</v>
      </c>
      <c r="D2337">
        <f t="shared" si="77"/>
        <v>1900</v>
      </c>
    </row>
    <row r="2338" spans="1:4" hidden="1" x14ac:dyDescent="0.25">
      <c r="A2338">
        <f t="shared" si="76"/>
        <v>0</v>
      </c>
      <c r="B2338" s="37"/>
      <c r="C2338" t="s">
        <v>27</v>
      </c>
      <c r="D2338">
        <f t="shared" si="77"/>
        <v>1900</v>
      </c>
    </row>
    <row r="2339" spans="1:4" hidden="1" x14ac:dyDescent="0.25">
      <c r="A2339">
        <f t="shared" si="76"/>
        <v>0</v>
      </c>
      <c r="B2339" s="37"/>
      <c r="C2339" t="s">
        <v>27</v>
      </c>
      <c r="D2339">
        <f t="shared" si="77"/>
        <v>1900</v>
      </c>
    </row>
    <row r="2340" spans="1:4" hidden="1" x14ac:dyDescent="0.25">
      <c r="A2340">
        <f t="shared" si="76"/>
        <v>0</v>
      </c>
      <c r="B2340" s="37"/>
      <c r="C2340" t="s">
        <v>27</v>
      </c>
      <c r="D2340">
        <f t="shared" si="77"/>
        <v>1900</v>
      </c>
    </row>
    <row r="2341" spans="1:4" hidden="1" x14ac:dyDescent="0.25">
      <c r="A2341">
        <f t="shared" si="76"/>
        <v>0</v>
      </c>
      <c r="B2341" s="37"/>
      <c r="C2341" t="s">
        <v>27</v>
      </c>
      <c r="D2341">
        <f t="shared" si="77"/>
        <v>1900</v>
      </c>
    </row>
    <row r="2342" spans="1:4" hidden="1" x14ac:dyDescent="0.25">
      <c r="A2342">
        <f t="shared" si="76"/>
        <v>0</v>
      </c>
      <c r="B2342" s="37"/>
      <c r="C2342" t="s">
        <v>27</v>
      </c>
      <c r="D2342">
        <f t="shared" si="77"/>
        <v>1900</v>
      </c>
    </row>
    <row r="2343" spans="1:4" hidden="1" x14ac:dyDescent="0.25">
      <c r="A2343">
        <f t="shared" si="76"/>
        <v>0</v>
      </c>
      <c r="B2343" s="37"/>
      <c r="C2343" t="s">
        <v>27</v>
      </c>
      <c r="D2343">
        <f t="shared" si="77"/>
        <v>1900</v>
      </c>
    </row>
    <row r="2344" spans="1:4" hidden="1" x14ac:dyDescent="0.25">
      <c r="A2344">
        <f t="shared" si="76"/>
        <v>0</v>
      </c>
      <c r="B2344" s="37"/>
      <c r="C2344" t="s">
        <v>28</v>
      </c>
      <c r="D2344">
        <f t="shared" si="77"/>
        <v>1900</v>
      </c>
    </row>
    <row r="2345" spans="1:4" hidden="1" x14ac:dyDescent="0.25">
      <c r="A2345">
        <f t="shared" si="76"/>
        <v>0</v>
      </c>
      <c r="B2345" s="37"/>
      <c r="C2345" t="s">
        <v>28</v>
      </c>
      <c r="D2345">
        <f t="shared" si="77"/>
        <v>1900</v>
      </c>
    </row>
    <row r="2346" spans="1:4" hidden="1" x14ac:dyDescent="0.25">
      <c r="A2346">
        <f t="shared" si="76"/>
        <v>0</v>
      </c>
      <c r="B2346" s="37"/>
      <c r="C2346" t="s">
        <v>28</v>
      </c>
      <c r="D2346">
        <f t="shared" si="77"/>
        <v>1900</v>
      </c>
    </row>
    <row r="2347" spans="1:4" hidden="1" x14ac:dyDescent="0.25">
      <c r="A2347">
        <f t="shared" si="76"/>
        <v>0</v>
      </c>
      <c r="B2347" s="37"/>
      <c r="C2347" t="s">
        <v>28</v>
      </c>
      <c r="D2347">
        <f t="shared" si="77"/>
        <v>1900</v>
      </c>
    </row>
    <row r="2348" spans="1:4" hidden="1" x14ac:dyDescent="0.25">
      <c r="A2348">
        <f t="shared" si="76"/>
        <v>0</v>
      </c>
      <c r="B2348" s="37"/>
      <c r="C2348" t="s">
        <v>28</v>
      </c>
      <c r="D2348">
        <f t="shared" si="77"/>
        <v>1900</v>
      </c>
    </row>
    <row r="2349" spans="1:4" hidden="1" x14ac:dyDescent="0.25">
      <c r="A2349">
        <f t="shared" si="76"/>
        <v>0</v>
      </c>
      <c r="B2349" s="37"/>
      <c r="C2349" t="s">
        <v>28</v>
      </c>
      <c r="D2349">
        <f t="shared" si="77"/>
        <v>1900</v>
      </c>
    </row>
    <row r="2350" spans="1:4" hidden="1" x14ac:dyDescent="0.25">
      <c r="A2350">
        <f t="shared" si="76"/>
        <v>0</v>
      </c>
      <c r="B2350" s="37"/>
      <c r="C2350" t="s">
        <v>28</v>
      </c>
      <c r="D2350">
        <f t="shared" si="77"/>
        <v>1900</v>
      </c>
    </row>
    <row r="2351" spans="1:4" hidden="1" x14ac:dyDescent="0.25">
      <c r="A2351">
        <f t="shared" si="76"/>
        <v>0</v>
      </c>
      <c r="B2351" s="37"/>
      <c r="C2351" t="s">
        <v>28</v>
      </c>
      <c r="D2351">
        <f t="shared" si="77"/>
        <v>1900</v>
      </c>
    </row>
    <row r="2352" spans="1:4" hidden="1" x14ac:dyDescent="0.25">
      <c r="A2352">
        <f t="shared" si="76"/>
        <v>0</v>
      </c>
      <c r="B2352" s="37"/>
      <c r="C2352" t="s">
        <v>28</v>
      </c>
      <c r="D2352">
        <f t="shared" si="77"/>
        <v>1900</v>
      </c>
    </row>
    <row r="2353" spans="1:4" hidden="1" x14ac:dyDescent="0.25">
      <c r="A2353">
        <f t="shared" si="76"/>
        <v>0</v>
      </c>
      <c r="B2353" s="37"/>
      <c r="C2353" t="s">
        <v>28</v>
      </c>
      <c r="D2353">
        <f t="shared" si="77"/>
        <v>1900</v>
      </c>
    </row>
    <row r="2354" spans="1:4" hidden="1" x14ac:dyDescent="0.25">
      <c r="A2354">
        <f t="shared" si="76"/>
        <v>0</v>
      </c>
      <c r="B2354" s="37"/>
      <c r="C2354" t="s">
        <v>28</v>
      </c>
      <c r="D2354">
        <f t="shared" si="77"/>
        <v>1900</v>
      </c>
    </row>
    <row r="2355" spans="1:4" hidden="1" x14ac:dyDescent="0.25">
      <c r="A2355">
        <f t="shared" si="76"/>
        <v>0</v>
      </c>
      <c r="B2355" s="37"/>
      <c r="C2355" t="s">
        <v>28</v>
      </c>
      <c r="D2355">
        <f t="shared" si="77"/>
        <v>1900</v>
      </c>
    </row>
    <row r="2356" spans="1:4" hidden="1" x14ac:dyDescent="0.25">
      <c r="A2356">
        <f t="shared" si="76"/>
        <v>0</v>
      </c>
      <c r="B2356" s="37"/>
      <c r="C2356" t="s">
        <v>28</v>
      </c>
      <c r="D2356">
        <f t="shared" si="77"/>
        <v>1900</v>
      </c>
    </row>
    <row r="2357" spans="1:4" hidden="1" x14ac:dyDescent="0.25">
      <c r="A2357">
        <f t="shared" si="76"/>
        <v>0</v>
      </c>
      <c r="B2357" s="37"/>
      <c r="C2357" t="s">
        <v>28</v>
      </c>
      <c r="D2357">
        <f t="shared" si="77"/>
        <v>1900</v>
      </c>
    </row>
    <row r="2358" spans="1:4" hidden="1" x14ac:dyDescent="0.25">
      <c r="A2358">
        <f t="shared" si="76"/>
        <v>0</v>
      </c>
      <c r="B2358" s="37"/>
      <c r="C2358" t="s">
        <v>28</v>
      </c>
      <c r="D2358">
        <f t="shared" si="77"/>
        <v>1900</v>
      </c>
    </row>
    <row r="2359" spans="1:4" hidden="1" x14ac:dyDescent="0.25">
      <c r="A2359">
        <f t="shared" si="76"/>
        <v>0</v>
      </c>
      <c r="B2359" s="37"/>
      <c r="C2359" t="s">
        <v>28</v>
      </c>
      <c r="D2359">
        <f t="shared" si="77"/>
        <v>1900</v>
      </c>
    </row>
    <row r="2360" spans="1:4" hidden="1" x14ac:dyDescent="0.25">
      <c r="A2360">
        <f t="shared" si="76"/>
        <v>0</v>
      </c>
      <c r="B2360" s="37"/>
      <c r="C2360" t="s">
        <v>28</v>
      </c>
      <c r="D2360">
        <f t="shared" si="77"/>
        <v>1900</v>
      </c>
    </row>
    <row r="2361" spans="1:4" hidden="1" x14ac:dyDescent="0.25">
      <c r="A2361">
        <f t="shared" si="76"/>
        <v>0</v>
      </c>
      <c r="B2361" s="37"/>
      <c r="C2361" t="s">
        <v>28</v>
      </c>
      <c r="D2361">
        <f t="shared" si="77"/>
        <v>1900</v>
      </c>
    </row>
    <row r="2362" spans="1:4" hidden="1" x14ac:dyDescent="0.25">
      <c r="A2362">
        <f t="shared" si="76"/>
        <v>0</v>
      </c>
      <c r="B2362" s="37"/>
      <c r="C2362" t="s">
        <v>28</v>
      </c>
      <c r="D2362">
        <f t="shared" si="77"/>
        <v>1900</v>
      </c>
    </row>
    <row r="2363" spans="1:4" hidden="1" x14ac:dyDescent="0.25">
      <c r="A2363">
        <f t="shared" si="76"/>
        <v>0</v>
      </c>
      <c r="B2363" s="37"/>
      <c r="C2363" t="s">
        <v>28</v>
      </c>
      <c r="D2363">
        <f t="shared" si="77"/>
        <v>1900</v>
      </c>
    </row>
    <row r="2364" spans="1:4" hidden="1" x14ac:dyDescent="0.25">
      <c r="A2364">
        <f t="shared" si="76"/>
        <v>0</v>
      </c>
      <c r="B2364" s="37"/>
      <c r="C2364" t="s">
        <v>28</v>
      </c>
      <c r="D2364">
        <f t="shared" si="77"/>
        <v>1900</v>
      </c>
    </row>
    <row r="2365" spans="1:4" hidden="1" x14ac:dyDescent="0.25">
      <c r="A2365">
        <f t="shared" si="76"/>
        <v>0</v>
      </c>
      <c r="B2365" s="37"/>
      <c r="C2365" t="s">
        <v>28</v>
      </c>
      <c r="D2365">
        <f t="shared" si="77"/>
        <v>1900</v>
      </c>
    </row>
    <row r="2366" spans="1:4" hidden="1" x14ac:dyDescent="0.25">
      <c r="A2366">
        <f t="shared" si="76"/>
        <v>0</v>
      </c>
      <c r="B2366" s="37"/>
      <c r="C2366" t="s">
        <v>28</v>
      </c>
      <c r="D2366">
        <f t="shared" si="77"/>
        <v>1900</v>
      </c>
    </row>
    <row r="2367" spans="1:4" hidden="1" x14ac:dyDescent="0.25">
      <c r="A2367">
        <f t="shared" si="76"/>
        <v>0</v>
      </c>
      <c r="B2367" s="37"/>
      <c r="C2367" t="s">
        <v>28</v>
      </c>
      <c r="D2367">
        <f t="shared" si="77"/>
        <v>1900</v>
      </c>
    </row>
    <row r="2368" spans="1:4" hidden="1" x14ac:dyDescent="0.25">
      <c r="A2368">
        <f t="shared" si="76"/>
        <v>0</v>
      </c>
      <c r="B2368" s="37"/>
      <c r="C2368" t="s">
        <v>28</v>
      </c>
      <c r="D2368">
        <f t="shared" si="77"/>
        <v>1900</v>
      </c>
    </row>
    <row r="2369" spans="1:4" hidden="1" x14ac:dyDescent="0.25">
      <c r="A2369">
        <f t="shared" si="76"/>
        <v>0</v>
      </c>
      <c r="B2369" s="37"/>
      <c r="C2369" t="s">
        <v>28</v>
      </c>
      <c r="D2369">
        <f t="shared" si="77"/>
        <v>1900</v>
      </c>
    </row>
    <row r="2370" spans="1:4" hidden="1" x14ac:dyDescent="0.25">
      <c r="A2370">
        <f t="shared" si="76"/>
        <v>0</v>
      </c>
      <c r="B2370" s="37"/>
      <c r="C2370" t="s">
        <v>28</v>
      </c>
      <c r="D2370">
        <f t="shared" si="77"/>
        <v>1900</v>
      </c>
    </row>
    <row r="2371" spans="1:4" hidden="1" x14ac:dyDescent="0.25">
      <c r="A2371">
        <f t="shared" si="76"/>
        <v>0</v>
      </c>
      <c r="B2371" s="37"/>
      <c r="C2371" t="s">
        <v>28</v>
      </c>
      <c r="D2371">
        <f t="shared" si="77"/>
        <v>1900</v>
      </c>
    </row>
    <row r="2372" spans="1:4" hidden="1" x14ac:dyDescent="0.25">
      <c r="A2372">
        <f t="shared" si="76"/>
        <v>0</v>
      </c>
      <c r="B2372" s="37"/>
      <c r="C2372" t="s">
        <v>28</v>
      </c>
      <c r="D2372">
        <f t="shared" si="77"/>
        <v>1900</v>
      </c>
    </row>
    <row r="2373" spans="1:4" hidden="1" x14ac:dyDescent="0.25">
      <c r="A2373">
        <f t="shared" si="76"/>
        <v>0</v>
      </c>
      <c r="B2373" s="37"/>
      <c r="C2373" t="s">
        <v>28</v>
      </c>
      <c r="D2373">
        <f t="shared" si="77"/>
        <v>1900</v>
      </c>
    </row>
    <row r="2374" spans="1:4" hidden="1" x14ac:dyDescent="0.25">
      <c r="A2374">
        <f t="shared" si="76"/>
        <v>0</v>
      </c>
      <c r="B2374" s="37"/>
      <c r="C2374" t="s">
        <v>29</v>
      </c>
      <c r="D2374">
        <f t="shared" si="77"/>
        <v>1900</v>
      </c>
    </row>
    <row r="2375" spans="1:4" hidden="1" x14ac:dyDescent="0.25">
      <c r="A2375">
        <f t="shared" si="76"/>
        <v>0</v>
      </c>
      <c r="B2375" s="37"/>
      <c r="C2375" t="s">
        <v>29</v>
      </c>
      <c r="D2375">
        <f t="shared" si="77"/>
        <v>1900</v>
      </c>
    </row>
    <row r="2376" spans="1:4" hidden="1" x14ac:dyDescent="0.25">
      <c r="A2376">
        <f t="shared" si="76"/>
        <v>0</v>
      </c>
      <c r="B2376" s="37"/>
      <c r="C2376" t="s">
        <v>29</v>
      </c>
      <c r="D2376">
        <f t="shared" si="77"/>
        <v>1900</v>
      </c>
    </row>
    <row r="2377" spans="1:4" hidden="1" x14ac:dyDescent="0.25">
      <c r="A2377">
        <f t="shared" si="76"/>
        <v>0</v>
      </c>
      <c r="B2377" s="37"/>
      <c r="C2377" t="s">
        <v>29</v>
      </c>
      <c r="D2377">
        <f t="shared" si="77"/>
        <v>1900</v>
      </c>
    </row>
    <row r="2378" spans="1:4" hidden="1" x14ac:dyDescent="0.25">
      <c r="A2378">
        <f t="shared" si="76"/>
        <v>0</v>
      </c>
      <c r="B2378" s="37"/>
      <c r="C2378" t="s">
        <v>29</v>
      </c>
      <c r="D2378">
        <f t="shared" si="77"/>
        <v>1900</v>
      </c>
    </row>
    <row r="2379" spans="1:4" hidden="1" x14ac:dyDescent="0.25">
      <c r="A2379">
        <f t="shared" si="76"/>
        <v>0</v>
      </c>
      <c r="B2379" s="37"/>
      <c r="C2379" t="s">
        <v>29</v>
      </c>
      <c r="D2379">
        <f t="shared" si="77"/>
        <v>1900</v>
      </c>
    </row>
    <row r="2380" spans="1:4" hidden="1" x14ac:dyDescent="0.25">
      <c r="A2380">
        <f t="shared" si="76"/>
        <v>0</v>
      </c>
      <c r="B2380" s="37"/>
      <c r="C2380" t="s">
        <v>29</v>
      </c>
      <c r="D2380">
        <f t="shared" si="77"/>
        <v>1900</v>
      </c>
    </row>
    <row r="2381" spans="1:4" hidden="1" x14ac:dyDescent="0.25">
      <c r="A2381">
        <f t="shared" si="76"/>
        <v>0</v>
      </c>
      <c r="B2381" s="37"/>
      <c r="C2381" t="s">
        <v>29</v>
      </c>
      <c r="D2381">
        <f t="shared" si="77"/>
        <v>1900</v>
      </c>
    </row>
    <row r="2382" spans="1:4" hidden="1" x14ac:dyDescent="0.25">
      <c r="A2382">
        <f t="shared" si="76"/>
        <v>0</v>
      </c>
      <c r="B2382" s="37"/>
      <c r="C2382" t="s">
        <v>29</v>
      </c>
      <c r="D2382">
        <f t="shared" si="77"/>
        <v>1900</v>
      </c>
    </row>
    <row r="2383" spans="1:4" hidden="1" x14ac:dyDescent="0.25">
      <c r="A2383">
        <f t="shared" si="76"/>
        <v>0</v>
      </c>
      <c r="B2383" s="37"/>
      <c r="C2383" t="s">
        <v>29</v>
      </c>
      <c r="D2383">
        <f t="shared" si="77"/>
        <v>1900</v>
      </c>
    </row>
    <row r="2384" spans="1:4" hidden="1" x14ac:dyDescent="0.25">
      <c r="A2384">
        <f t="shared" si="76"/>
        <v>0</v>
      </c>
      <c r="B2384" s="37"/>
      <c r="C2384" t="s">
        <v>29</v>
      </c>
      <c r="D2384">
        <f t="shared" si="77"/>
        <v>1900</v>
      </c>
    </row>
    <row r="2385" spans="1:4" hidden="1" x14ac:dyDescent="0.25">
      <c r="A2385">
        <f t="shared" ref="A2385:A2404" si="78">DAY(B2385)</f>
        <v>0</v>
      </c>
      <c r="B2385" s="37"/>
      <c r="C2385" t="s">
        <v>29</v>
      </c>
      <c r="D2385">
        <f t="shared" ref="D2385:D2404" si="79">YEAR(B2385)</f>
        <v>1900</v>
      </c>
    </row>
    <row r="2386" spans="1:4" hidden="1" x14ac:dyDescent="0.25">
      <c r="A2386">
        <f t="shared" si="78"/>
        <v>0</v>
      </c>
      <c r="B2386" s="37"/>
      <c r="C2386" t="s">
        <v>29</v>
      </c>
      <c r="D2386">
        <f t="shared" si="79"/>
        <v>1900</v>
      </c>
    </row>
    <row r="2387" spans="1:4" hidden="1" x14ac:dyDescent="0.25">
      <c r="A2387">
        <f t="shared" si="78"/>
        <v>0</v>
      </c>
      <c r="B2387" s="37"/>
      <c r="C2387" t="s">
        <v>29</v>
      </c>
      <c r="D2387">
        <f t="shared" si="79"/>
        <v>1900</v>
      </c>
    </row>
    <row r="2388" spans="1:4" hidden="1" x14ac:dyDescent="0.25">
      <c r="A2388">
        <f t="shared" si="78"/>
        <v>0</v>
      </c>
      <c r="B2388" s="37"/>
      <c r="C2388" t="s">
        <v>29</v>
      </c>
      <c r="D2388">
        <f t="shared" si="79"/>
        <v>1900</v>
      </c>
    </row>
    <row r="2389" spans="1:4" hidden="1" x14ac:dyDescent="0.25">
      <c r="A2389">
        <f t="shared" si="78"/>
        <v>0</v>
      </c>
      <c r="B2389" s="37"/>
      <c r="C2389" t="s">
        <v>29</v>
      </c>
      <c r="D2389">
        <f t="shared" si="79"/>
        <v>1900</v>
      </c>
    </row>
    <row r="2390" spans="1:4" hidden="1" x14ac:dyDescent="0.25">
      <c r="A2390">
        <f t="shared" si="78"/>
        <v>0</v>
      </c>
      <c r="B2390" s="37"/>
      <c r="C2390" t="s">
        <v>29</v>
      </c>
      <c r="D2390">
        <f t="shared" si="79"/>
        <v>1900</v>
      </c>
    </row>
    <row r="2391" spans="1:4" hidden="1" x14ac:dyDescent="0.25">
      <c r="A2391">
        <f t="shared" si="78"/>
        <v>0</v>
      </c>
      <c r="B2391" s="37"/>
      <c r="C2391" t="s">
        <v>29</v>
      </c>
      <c r="D2391">
        <f t="shared" si="79"/>
        <v>1900</v>
      </c>
    </row>
    <row r="2392" spans="1:4" hidden="1" x14ac:dyDescent="0.25">
      <c r="A2392">
        <f t="shared" si="78"/>
        <v>0</v>
      </c>
      <c r="B2392" s="37"/>
      <c r="C2392" t="s">
        <v>29</v>
      </c>
      <c r="D2392">
        <f t="shared" si="79"/>
        <v>1900</v>
      </c>
    </row>
    <row r="2393" spans="1:4" hidden="1" x14ac:dyDescent="0.25">
      <c r="A2393">
        <f t="shared" si="78"/>
        <v>0</v>
      </c>
      <c r="B2393" s="37"/>
      <c r="C2393" t="s">
        <v>29</v>
      </c>
      <c r="D2393">
        <f t="shared" si="79"/>
        <v>1900</v>
      </c>
    </row>
    <row r="2394" spans="1:4" hidden="1" x14ac:dyDescent="0.25">
      <c r="A2394">
        <f t="shared" si="78"/>
        <v>0</v>
      </c>
      <c r="B2394" s="37"/>
      <c r="C2394" t="s">
        <v>29</v>
      </c>
      <c r="D2394">
        <f t="shared" si="79"/>
        <v>1900</v>
      </c>
    </row>
    <row r="2395" spans="1:4" hidden="1" x14ac:dyDescent="0.25">
      <c r="A2395">
        <f t="shared" si="78"/>
        <v>0</v>
      </c>
      <c r="B2395" s="37"/>
      <c r="C2395" t="s">
        <v>29</v>
      </c>
      <c r="D2395">
        <f t="shared" si="79"/>
        <v>1900</v>
      </c>
    </row>
    <row r="2396" spans="1:4" hidden="1" x14ac:dyDescent="0.25">
      <c r="A2396">
        <f t="shared" si="78"/>
        <v>0</v>
      </c>
      <c r="B2396" s="37"/>
      <c r="C2396" t="s">
        <v>29</v>
      </c>
      <c r="D2396">
        <f t="shared" si="79"/>
        <v>1900</v>
      </c>
    </row>
    <row r="2397" spans="1:4" hidden="1" x14ac:dyDescent="0.25">
      <c r="A2397">
        <f t="shared" si="78"/>
        <v>0</v>
      </c>
      <c r="B2397" s="37"/>
      <c r="C2397" t="s">
        <v>29</v>
      </c>
      <c r="D2397">
        <f t="shared" si="79"/>
        <v>1900</v>
      </c>
    </row>
    <row r="2398" spans="1:4" hidden="1" x14ac:dyDescent="0.25">
      <c r="A2398">
        <f t="shared" si="78"/>
        <v>0</v>
      </c>
      <c r="B2398" s="37"/>
      <c r="C2398" t="s">
        <v>29</v>
      </c>
      <c r="D2398">
        <f t="shared" si="79"/>
        <v>1900</v>
      </c>
    </row>
    <row r="2399" spans="1:4" hidden="1" x14ac:dyDescent="0.25">
      <c r="A2399">
        <f t="shared" si="78"/>
        <v>0</v>
      </c>
      <c r="B2399" s="37"/>
      <c r="C2399" t="s">
        <v>29</v>
      </c>
      <c r="D2399">
        <f t="shared" si="79"/>
        <v>1900</v>
      </c>
    </row>
    <row r="2400" spans="1:4" hidden="1" x14ac:dyDescent="0.25">
      <c r="A2400">
        <f t="shared" si="78"/>
        <v>0</v>
      </c>
      <c r="B2400" s="37"/>
      <c r="C2400" t="s">
        <v>29</v>
      </c>
      <c r="D2400">
        <f t="shared" si="79"/>
        <v>1900</v>
      </c>
    </row>
    <row r="2401" spans="1:4" hidden="1" x14ac:dyDescent="0.25">
      <c r="A2401">
        <f t="shared" si="78"/>
        <v>0</v>
      </c>
      <c r="B2401" s="37"/>
      <c r="C2401" t="s">
        <v>29</v>
      </c>
      <c r="D2401">
        <f t="shared" si="79"/>
        <v>1900</v>
      </c>
    </row>
    <row r="2402" spans="1:4" hidden="1" x14ac:dyDescent="0.25">
      <c r="A2402">
        <f t="shared" si="78"/>
        <v>0</v>
      </c>
      <c r="B2402" s="37"/>
      <c r="C2402" t="s">
        <v>29</v>
      </c>
      <c r="D2402">
        <f t="shared" si="79"/>
        <v>1900</v>
      </c>
    </row>
    <row r="2403" spans="1:4" hidden="1" x14ac:dyDescent="0.25">
      <c r="A2403">
        <f t="shared" si="78"/>
        <v>0</v>
      </c>
      <c r="B2403" s="37"/>
      <c r="C2403" t="s">
        <v>29</v>
      </c>
      <c r="D2403">
        <f t="shared" si="79"/>
        <v>1900</v>
      </c>
    </row>
    <row r="2404" spans="1:4" hidden="1" x14ac:dyDescent="0.25">
      <c r="A2404">
        <f t="shared" si="78"/>
        <v>0</v>
      </c>
      <c r="B2404" s="37"/>
      <c r="C2404" t="s">
        <v>29</v>
      </c>
      <c r="D2404">
        <f t="shared" si="79"/>
        <v>1900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247A-D9AC-4F25-9177-E96321E22762}">
  <sheetPr filterMode="1"/>
  <dimension ref="A1:P73"/>
  <sheetViews>
    <sheetView showGridLines="0" workbookViewId="0">
      <selection activeCell="A61" sqref="A61"/>
    </sheetView>
  </sheetViews>
  <sheetFormatPr baseColWidth="10" defaultColWidth="9.5703125" defaultRowHeight="15" x14ac:dyDescent="0.25"/>
  <cols>
    <col min="1" max="1" width="9.7109375" style="30" bestFit="1" customWidth="1"/>
    <col min="2" max="14" width="18.5703125" style="30" customWidth="1"/>
    <col min="15" max="16" width="10.140625" style="30" bestFit="1" customWidth="1"/>
    <col min="17" max="16384" width="9.5703125" style="30"/>
  </cols>
  <sheetData>
    <row r="1" spans="1:16" x14ac:dyDescent="0.25">
      <c r="A1" s="28" t="s">
        <v>17</v>
      </c>
      <c r="B1" s="28" t="s">
        <v>40</v>
      </c>
      <c r="C1" s="28" t="s">
        <v>43</v>
      </c>
      <c r="D1" s="28" t="s">
        <v>57</v>
      </c>
      <c r="E1" s="28" t="s">
        <v>44</v>
      </c>
      <c r="F1" s="28" t="s">
        <v>18</v>
      </c>
      <c r="G1" s="29" t="s">
        <v>35</v>
      </c>
      <c r="H1" s="29" t="s">
        <v>20</v>
      </c>
      <c r="I1" s="28" t="s">
        <v>36</v>
      </c>
      <c r="J1" s="28" t="s">
        <v>19</v>
      </c>
      <c r="K1" s="28" t="s">
        <v>37</v>
      </c>
      <c r="L1" s="28" t="s">
        <v>21</v>
      </c>
      <c r="M1" s="29" t="s">
        <v>42</v>
      </c>
      <c r="N1" s="29" t="s">
        <v>56</v>
      </c>
      <c r="O1" s="29" t="s">
        <v>67</v>
      </c>
      <c r="P1" s="29" t="s">
        <v>68</v>
      </c>
    </row>
    <row r="2" spans="1:16" customFormat="1" hidden="1" x14ac:dyDescent="0.25">
      <c r="A2">
        <f>Data[[#This Row],[Año]]</f>
        <v>2019</v>
      </c>
      <c r="B2" s="21" t="str">
        <f>Data[[#This Row],[Mes]]</f>
        <v>ENERO</v>
      </c>
      <c r="C2" s="1">
        <f>Data[[#This Row],[ Incremento salario ]]</f>
        <v>1.78</v>
      </c>
      <c r="D2" s="1">
        <f>Data[[#This Row],[ Incremento Acumulado]]</f>
        <v>1.78</v>
      </c>
      <c r="E2" s="1">
        <f>Data[[#This Row],[Incremento Ingreso mensual VEF]]</f>
        <v>0</v>
      </c>
      <c r="F2" s="1">
        <f>Data[[#This Row],[Incremento Ingreso mensual VEF]]</f>
        <v>0</v>
      </c>
      <c r="G2" s="1">
        <f>Data[[#This Row],[Inflacion BCV]]</f>
        <v>1.966</v>
      </c>
      <c r="H2" s="1">
        <f>Data[[#This Row],[Inflación acumulada BCV]]</f>
        <v>1.966</v>
      </c>
      <c r="I2" s="1">
        <f>Data[[#This Row],[ Inflación OVF]]</f>
        <v>1.9159999999999999</v>
      </c>
      <c r="J2" s="1">
        <f>Data[[#This Row],[ Inflación Acumulada OVF]]</f>
        <v>1.9159999999999999</v>
      </c>
      <c r="K2" s="1">
        <f>Data[[#This Row],[ Deevaluación BCV]]</f>
        <v>0</v>
      </c>
      <c r="L2" s="1">
        <f>Data[[#This Row],[ Devaluación acumulada BCV]]</f>
        <v>0</v>
      </c>
      <c r="M2" s="1">
        <f>Data[[#This Row],[Depreciación EP]]</f>
        <v>0</v>
      </c>
      <c r="N2" s="1">
        <f>Data[[#This Row],[Devaluación Acumulada EP]]</f>
        <v>0</v>
      </c>
      <c r="O2" s="9">
        <f>Data[[#This Row],[Tasa bcv]]</f>
        <v>1.2999999999999999E-3</v>
      </c>
      <c r="P2" s="9">
        <f>Data[[#This Row],[Tasa Enparalelo]]</f>
        <v>2.3800000000000002E-3</v>
      </c>
    </row>
    <row r="3" spans="1:16" customFormat="1" hidden="1" x14ac:dyDescent="0.25">
      <c r="A3">
        <f>Data[[#This Row],[Año]]</f>
        <v>2019</v>
      </c>
      <c r="B3" s="21" t="str">
        <f>Data[[#This Row],[Mes]]</f>
        <v>FEBRERO</v>
      </c>
      <c r="C3" s="1">
        <f>Data[[#This Row],[ Incremento salario ]]</f>
        <v>1.1399999999999999</v>
      </c>
      <c r="D3" s="1">
        <f>Data[[#This Row],[ Incremento Acumulado]]</f>
        <v>4.9491999999999994</v>
      </c>
      <c r="E3" s="1">
        <f>Data[[#This Row],[Incremento Ingreso mensual VEF]]</f>
        <v>0</v>
      </c>
      <c r="F3" s="1">
        <f>Data[[#This Row],[Incremento Ingreso mensual VEF]]</f>
        <v>0</v>
      </c>
      <c r="G3" s="1">
        <f>Data[[#This Row],[Inflacion BCV]]</f>
        <v>1.1440000000000001</v>
      </c>
      <c r="H3" s="1">
        <f>Data[[#This Row],[Inflación acumulada BCV]]</f>
        <v>5.3591040000000012</v>
      </c>
      <c r="I3" s="1">
        <f>Data[[#This Row],[ Inflación OVF]]</f>
        <v>0.53700000000000003</v>
      </c>
      <c r="J3" s="1">
        <f>Data[[#This Row],[ Inflación Acumulada OVF]]</f>
        <v>3.4818919999999993</v>
      </c>
      <c r="K3" s="1">
        <f>Data[[#This Row],[ Deevaluación BCV]]</f>
        <v>2.1595454545454418E-2</v>
      </c>
      <c r="L3" s="1">
        <f>Data[[#This Row],[ Devaluación acumulada BCV]]</f>
        <v>2.1595454545454418E-2</v>
      </c>
      <c r="M3" s="1">
        <f>Data[[#This Row],[Depreciación EP]]</f>
        <v>0.53445378151260492</v>
      </c>
      <c r="N3" s="1">
        <f>Data[[#This Row],[Devaluación Acumulada EP]]</f>
        <v>0.53445378151260492</v>
      </c>
      <c r="O3" s="9">
        <f>Data[[#This Row],[Tasa bcv]]</f>
        <v>1.3280740909090906E-3</v>
      </c>
      <c r="P3" s="9">
        <f>Data[[#This Row],[Tasa Enparalelo]]</f>
        <v>3.6519999999999999E-3</v>
      </c>
    </row>
    <row r="4" spans="1:16" customFormat="1" hidden="1" x14ac:dyDescent="0.25">
      <c r="A4">
        <f>Data[[#This Row],[Año]]</f>
        <v>2019</v>
      </c>
      <c r="B4" s="21" t="str">
        <f>Data[[#This Row],[Mes]]</f>
        <v>MARZO</v>
      </c>
      <c r="C4" s="1">
        <f>Data[[#This Row],[ Incremento salario ]]</f>
        <v>0.72</v>
      </c>
      <c r="D4" s="1">
        <f>Data[[#This Row],[ Incremento Acumulado]]</f>
        <v>9.2326239999999995</v>
      </c>
      <c r="E4" s="1">
        <f>Data[[#This Row],[Incremento Ingreso mensual VEF]]</f>
        <v>0</v>
      </c>
      <c r="F4" s="1">
        <f>Data[[#This Row],[Incremento Ingreso mensual VEF]]</f>
        <v>0</v>
      </c>
      <c r="G4" s="1">
        <f>Data[[#This Row],[Inflacion BCV]]</f>
        <v>0.34799999999999998</v>
      </c>
      <c r="H4" s="1">
        <f>Data[[#This Row],[Inflación acumulada BCV]]</f>
        <v>7.5720721920000003</v>
      </c>
      <c r="I4" s="1">
        <f>Data[[#This Row],[ Inflación OVF]]</f>
        <v>0.18100000000000002</v>
      </c>
      <c r="J4" s="1">
        <f>Data[[#This Row],[ Inflación Acumulada OVF]]</f>
        <v>4.2931144519999993</v>
      </c>
      <c r="K4" s="1">
        <f>Data[[#This Row],[ Deevaluación BCV]]</f>
        <v>1.4837108280171942</v>
      </c>
      <c r="L4" s="1">
        <f>Data[[#This Row],[ Devaluación acumulada BCV]]</f>
        <v>1.5373476923076925</v>
      </c>
      <c r="M4" s="1">
        <f>Data[[#This Row],[Depreciación EP]]</f>
        <v>-1.0952902519166807E-3</v>
      </c>
      <c r="N4" s="1">
        <f>Data[[#This Row],[Devaluación Acumulada EP]]</f>
        <v>0.53277310924369758</v>
      </c>
      <c r="O4" s="9">
        <f>Data[[#This Row],[Tasa bcv]]</f>
        <v>3.2985519999999997E-3</v>
      </c>
      <c r="P4" s="9">
        <f>Data[[#This Row],[Tasa Enparalelo]]</f>
        <v>3.6480000000000002E-3</v>
      </c>
    </row>
    <row r="5" spans="1:16" customFormat="1" hidden="1" x14ac:dyDescent="0.25">
      <c r="A5">
        <f>Data[[#This Row],[Año]]</f>
        <v>2019</v>
      </c>
      <c r="B5" s="21" t="str">
        <f>Data[[#This Row],[Mes]]</f>
        <v>ABRIL</v>
      </c>
      <c r="C5" s="1">
        <f>Data[[#This Row],[ Incremento salario ]]</f>
        <v>0.41</v>
      </c>
      <c r="D5" s="1">
        <f>Data[[#This Row],[ Incremento Acumulado]]</f>
        <v>13.427999839999998</v>
      </c>
      <c r="E5" s="1">
        <f>Data[[#This Row],[Incremento Ingreso mensual VEF]]</f>
        <v>0</v>
      </c>
      <c r="F5" s="1">
        <f>Data[[#This Row],[Incremento Ingreso mensual VEF]]</f>
        <v>0</v>
      </c>
      <c r="G5" s="1">
        <f>Data[[#This Row],[Inflacion BCV]]</f>
        <v>0.33799999999999997</v>
      </c>
      <c r="H5" s="1">
        <f>Data[[#This Row],[Inflación acumulada BCV]]</f>
        <v>10.469432592896</v>
      </c>
      <c r="I5" s="1">
        <f>Data[[#This Row],[ Inflación OVF]]</f>
        <v>0.44700000000000001</v>
      </c>
      <c r="J5" s="1">
        <f>Data[[#This Row],[ Inflación Acumulada OVF]]</f>
        <v>6.6591366120439996</v>
      </c>
      <c r="K5" s="1">
        <f>Data[[#This Row],[ Deevaluación BCV]]</f>
        <v>-2.7058124770762415E-4</v>
      </c>
      <c r="L5" s="1">
        <f>Data[[#This Row],[ Devaluación acumulada BCV]]</f>
        <v>1.5366611336032396</v>
      </c>
      <c r="M5" s="1">
        <f>Data[[#This Row],[Depreciación EP]]</f>
        <v>0.31528114720394695</v>
      </c>
      <c r="N5" s="1">
        <f>Data[[#This Row],[Devaluación Acumulada EP]]</f>
        <v>1.0160275735294113</v>
      </c>
      <c r="O5" s="9">
        <f>Data[[#This Row],[Tasa bcv]]</f>
        <v>3.2976594736842113E-3</v>
      </c>
      <c r="P5" s="9">
        <f>Data[[#This Row],[Tasa Enparalelo]]</f>
        <v>4.798145624999999E-3</v>
      </c>
    </row>
    <row r="6" spans="1:16" customFormat="1" hidden="1" x14ac:dyDescent="0.25">
      <c r="A6">
        <f>Data[[#This Row],[Año]]</f>
        <v>2019</v>
      </c>
      <c r="B6" s="21" t="str">
        <f>Data[[#This Row],[Mes]]</f>
        <v>MAYO</v>
      </c>
      <c r="C6" s="1">
        <f>Data[[#This Row],[ Incremento salario ]]</f>
        <v>0.63</v>
      </c>
      <c r="D6" s="1">
        <f>Data[[#This Row],[ Incremento Acumulado]]</f>
        <v>22.517639739199996</v>
      </c>
      <c r="E6" s="1">
        <f>Data[[#This Row],[Incremento Ingreso mensual VEF]]</f>
        <v>0</v>
      </c>
      <c r="F6" s="1">
        <f>Data[[#This Row],[Incremento Ingreso mensual VEF]]</f>
        <v>0</v>
      </c>
      <c r="G6" s="1">
        <f>Data[[#This Row],[Inflacion BCV]]</f>
        <v>0.39500000000000002</v>
      </c>
      <c r="H6" s="1">
        <f>Data[[#This Row],[Inflación acumulada BCV]]</f>
        <v>14.99985846708992</v>
      </c>
      <c r="I6" s="1">
        <f>Data[[#This Row],[ Inflación OVF]]</f>
        <v>0.313</v>
      </c>
      <c r="J6" s="1">
        <f>Data[[#This Row],[ Inflación Acumulada OVF]]</f>
        <v>9.056446371613772</v>
      </c>
      <c r="K6" s="1">
        <f>Data[[#This Row],[ Deevaluación BCV]]</f>
        <v>0.20937034608118332</v>
      </c>
      <c r="L6" s="1">
        <f>Data[[#This Row],[ Devaluación acumulada BCV]]</f>
        <v>2.0677627530364369</v>
      </c>
      <c r="M6" s="1">
        <f>Data[[#This Row],[Depreciación EP]]</f>
        <v>0.28608268324494657</v>
      </c>
      <c r="N6" s="1">
        <f>Data[[#This Row],[Devaluación Acumulada EP]]</f>
        <v>1.5927781512605041</v>
      </c>
      <c r="O6" s="9">
        <f>Data[[#This Row],[Tasa bcv]]</f>
        <v>3.9880915789473675E-3</v>
      </c>
      <c r="P6" s="9">
        <f>Data[[#This Row],[Tasa Enparalelo]]</f>
        <v>6.1708119999999995E-3</v>
      </c>
    </row>
    <row r="7" spans="1:16" customFormat="1" hidden="1" x14ac:dyDescent="0.25">
      <c r="A7">
        <f>Data[[#This Row],[Año]]</f>
        <v>2019</v>
      </c>
      <c r="B7" s="21" t="str">
        <f>Data[[#This Row],[Mes]]</f>
        <v>JUNIO</v>
      </c>
      <c r="C7" s="1">
        <f>Data[[#This Row],[ Incremento salario ]]</f>
        <v>0.27</v>
      </c>
      <c r="D7" s="1">
        <f>Data[[#This Row],[ Incremento Acumulado]]</f>
        <v>28.867402468783997</v>
      </c>
      <c r="E7" s="1">
        <f>Data[[#This Row],[Incremento Ingreso mensual VEF]]</f>
        <v>0</v>
      </c>
      <c r="F7" s="1">
        <f>Data[[#This Row],[Incremento Ingreso mensual VEF]]</f>
        <v>0</v>
      </c>
      <c r="G7" s="1">
        <f>Data[[#This Row],[Inflacion BCV]]</f>
        <v>0.221</v>
      </c>
      <c r="H7" s="1">
        <f>Data[[#This Row],[Inflación acumulada BCV]]</f>
        <v>18.535827188316794</v>
      </c>
      <c r="I7" s="1">
        <f>Data[[#This Row],[ Inflación OVF]]</f>
        <v>0.248</v>
      </c>
      <c r="J7" s="1">
        <f>Data[[#This Row],[ Inflación Acumulada OVF]]</f>
        <v>11.550445071773987</v>
      </c>
      <c r="K7" s="1">
        <f>Data[[#This Row],[ Deevaluación BCV]]</f>
        <v>0.36580079979494995</v>
      </c>
      <c r="L7" s="1">
        <f>Data[[#This Row],[ Devaluación acumulada BCV]]</f>
        <v>3.1899528216783226</v>
      </c>
      <c r="M7" s="1">
        <f>Data[[#This Row],[Depreciación EP]]</f>
        <v>0.23860252643142177</v>
      </c>
      <c r="N7" s="1">
        <f>Data[[#This Row],[Devaluación Acumulada EP]]</f>
        <v>2.2114215686274514</v>
      </c>
      <c r="O7" s="9">
        <f>Data[[#This Row],[Tasa bcv]]</f>
        <v>5.446938668181819E-3</v>
      </c>
      <c r="P7" s="9">
        <f>Data[[#This Row],[Tasa Enparalelo]]</f>
        <v>7.6431833333333345E-3</v>
      </c>
    </row>
    <row r="8" spans="1:16" customFormat="1" hidden="1" x14ac:dyDescent="0.25">
      <c r="A8">
        <f>Data[[#This Row],[Año]]</f>
        <v>2019</v>
      </c>
      <c r="B8" s="21" t="str">
        <f>Data[[#This Row],[Mes]]</f>
        <v>JULIO</v>
      </c>
      <c r="C8" s="1">
        <f>Data[[#This Row],[ Incremento salario ]]</f>
        <v>0.18</v>
      </c>
      <c r="D8" s="1">
        <f>Data[[#This Row],[ Incremento Acumulado]]</f>
        <v>34.243534913165114</v>
      </c>
      <c r="E8" s="1">
        <f>Data[[#This Row],[Incremento Ingreso mensual VEF]]</f>
        <v>0</v>
      </c>
      <c r="F8" s="1">
        <f>Data[[#This Row],[Incremento Ingreso mensual VEF]]</f>
        <v>0</v>
      </c>
      <c r="G8" s="1">
        <f>Data[[#This Row],[Inflacion BCV]]</f>
        <v>0.19399999999999998</v>
      </c>
      <c r="H8" s="1">
        <f>Data[[#This Row],[Inflación acumulada BCV]]</f>
        <v>22.325777662850253</v>
      </c>
      <c r="I8" s="1">
        <f>Data[[#This Row],[ Inflación OVF]]</f>
        <v>0.33799999999999997</v>
      </c>
      <c r="J8" s="1">
        <f>Data[[#This Row],[ Inflación Acumulada OVF]]</f>
        <v>15.792495506033596</v>
      </c>
      <c r="K8" s="1">
        <f>Data[[#This Row],[ Deevaluación BCV]]</f>
        <v>0.14109340346364618</v>
      </c>
      <c r="L8" s="1">
        <f>Data[[#This Row],[ Devaluación acumulada BCV]]</f>
        <v>3.7811275256410246</v>
      </c>
      <c r="M8" s="1">
        <f>Data[[#This Row],[Depreciación EP]]</f>
        <v>0.27543453752908342</v>
      </c>
      <c r="N8" s="1">
        <f>Data[[#This Row],[Devaluación Acumulada EP]]</f>
        <v>3.0959579831932773</v>
      </c>
      <c r="O8" s="9">
        <f>Data[[#This Row],[Tasa bcv]]</f>
        <v>6.2154657833333321E-3</v>
      </c>
      <c r="P8" s="9">
        <f>Data[[#This Row],[Tasa Enparalelo]]</f>
        <v>9.7483799999999992E-3</v>
      </c>
    </row>
    <row r="9" spans="1:16" customFormat="1" hidden="1" x14ac:dyDescent="0.25">
      <c r="A9">
        <f>Data[[#This Row],[Año]]</f>
        <v>2019</v>
      </c>
      <c r="B9" s="21" t="str">
        <f>Data[[#This Row],[Mes]]</f>
        <v>AGOSTO</v>
      </c>
      <c r="C9" s="1">
        <f>Data[[#This Row],[ Incremento salario ]]</f>
        <v>0.36</v>
      </c>
      <c r="D9" s="1">
        <f>Data[[#This Row],[ Incremento Acumulado]]</f>
        <v>46.931207481904551</v>
      </c>
      <c r="E9" s="1">
        <f>Data[[#This Row],[Incremento Ingreso mensual VEF]]</f>
        <v>0</v>
      </c>
      <c r="F9" s="1">
        <f>Data[[#This Row],[Incremento Ingreso mensual VEF]]</f>
        <v>0</v>
      </c>
      <c r="G9" s="1">
        <f>Data[[#This Row],[Inflacion BCV]]</f>
        <v>0.34600000000000003</v>
      </c>
      <c r="H9" s="1">
        <f>Data[[#This Row],[Inflación acumulada BCV]]</f>
        <v>30.396496734196443</v>
      </c>
      <c r="I9" s="1">
        <f>Data[[#This Row],[ Inflación OVF]]</f>
        <v>0.65200000000000002</v>
      </c>
      <c r="J9" s="1">
        <f>Data[[#This Row],[ Inflación Acumulada OVF]]</f>
        <v>26.741202575967502</v>
      </c>
      <c r="K9" s="1">
        <f>Data[[#This Row],[ Deevaluación BCV]]</f>
        <v>0.22828466685779714</v>
      </c>
      <c r="L9" s="1">
        <f>Data[[#This Row],[ Devaluación acumulada BCV]]</f>
        <v>4.8725856300366299</v>
      </c>
      <c r="M9" s="1">
        <f>Data[[#This Row],[Depreciación EP]]</f>
        <v>0.65224408833123637</v>
      </c>
      <c r="N9" s="1">
        <f>Data[[#This Row],[Devaluación Acumulada EP]]</f>
        <v>5.7675223637842263</v>
      </c>
      <c r="O9" s="9">
        <f>Data[[#This Row],[Tasa bcv]]</f>
        <v>7.6343613190476192E-3</v>
      </c>
      <c r="P9" s="9">
        <f>Data[[#This Row],[Tasa Enparalelo]]</f>
        <v>1.6106703225806457E-2</v>
      </c>
    </row>
    <row r="10" spans="1:16" customFormat="1" hidden="1" x14ac:dyDescent="0.25">
      <c r="A10">
        <f>Data[[#This Row],[Año]]</f>
        <v>2019</v>
      </c>
      <c r="B10" s="21" t="str">
        <f>Data[[#This Row],[Mes]]</f>
        <v>SEPTIEMBRE</v>
      </c>
      <c r="C10" s="1">
        <f>Data[[#This Row],[ Incremento salario ]]</f>
        <v>0.34</v>
      </c>
      <c r="D10" s="1">
        <f>Data[[#This Row],[ Incremento Acumulado]]</f>
        <v>63.2278180257521</v>
      </c>
      <c r="E10" s="1">
        <f>Data[[#This Row],[Incremento Ingreso mensual VEF]]</f>
        <v>0</v>
      </c>
      <c r="F10" s="1">
        <f>Data[[#This Row],[Incremento Ingreso mensual VEF]]</f>
        <v>0</v>
      </c>
      <c r="G10" s="1">
        <f>Data[[#This Row],[Inflacion BCV]]</f>
        <v>0.52200000000000002</v>
      </c>
      <c r="H10" s="1">
        <f>Data[[#This Row],[Inflación acumulada BCV]]</f>
        <v>46.785468029446989</v>
      </c>
      <c r="I10" s="1">
        <f>Data[[#This Row],[ Inflación OVF]]</f>
        <v>0.23499999999999999</v>
      </c>
      <c r="J10" s="1">
        <f>Data[[#This Row],[ Inflación Acumulada OVF]]</f>
        <v>33.260385181319862</v>
      </c>
      <c r="K10" s="1">
        <f>Data[[#This Row],[ Deevaluación BCV]]</f>
        <v>0.93200986208115721</v>
      </c>
      <c r="L10" s="1">
        <f>Data[[#This Row],[ Devaluación acumulada BCV]]</f>
        <v>10.345893353146856</v>
      </c>
      <c r="M10" s="1">
        <f>Data[[#This Row],[Depreciación EP]]</f>
        <v>0.31776745593265954</v>
      </c>
      <c r="N10" s="1">
        <f>Data[[#This Row],[Devaluación Acumulada EP]]</f>
        <v>7.9180207282913191</v>
      </c>
      <c r="O10" s="9">
        <f>Data[[#This Row],[Tasa bcv]]</f>
        <v>1.4749661359090912E-2</v>
      </c>
      <c r="P10" s="9">
        <f>Data[[#This Row],[Tasa Enparalelo]]</f>
        <v>2.1224889333333337E-2</v>
      </c>
    </row>
    <row r="11" spans="1:16" customFormat="1" hidden="1" x14ac:dyDescent="0.25">
      <c r="A11">
        <f>Data[[#This Row],[Año]]</f>
        <v>2019</v>
      </c>
      <c r="B11" s="21" t="str">
        <f>Data[[#This Row],[Mes]]</f>
        <v>OCTUBRE</v>
      </c>
      <c r="C11" s="1">
        <f>Data[[#This Row],[ Incremento salario ]]</f>
        <v>0.46</v>
      </c>
      <c r="D11" s="1">
        <f>Data[[#This Row],[ Incremento Acumulado]]</f>
        <v>92.77261431759807</v>
      </c>
      <c r="E11" s="1">
        <f>Data[[#This Row],[Incremento Ingreso mensual VEF]]</f>
        <v>0</v>
      </c>
      <c r="F11" s="1">
        <f>Data[[#This Row],[Incremento Ingreso mensual VEF]]</f>
        <v>0</v>
      </c>
      <c r="G11" s="1">
        <f>Data[[#This Row],[Inflacion BCV]]</f>
        <v>0.22600000000000001</v>
      </c>
      <c r="H11" s="1">
        <f>Data[[#This Row],[Inflación acumulada BCV]]</f>
        <v>57.584983804102009</v>
      </c>
      <c r="I11" s="1">
        <f>Data[[#This Row],[ Inflación OVF]]</f>
        <v>0.20699999999999999</v>
      </c>
      <c r="J11" s="1">
        <f>Data[[#This Row],[ Inflación Acumulada OVF]]</f>
        <v>40.352284913853076</v>
      </c>
      <c r="K11" s="1">
        <f>Data[[#This Row],[ Deevaluación BCV]]</f>
        <v>0.43072754324582396</v>
      </c>
      <c r="L11" s="1">
        <f>Data[[#This Row],[ Devaluación acumulada BCV]]</f>
        <v>15.232882123076926</v>
      </c>
      <c r="M11" s="1">
        <f>Data[[#This Row],[Depreciación EP]]</f>
        <v>-3.7529888044180115E-2</v>
      </c>
      <c r="N11" s="1">
        <f>Data[[#This Row],[Devaluación Acumulada EP]]</f>
        <v>7.5833284087828687</v>
      </c>
      <c r="O11" s="9">
        <f>Data[[#This Row],[Tasa bcv]]</f>
        <v>2.1102746760000003E-2</v>
      </c>
      <c r="P11" s="9">
        <f>Data[[#This Row],[Tasa Enparalelo]]</f>
        <v>2.0428321612903224E-2</v>
      </c>
    </row>
    <row r="12" spans="1:16" customFormat="1" hidden="1" x14ac:dyDescent="0.25">
      <c r="A12">
        <f>Data[[#This Row],[Año]]</f>
        <v>2019</v>
      </c>
      <c r="B12" s="21" t="str">
        <f>Data[[#This Row],[Mes]]</f>
        <v>NOVIEMBRE</v>
      </c>
      <c r="C12" s="1">
        <f>Data[[#This Row],[ Incremento salario ]]</f>
        <v>0.24</v>
      </c>
      <c r="D12" s="1">
        <f>Data[[#This Row],[ Incremento Acumulado]]</f>
        <v>115.27804175382161</v>
      </c>
      <c r="E12" s="1">
        <f>Data[[#This Row],[Incremento Ingreso mensual VEF]]</f>
        <v>0</v>
      </c>
      <c r="F12" s="1">
        <f>Data[[#This Row],[Incremento Ingreso mensual VEF]]</f>
        <v>0</v>
      </c>
      <c r="G12" s="1">
        <f>Data[[#This Row],[Inflacion BCV]]</f>
        <v>0.25700000000000001</v>
      </c>
      <c r="H12" s="1">
        <f>Data[[#This Row],[Inflación acumulada BCV]]</f>
        <v>72.641324641756228</v>
      </c>
      <c r="I12" s="1">
        <f>Data[[#This Row],[ Inflación OVF]]</f>
        <v>0.35</v>
      </c>
      <c r="J12" s="1">
        <f>Data[[#This Row],[ Inflación Acumulada OVF]]</f>
        <v>54.825584633701659</v>
      </c>
      <c r="K12" s="1">
        <f>Data[[#This Row],[ Deevaluación BCV]]</f>
        <v>-4.0982572813292761E-2</v>
      </c>
      <c r="L12" s="1">
        <f>Data[[#This Row],[ Devaluación acumulada BCV]]</f>
        <v>14.567616849498329</v>
      </c>
      <c r="M12" s="1">
        <f>Data[[#This Row],[Depreciación EP]]</f>
        <v>0.498076587652865</v>
      </c>
      <c r="N12" s="1">
        <f>Data[[#This Row],[Devaluación Acumulada EP]]</f>
        <v>11.858483333333336</v>
      </c>
      <c r="O12" s="9">
        <f>Data[[#This Row],[Tasa bcv]]</f>
        <v>2.0237901904347825E-2</v>
      </c>
      <c r="P12" s="9">
        <f>Data[[#This Row],[Tasa Enparalelo]]</f>
        <v>3.0603190333333332E-2</v>
      </c>
    </row>
    <row r="13" spans="1:16" customFormat="1" hidden="1" x14ac:dyDescent="0.25">
      <c r="A13">
        <f>Data[[#This Row],[Año]]</f>
        <v>2019</v>
      </c>
      <c r="B13" s="21" t="str">
        <f>Data[[#This Row],[Mes]]</f>
        <v>DICIEMBRE</v>
      </c>
      <c r="C13" s="1">
        <f>Data[[#This Row],[ Incremento salario ]]</f>
        <v>0.22</v>
      </c>
      <c r="D13" s="1">
        <f>Data[[#This Row],[ Incremento Acumulado]]</f>
        <v>140.85921093966238</v>
      </c>
      <c r="E13" s="1">
        <f>Data[[#This Row],[Incremento Ingreso mensual VEF]]</f>
        <v>0</v>
      </c>
      <c r="F13" s="1">
        <f>Data[[#This Row],[Incremento Ingreso mensual VEF]]</f>
        <v>0</v>
      </c>
      <c r="G13" s="1">
        <f>Data[[#This Row],[Inflacion BCV]]</f>
        <v>0.315</v>
      </c>
      <c r="H13" s="1">
        <f>Data[[#This Row],[Inflación acumulada BCV]]</f>
        <v>95.838341903909438</v>
      </c>
      <c r="I13" s="1">
        <f>Data[[#This Row],[ Inflación OVF]]</f>
        <v>0.33100000000000002</v>
      </c>
      <c r="J13" s="1">
        <f>Data[[#This Row],[ Inflación Acumulada OVF]]</f>
        <v>73.303853147456906</v>
      </c>
      <c r="K13" s="1">
        <f>Data[[#This Row],[ Deevaluación BCV]]</f>
        <v>0.50775407410506279</v>
      </c>
      <c r="L13" s="1">
        <f>Data[[#This Row],[ Devaluación acumulada BCV]]</f>
        <v>22.472137728937728</v>
      </c>
      <c r="M13" s="1">
        <f>Data[[#This Row],[Depreciación EP]]</f>
        <v>0.52463110212501518</v>
      </c>
      <c r="N13" s="1">
        <f>Data[[#This Row],[Devaluación Acumulada EP]]</f>
        <v>18.604443616156143</v>
      </c>
      <c r="O13" s="9">
        <f>Data[[#This Row],[Tasa bcv]]</f>
        <v>3.0513779047619042E-2</v>
      </c>
      <c r="P13" s="9">
        <f>Data[[#This Row],[Tasa Enparalelo]]</f>
        <v>4.6658575806451608E-2</v>
      </c>
    </row>
    <row r="14" spans="1:16" customFormat="1" hidden="1" x14ac:dyDescent="0.25">
      <c r="A14">
        <f>Data[[#This Row],[Año]]</f>
        <v>2020</v>
      </c>
      <c r="B14" s="21" t="str">
        <f>Data[[#This Row],[Mes]]</f>
        <v>ENERO</v>
      </c>
      <c r="C14" s="1">
        <f>Data[[#This Row],[ Incremento salario ]]</f>
        <v>0.57100294117647099</v>
      </c>
      <c r="D14" s="1">
        <f>Data[[#This Row],[ Incremento Acumulado]]</f>
        <v>0.57100294117647099</v>
      </c>
      <c r="E14" s="1">
        <f>Data[[#This Row],[Incremento Ingreso mensual VEF]]</f>
        <v>0</v>
      </c>
      <c r="F14" s="1">
        <f>Data[[#This Row],[Incremento Ingreso mensual VEF]]</f>
        <v>0</v>
      </c>
      <c r="G14" s="1">
        <f>Data[[#This Row],[Inflacion BCV]]</f>
        <v>0.62</v>
      </c>
      <c r="H14" s="1">
        <f>Data[[#This Row],[Inflación acumulada BCV]]</f>
        <v>0.62</v>
      </c>
      <c r="I14" s="1">
        <f>Data[[#This Row],[ Inflación OVF]]</f>
        <v>0.65400000000000003</v>
      </c>
      <c r="J14" s="1">
        <f>Data[[#This Row],[ Inflación Acumulada OVF]]</f>
        <v>0.65400000000000003</v>
      </c>
      <c r="K14" s="1">
        <f>Data[[#This Row],[ Deevaluación BCV]]</f>
        <v>0.45958910662936159</v>
      </c>
      <c r="L14" s="1">
        <f>Data[[#This Row],[ Devaluación acumulada BCV]]</f>
        <v>0.45958910662936159</v>
      </c>
      <c r="M14" s="1">
        <f>Data[[#This Row],[Depreciación EP]]</f>
        <v>0.58206880130634642</v>
      </c>
      <c r="N14" s="1">
        <f>Data[[#This Row],[Devaluación Acumulada EP]]</f>
        <v>0.58206880130634642</v>
      </c>
      <c r="O14" s="9">
        <f>Data[[#This Row],[Tasa bcv]]</f>
        <v>4.4537579500000007E-2</v>
      </c>
      <c r="P14" s="9">
        <f>Data[[#This Row],[Tasa Enparalelo]]</f>
        <v>7.3817077096774195E-2</v>
      </c>
    </row>
    <row r="15" spans="1:16" customFormat="1" hidden="1" x14ac:dyDescent="0.25">
      <c r="A15">
        <f>Data[[#This Row],[Año]]</f>
        <v>2020</v>
      </c>
      <c r="B15" s="21" t="str">
        <f>Data[[#This Row],[Mes]]</f>
        <v>FEBRERO</v>
      </c>
      <c r="C15" s="1">
        <f>Data[[#This Row],[ Incremento salario ]]</f>
        <v>0.33</v>
      </c>
      <c r="D15" s="1">
        <f>Data[[#This Row],[ Incremento Acumulado]]</f>
        <v>1.0894339117647065</v>
      </c>
      <c r="E15" s="1">
        <f>Data[[#This Row],[Incremento Ingreso mensual VEF]]</f>
        <v>0</v>
      </c>
      <c r="F15" s="1">
        <f>Data[[#This Row],[Incremento Ingreso mensual VEF]]</f>
        <v>0</v>
      </c>
      <c r="G15" s="1">
        <f>Data[[#This Row],[Inflacion BCV]]</f>
        <v>0.22</v>
      </c>
      <c r="H15" s="1">
        <f>Data[[#This Row],[Inflación acumulada BCV]]</f>
        <v>0.97640000000000016</v>
      </c>
      <c r="I15" s="1">
        <f>Data[[#This Row],[ Inflación OVF]]</f>
        <v>0.22399999999999998</v>
      </c>
      <c r="J15" s="1">
        <f>Data[[#This Row],[ Inflación Acumulada OVF]]</f>
        <v>1.0244960000000001</v>
      </c>
      <c r="K15" s="1">
        <f>Data[[#This Row],[ Deevaluación BCV]]</f>
        <v>0.48450827156386711</v>
      </c>
      <c r="L15" s="1">
        <f>Data[[#This Row],[ Devaluación acumulada BCV]]</f>
        <v>1.1667721018758024</v>
      </c>
      <c r="M15" s="1">
        <f>Data[[#This Row],[Depreciación EP]]</f>
        <v>1.5352224662268599E-2</v>
      </c>
      <c r="N15" s="1">
        <f>Data[[#This Row],[Devaluación Acumulada EP]]</f>
        <v>0.60635707697516739</v>
      </c>
      <c r="O15" s="9">
        <f>Data[[#This Row],[Tasa bcv]]</f>
        <v>6.6116405163183331E-2</v>
      </c>
      <c r="P15" s="9">
        <f>Data[[#This Row],[Tasa Enparalelo]]</f>
        <v>7.4950333448275869E-2</v>
      </c>
    </row>
    <row r="16" spans="1:16" customFormat="1" hidden="1" x14ac:dyDescent="0.25">
      <c r="A16">
        <f>Data[[#This Row],[Año]]</f>
        <v>2020</v>
      </c>
      <c r="B16" s="21" t="str">
        <f>Data[[#This Row],[Mes]]</f>
        <v>MARZO</v>
      </c>
      <c r="C16" s="1">
        <f>Data[[#This Row],[ Incremento salario ]]</f>
        <v>0.14000000000000001</v>
      </c>
      <c r="D16" s="1">
        <f>Data[[#This Row],[ Incremento Acumulado]]</f>
        <v>1.3819546594117655</v>
      </c>
      <c r="E16" s="1">
        <f>Data[[#This Row],[Incremento Ingreso mensual VEF]]</f>
        <v>0</v>
      </c>
      <c r="F16" s="1">
        <f>Data[[#This Row],[Incremento Ingreso mensual VEF]]</f>
        <v>0</v>
      </c>
      <c r="G16" s="1">
        <f>Data[[#This Row],[Inflacion BCV]]</f>
        <v>0.13</v>
      </c>
      <c r="H16" s="1">
        <f>Data[[#This Row],[Inflación acumulada BCV]]</f>
        <v>1.2333319999999999</v>
      </c>
      <c r="I16" s="1">
        <f>Data[[#This Row],[ Inflación OVF]]</f>
        <v>0.21199999999999999</v>
      </c>
      <c r="J16" s="1">
        <f>Data[[#This Row],[ Inflación Acumulada OVF]]</f>
        <v>1.4536891519999999</v>
      </c>
      <c r="K16" s="1">
        <f>Data[[#This Row],[ Deevaluación BCV]]</f>
        <v>0.11229624240201352</v>
      </c>
      <c r="L16" s="1">
        <f>Data[[#This Row],[ Devaluación acumulada BCV]]</f>
        <v>1.410092467057968</v>
      </c>
      <c r="M16" s="1">
        <f>Data[[#This Row],[Depreciación EP]]</f>
        <v>3.1847220255235786E-2</v>
      </c>
      <c r="N16" s="1">
        <f>Data[[#This Row],[Devaluación Acumulada EP]]</f>
        <v>0.6575150846141522</v>
      </c>
      <c r="O16" s="9">
        <f>Data[[#This Row],[Tasa bcv]]</f>
        <v>7.3541029024137908E-2</v>
      </c>
      <c r="P16" s="9">
        <f>Data[[#This Row],[Tasa Enparalelo]]</f>
        <v>7.7337293225806472E-2</v>
      </c>
    </row>
    <row r="17" spans="1:16" customFormat="1" hidden="1" x14ac:dyDescent="0.25">
      <c r="A17">
        <f>Data[[#This Row],[Año]]</f>
        <v>2020</v>
      </c>
      <c r="B17" s="21" t="str">
        <f>Data[[#This Row],[Mes]]</f>
        <v>ABRIL</v>
      </c>
      <c r="C17" s="1">
        <f>Data[[#This Row],[ Incremento salario ]]</f>
        <v>0.18</v>
      </c>
      <c r="D17" s="1">
        <f>Data[[#This Row],[ Incremento Acumulado]]</f>
        <v>1.8107064981058834</v>
      </c>
      <c r="E17" s="1">
        <f>Data[[#This Row],[Incremento Ingreso mensual VEF]]</f>
        <v>0</v>
      </c>
      <c r="F17" s="1">
        <f>Data[[#This Row],[Incremento Ingreso mensual VEF]]</f>
        <v>0</v>
      </c>
      <c r="G17" s="1">
        <f>Data[[#This Row],[Inflacion BCV]]</f>
        <v>0.28000000000000003</v>
      </c>
      <c r="H17" s="1">
        <f>Data[[#This Row],[Inflación acumulada BCV]]</f>
        <v>1.85866496</v>
      </c>
      <c r="I17" s="1">
        <f>Data[[#This Row],[ Inflación OVF]]</f>
        <v>0.8</v>
      </c>
      <c r="J17" s="1">
        <f>Data[[#This Row],[ Inflación Acumulada OVF]]</f>
        <v>3.4166404736000002</v>
      </c>
      <c r="K17" s="1">
        <f>Data[[#This Row],[ Deevaluación BCV]]</f>
        <v>1.1723910438332652E-4</v>
      </c>
      <c r="L17" s="1">
        <f>Data[[#This Row],[ Devaluación acumulada BCV]]</f>
        <v>1.4103750241402868</v>
      </c>
      <c r="M17" s="1">
        <f>Data[[#This Row],[Depreciación EP]]</f>
        <v>0.79341176658074453</v>
      </c>
      <c r="N17" s="1">
        <f>Data[[#This Row],[Devaluación Acumulada EP]]</f>
        <v>1.972607056032099</v>
      </c>
      <c r="O17" s="9">
        <f>Data[[#This Row],[Tasa bcv]]</f>
        <v>7.3549650908516132E-2</v>
      </c>
      <c r="P17" s="9">
        <f>Data[[#This Row],[Tasa Enparalelo]]</f>
        <v>0.13869761166666664</v>
      </c>
    </row>
    <row r="18" spans="1:16" customFormat="1" hidden="1" x14ac:dyDescent="0.25">
      <c r="A18">
        <f>Data[[#This Row],[Año]]</f>
        <v>2020</v>
      </c>
      <c r="B18" s="21" t="str">
        <f>Data[[#This Row],[Mes]]</f>
        <v>MAYO</v>
      </c>
      <c r="C18" s="1">
        <f>Data[[#This Row],[ Incremento salario ]]</f>
        <v>0.31</v>
      </c>
      <c r="D18" s="1">
        <f>Data[[#This Row],[ Incremento Acumulado]]</f>
        <v>2.6820255125187074</v>
      </c>
      <c r="E18" s="1">
        <f>Data[[#This Row],[Incremento Ingreso mensual VEF]]</f>
        <v>0</v>
      </c>
      <c r="F18" s="1">
        <f>Data[[#This Row],[Incremento Ingreso mensual VEF]]</f>
        <v>0</v>
      </c>
      <c r="G18" s="1">
        <f>Data[[#This Row],[Inflacion BCV]]</f>
        <v>0.39</v>
      </c>
      <c r="H18" s="1">
        <f>Data[[#This Row],[Inflación acumulada BCV]]</f>
        <v>2.9735442944000003</v>
      </c>
      <c r="I18" s="1">
        <f>Data[[#This Row],[ Inflación OVF]]</f>
        <v>0.153</v>
      </c>
      <c r="J18" s="1">
        <f>Data[[#This Row],[ Inflación Acumulada OVF]]</f>
        <v>4.0923864660608</v>
      </c>
      <c r="K18" s="1">
        <f>Data[[#This Row],[ Deevaluación BCV]]</f>
        <v>0.64768220084057737</v>
      </c>
      <c r="L18" s="1">
        <f>Data[[#This Row],[ Devaluación acumulada BCV]]</f>
        <v>2.9715320246266277</v>
      </c>
      <c r="M18" s="1">
        <f>Data[[#This Row],[Depreciación EP]]</f>
        <v>0.34583501718296961</v>
      </c>
      <c r="N18" s="1">
        <f>Data[[#This Row],[Devaluación Acumulada EP]]</f>
        <v>3.0006386683331767</v>
      </c>
      <c r="O18" s="9">
        <f>Data[[#This Row],[Tasa bcv]]</f>
        <v>0.12118645068000003</v>
      </c>
      <c r="P18" s="9">
        <f>Data[[#This Row],[Tasa Enparalelo]]</f>
        <v>0.18666410258064514</v>
      </c>
    </row>
    <row r="19" spans="1:16" customFormat="1" hidden="1" x14ac:dyDescent="0.25">
      <c r="A19">
        <f>Data[[#This Row],[Año]]</f>
        <v>2020</v>
      </c>
      <c r="B19" s="21" t="str">
        <f>Data[[#This Row],[Mes]]</f>
        <v>JUNIO</v>
      </c>
      <c r="C19" s="1">
        <f>Data[[#This Row],[ Incremento salario ]]</f>
        <v>0.2</v>
      </c>
      <c r="D19" s="1">
        <f>Data[[#This Row],[ Incremento Acumulado]]</f>
        <v>3.4184306150224488</v>
      </c>
      <c r="E19" s="1">
        <f>Data[[#This Row],[Incremento Ingreso mensual VEF]]</f>
        <v>0</v>
      </c>
      <c r="F19" s="1">
        <f>Data[[#This Row],[Incremento Ingreso mensual VEF]]</f>
        <v>0</v>
      </c>
      <c r="G19" s="1">
        <f>Data[[#This Row],[Inflacion BCV]]</f>
        <v>0.25</v>
      </c>
      <c r="H19" s="1">
        <f>Data[[#This Row],[Inflación acumulada BCV]]</f>
        <v>3.9669303680000008</v>
      </c>
      <c r="I19" s="1">
        <f>Data[[#This Row],[ Inflación OVF]]</f>
        <v>0.19500000000000001</v>
      </c>
      <c r="J19" s="1">
        <f>Data[[#This Row],[ Inflación Acumulada OVF]]</f>
        <v>5.0854018269426566</v>
      </c>
      <c r="K19" s="1">
        <f>Data[[#This Row],[ Deevaluación BCV]]</f>
        <v>0.50216972922096748</v>
      </c>
      <c r="L19" s="1">
        <f>Data[[#This Row],[ Devaluación acumulada BCV]]</f>
        <v>4.9659151860257822</v>
      </c>
      <c r="M19" s="1">
        <f>Data[[#This Row],[Depreciación EP]]</f>
        <v>8.5639212530335573E-2</v>
      </c>
      <c r="N19" s="1">
        <f>Data[[#This Row],[Devaluación Acumulada EP]]</f>
        <v>3.3432502135076403</v>
      </c>
      <c r="O19" s="9">
        <f>Data[[#This Row],[Tasa bcv]]</f>
        <v>0.18204261780322578</v>
      </c>
      <c r="P19" s="9">
        <f>Data[[#This Row],[Tasa Enparalelo]]</f>
        <v>0.20264986933333337</v>
      </c>
    </row>
    <row r="20" spans="1:16" customFormat="1" hidden="1" x14ac:dyDescent="0.25">
      <c r="A20">
        <f>Data[[#This Row],[Año]]</f>
        <v>2020</v>
      </c>
      <c r="B20" s="21" t="str">
        <f>Data[[#This Row],[Mes]]</f>
        <v>JULIO</v>
      </c>
      <c r="C20" s="1">
        <f>Data[[#This Row],[ Incremento salario ]]</f>
        <v>0.26</v>
      </c>
      <c r="D20" s="1">
        <f>Data[[#This Row],[ Incremento Acumulado]]</f>
        <v>4.5672225749282855</v>
      </c>
      <c r="E20" s="1">
        <f>Data[[#This Row],[Incremento Ingreso mensual VEF]]</f>
        <v>0</v>
      </c>
      <c r="F20" s="1">
        <f>Data[[#This Row],[Incremento Ingreso mensual VEF]]</f>
        <v>0</v>
      </c>
      <c r="G20" s="1">
        <f>Data[[#This Row],[Inflacion BCV]]</f>
        <v>0.2</v>
      </c>
      <c r="H20" s="1">
        <f>Data[[#This Row],[Inflación acumulada BCV]]</f>
        <v>4.9603164416000007</v>
      </c>
      <c r="I20" s="1">
        <f>Data[[#This Row],[ Inflación OVF]]</f>
        <v>0.55049999999999999</v>
      </c>
      <c r="J20" s="1">
        <f>Data[[#This Row],[ Inflación Acumulada OVF]]</f>
        <v>8.4354155326745897</v>
      </c>
      <c r="K20" s="1">
        <f>Data[[#This Row],[ Deevaluación BCV]]</f>
        <v>0.10450034206094805</v>
      </c>
      <c r="L20" s="1">
        <f>Data[[#This Row],[ Devaluación acumulada BCV]]</f>
        <v>5.5893553636720812</v>
      </c>
      <c r="M20" s="1">
        <f>Data[[#This Row],[Depreciación EP]]</f>
        <v>0.1703100611312931</v>
      </c>
      <c r="N20" s="1">
        <f>Data[[#This Row],[Devaluación Acumulada EP]]</f>
        <v>4.0829494228786283</v>
      </c>
      <c r="O20" s="9">
        <f>Data[[#This Row],[Tasa bcv]]</f>
        <v>0.20106613363333331</v>
      </c>
      <c r="P20" s="9">
        <f>Data[[#This Row],[Tasa Enparalelo]]</f>
        <v>0.23716318096774194</v>
      </c>
    </row>
    <row r="21" spans="1:16" customFormat="1" hidden="1" x14ac:dyDescent="0.25">
      <c r="A21">
        <f>Data[[#This Row],[Año]]</f>
        <v>2020</v>
      </c>
      <c r="B21" s="21" t="str">
        <f>Data[[#This Row],[Mes]]</f>
        <v>AGOSTO</v>
      </c>
      <c r="C21" s="1">
        <f>Data[[#This Row],[ Incremento salario ]]</f>
        <v>0.21</v>
      </c>
      <c r="D21" s="1">
        <f>Data[[#This Row],[ Incremento Acumulado]]</f>
        <v>5.7363393156632254</v>
      </c>
      <c r="E21" s="1">
        <f>Data[[#This Row],[Incremento Ingreso mensual VEF]]</f>
        <v>0</v>
      </c>
      <c r="F21" s="1">
        <f>Data[[#This Row],[Incremento Ingreso mensual VEF]]</f>
        <v>0</v>
      </c>
      <c r="G21" s="1">
        <f>Data[[#This Row],[Inflacion BCV]]</f>
        <v>0.25</v>
      </c>
      <c r="H21" s="1">
        <f>Data[[#This Row],[Inflación acumulada BCV]]</f>
        <v>6.4503955520000007</v>
      </c>
      <c r="I21" s="1">
        <f>Data[[#This Row],[ Inflación OVF]]</f>
        <v>0.25040000000000001</v>
      </c>
      <c r="J21" s="1">
        <f>Data[[#This Row],[ Inflación Acumulada OVF]]</f>
        <v>10.798043582056307</v>
      </c>
      <c r="K21" s="1">
        <f>Data[[#This Row],[ Deevaluación BCV]]</f>
        <v>0.11168189955753727</v>
      </c>
      <c r="L21" s="1">
        <f>Data[[#This Row],[ Devaluación acumulada BCV]]</f>
        <v>6.3252670875466261</v>
      </c>
      <c r="M21" s="1">
        <f>Data[[#This Row],[Depreciación EP]]</f>
        <v>0.26654723444866546</v>
      </c>
      <c r="N21" s="1">
        <f>Data[[#This Row],[Devaluación Acumulada EP]]</f>
        <v>5.4377955343893669</v>
      </c>
      <c r="O21" s="9">
        <f>Data[[#This Row],[Tasa bcv]]</f>
        <v>0.22352158137419359</v>
      </c>
      <c r="P21" s="9">
        <f>Data[[#This Row],[Tasa Enparalelo]]</f>
        <v>0.30037837096774195</v>
      </c>
    </row>
    <row r="22" spans="1:16" customFormat="1" hidden="1" x14ac:dyDescent="0.25">
      <c r="A22">
        <f>Data[[#This Row],[Año]]</f>
        <v>2020</v>
      </c>
      <c r="B22" s="21" t="str">
        <f>Data[[#This Row],[Mes]]</f>
        <v>SEPTIEMBRE</v>
      </c>
      <c r="C22" s="1">
        <f>Data[[#This Row],[ Incremento salario ]]</f>
        <v>0.56999999999999995</v>
      </c>
      <c r="D22" s="1">
        <f>Data[[#This Row],[ Incremento Acumulado]]</f>
        <v>9.5760527255912624</v>
      </c>
      <c r="E22" s="1">
        <f>Data[[#This Row],[Incremento Ingreso mensual VEF]]</f>
        <v>0</v>
      </c>
      <c r="F22" s="1">
        <f>Data[[#This Row],[Incremento Ingreso mensual VEF]]</f>
        <v>0</v>
      </c>
      <c r="G22" s="1">
        <f>Data[[#This Row],[Inflacion BCV]]</f>
        <v>0.28000000000000003</v>
      </c>
      <c r="H22" s="1">
        <f>Data[[#This Row],[Inflación acumulada BCV]]</f>
        <v>8.5365063065600015</v>
      </c>
      <c r="I22" s="1">
        <f>Data[[#This Row],[ Inflación OVF]]</f>
        <v>0.3004</v>
      </c>
      <c r="J22" s="1">
        <f>Data[[#This Row],[ Inflación Acumulada OVF]]</f>
        <v>14.342175874106022</v>
      </c>
      <c r="K22" s="1">
        <f>Data[[#This Row],[ Deevaluación BCV]]</f>
        <v>0.29377602380035195</v>
      </c>
      <c r="L22" s="1">
        <f>Data[[#This Row],[ Devaluación acumulada BCV]]</f>
        <v>8.4772549258016578</v>
      </c>
      <c r="M22" s="1">
        <f>Data[[#This Row],[Depreciación EP]]</f>
        <v>0.27932703708084894</v>
      </c>
      <c r="N22" s="1">
        <f>Data[[#This Row],[Devaluación Acumulada EP]]</f>
        <v>7.2360458863426693</v>
      </c>
      <c r="O22" s="9">
        <f>Data[[#This Row],[Tasa bcv]]</f>
        <v>0.28918686278387101</v>
      </c>
      <c r="P22" s="9">
        <f>Data[[#This Row],[Tasa Enparalelo]]</f>
        <v>0.38428217133333342</v>
      </c>
    </row>
    <row r="23" spans="1:16" customFormat="1" hidden="1" x14ac:dyDescent="0.25">
      <c r="A23">
        <f>Data[[#This Row],[Año]]</f>
        <v>2020</v>
      </c>
      <c r="B23" s="21" t="str">
        <f>Data[[#This Row],[Mes]]</f>
        <v>OCTUBRE</v>
      </c>
      <c r="C23" s="1">
        <f>Data[[#This Row],[ Incremento salario ]]</f>
        <v>0.37</v>
      </c>
      <c r="D23" s="1">
        <f>Data[[#This Row],[ Incremento Acumulado]]</f>
        <v>13.489192234060031</v>
      </c>
      <c r="E23" s="1">
        <f>Data[[#This Row],[Incremento Ingreso mensual VEF]]</f>
        <v>0</v>
      </c>
      <c r="F23" s="1">
        <f>Data[[#This Row],[Incremento Ingreso mensual VEF]]</f>
        <v>0</v>
      </c>
      <c r="G23" s="1">
        <f>Data[[#This Row],[Inflacion BCV]]</f>
        <v>0.31</v>
      </c>
      <c r="H23" s="1">
        <f>Data[[#This Row],[Inflación acumulada BCV]]</f>
        <v>11.492823261593603</v>
      </c>
      <c r="I23" s="1">
        <f>Data[[#This Row],[ Inflación OVF]]</f>
        <v>0.23800000000000002</v>
      </c>
      <c r="J23" s="1">
        <f>Data[[#This Row],[ Inflación Acumulada OVF]]</f>
        <v>17.993613732143256</v>
      </c>
      <c r="K23" s="1">
        <f>Data[[#This Row],[ Deevaluación BCV]]</f>
        <v>0.27632571489200375</v>
      </c>
      <c r="L23" s="1">
        <f>Data[[#This Row],[ Devaluación acumulada BCV]]</f>
        <v>11.096064168387565</v>
      </c>
      <c r="M23" s="1">
        <f>Data[[#This Row],[Depreciación EP]]</f>
        <v>0.2030106494717534</v>
      </c>
      <c r="N23" s="1">
        <f>Data[[#This Row],[Devaluación Acumulada EP]]</f>
        <v>8.9080509108082584</v>
      </c>
      <c r="O23" s="9">
        <f>Data[[#This Row],[Tasa bcv]]</f>
        <v>0.36909662937999999</v>
      </c>
      <c r="P23" s="9">
        <f>Data[[#This Row],[Tasa Enparalelo]]</f>
        <v>0.46229554451612909</v>
      </c>
    </row>
    <row r="24" spans="1:16" customFormat="1" hidden="1" x14ac:dyDescent="0.25">
      <c r="A24">
        <f>Data[[#This Row],[Año]]</f>
        <v>2020</v>
      </c>
      <c r="B24" s="21" t="str">
        <f>Data[[#This Row],[Mes]]</f>
        <v>NOVIEMBRE</v>
      </c>
      <c r="C24" s="1">
        <f>Data[[#This Row],[ Incremento salario ]]</f>
        <v>0.49</v>
      </c>
      <c r="D24" s="1">
        <f>Data[[#This Row],[ Incremento Acumulado]]</f>
        <v>20.588896428749447</v>
      </c>
      <c r="E24" s="1">
        <f>Data[[#This Row],[Incremento Ingreso mensual VEF]]</f>
        <v>0</v>
      </c>
      <c r="F24" s="1">
        <f>Data[[#This Row],[Incremento Ingreso mensual VEF]]</f>
        <v>0</v>
      </c>
      <c r="G24" s="1">
        <f>Data[[#This Row],[Inflacion BCV]]</f>
        <v>0.4</v>
      </c>
      <c r="H24" s="1">
        <f>Data[[#This Row],[Inflación acumulada BCV]]</f>
        <v>16.489952566231043</v>
      </c>
      <c r="I24" s="1">
        <f>Data[[#This Row],[ Inflación OVF]]</f>
        <v>0.65700000000000003</v>
      </c>
      <c r="J24" s="1">
        <f>Data[[#This Row],[ Inflación Acumulada OVF]]</f>
        <v>30.472417954161376</v>
      </c>
      <c r="K24" s="1">
        <f>Data[[#This Row],[ Deevaluación BCV]]</f>
        <v>0.23324663459320538</v>
      </c>
      <c r="L24" s="1">
        <f>Data[[#This Row],[ Devaluación acumulada BCV]]</f>
        <v>13.917430427487425</v>
      </c>
      <c r="M24" s="1">
        <f>Data[[#This Row],[Depreciación EP]]</f>
        <v>0.60565129919994076</v>
      </c>
      <c r="N24" s="1">
        <f>Data[[#This Row],[Devaluación Acumulada EP]]</f>
        <v>14.908874817478436</v>
      </c>
      <c r="O24" s="9">
        <f>Data[[#This Row],[Tasa bcv]]</f>
        <v>0.45518717602258063</v>
      </c>
      <c r="P24" s="9">
        <f>Data[[#This Row],[Tasa Enparalelo]]</f>
        <v>0.74228544166666677</v>
      </c>
    </row>
    <row r="25" spans="1:16" customFormat="1" hidden="1" x14ac:dyDescent="0.25">
      <c r="A25">
        <f>Data[[#This Row],[Año]]</f>
        <v>2020</v>
      </c>
      <c r="B25" s="21" t="str">
        <f>Data[[#This Row],[Mes]]</f>
        <v>DICIEMBRE</v>
      </c>
      <c r="C25" s="1">
        <f>Data[[#This Row],[ Incremento salario ]]</f>
        <v>0.55000000000000004</v>
      </c>
      <c r="D25" s="1">
        <f>Data[[#This Row],[ Incremento Acumulado]]</f>
        <v>32.462789464561645</v>
      </c>
      <c r="E25" s="1">
        <f>Data[[#This Row],[Incremento Ingreso mensual VEF]]</f>
        <v>0</v>
      </c>
      <c r="F25" s="1">
        <f>Data[[#This Row],[Incremento Ingreso mensual VEF]]</f>
        <v>0</v>
      </c>
      <c r="G25" s="1">
        <f>Data[[#This Row],[Inflacion BCV]]</f>
        <v>0.78</v>
      </c>
      <c r="H25" s="1">
        <f>Data[[#This Row],[Inflación acumulada BCV]]</f>
        <v>30.132115567891258</v>
      </c>
      <c r="I25" s="1">
        <f>Data[[#This Row],[ Inflación OVF]]</f>
        <v>0.21199999999999999</v>
      </c>
      <c r="J25" s="1">
        <f>Data[[#This Row],[ Inflación Acumulada OVF]]</f>
        <v>37.144570560443583</v>
      </c>
      <c r="K25" s="1">
        <f>Data[[#This Row],[ Deevaluación BCV]]</f>
        <v>0.48398618870542154</v>
      </c>
      <c r="L25" s="1">
        <f>Data[[#This Row],[ Devaluación acumulada BCV]]</f>
        <v>21.137260725365351</v>
      </c>
      <c r="M25" s="1">
        <f>Data[[#This Row],[Depreciación EP]]</f>
        <v>0.40107826669060009</v>
      </c>
      <c r="N25" s="1">
        <f>Data[[#This Row],[Devaluación Acumulada EP]]</f>
        <v>21.289578754270423</v>
      </c>
      <c r="O25" s="9">
        <f>Data[[#This Row],[Tasa bcv]]</f>
        <v>0.67549148249333324</v>
      </c>
      <c r="P25" s="9">
        <f>Data[[#This Row],[Tasa Enparalelo]]</f>
        <v>1.04</v>
      </c>
    </row>
    <row r="26" spans="1:16" customFormat="1" hidden="1" x14ac:dyDescent="0.25">
      <c r="A26">
        <f>Data[[#This Row],[Año]]</f>
        <v>2021</v>
      </c>
      <c r="B26" s="21" t="str">
        <f>Data[[#This Row],[Mes]]</f>
        <v>ENERO</v>
      </c>
      <c r="C26" s="1">
        <f>Data[[#This Row],[ Incremento salario ]]</f>
        <v>0.6</v>
      </c>
      <c r="D26" s="1">
        <f>Data[[#This Row],[ Incremento Acumulado]]</f>
        <v>0.6</v>
      </c>
      <c r="E26" s="1">
        <f>Data[[#This Row],[Incremento Ingreso mensual VEF]]</f>
        <v>0</v>
      </c>
      <c r="F26" s="1">
        <f>Data[[#This Row],[Incremento Ingreso mensual VEF]]</f>
        <v>0</v>
      </c>
      <c r="G26" s="1">
        <f>Data[[#This Row],[Inflacion BCV]]</f>
        <v>0.46600000000000003</v>
      </c>
      <c r="H26" s="1">
        <f>Data[[#This Row],[Inflación acumulada BCV]]</f>
        <v>0.46600000000000003</v>
      </c>
      <c r="I26" s="1">
        <f>Data[[#This Row],[ Inflación OVF]]</f>
        <v>0.55100000000000005</v>
      </c>
      <c r="J26" s="1">
        <f>Data[[#This Row],[ Inflación Acumulada OVF]]</f>
        <v>0.55100000000000005</v>
      </c>
      <c r="K26" s="1">
        <f>Data[[#This Row],[ Deevaluación BCV]]</f>
        <v>1.2582739779744232</v>
      </c>
      <c r="L26" s="1">
        <f>Data[[#This Row],[ Devaluación acumulada BCV]]</f>
        <v>1.2582739779744232</v>
      </c>
      <c r="M26" s="1">
        <f>Data[[#This Row],[Depreciación EP]]</f>
        <v>0.49901074906947929</v>
      </c>
      <c r="N26" s="1">
        <f>Data[[#This Row],[Devaluación Acumulada EP]]</f>
        <v>0.49901074906947929</v>
      </c>
      <c r="O26" s="9">
        <f>Data[[#This Row],[Tasa bcv]]</f>
        <v>1.52544483725806</v>
      </c>
      <c r="P26" s="9">
        <f>Data[[#This Row],[Tasa Enparalelo]]</f>
        <v>1.5589711790322585</v>
      </c>
    </row>
    <row r="27" spans="1:16" customFormat="1" hidden="1" x14ac:dyDescent="0.25">
      <c r="A27">
        <f>Data[[#This Row],[Año]]</f>
        <v>2021</v>
      </c>
      <c r="B27" s="21" t="str">
        <f>Data[[#This Row],[Mes]]</f>
        <v>FEBRERO</v>
      </c>
      <c r="C27" s="1">
        <f>Data[[#This Row],[ Incremento salario ]]</f>
        <v>0.4</v>
      </c>
      <c r="D27" s="1">
        <f>Data[[#This Row],[ Incremento Acumulado]]</f>
        <v>1.2399999999999998</v>
      </c>
      <c r="E27" s="1">
        <f>Data[[#This Row],[Incremento Ingreso mensual VEF]]</f>
        <v>0</v>
      </c>
      <c r="F27" s="1">
        <f>Data[[#This Row],[Incremento Ingreso mensual VEF]]</f>
        <v>0</v>
      </c>
      <c r="G27" s="1">
        <f>Data[[#This Row],[Inflacion BCV]]</f>
        <v>0.33800000000000002</v>
      </c>
      <c r="H27" s="1">
        <f>Data[[#This Row],[Inflación acumulada BCV]]</f>
        <v>0.96150800000000003</v>
      </c>
      <c r="I27" s="1">
        <f>Data[[#This Row],[ Inflación OVF]]</f>
        <v>0.50900000000000001</v>
      </c>
      <c r="J27" s="1">
        <f>Data[[#This Row],[ Inflación Acumulada OVF]]</f>
        <v>1.3404590000000001</v>
      </c>
      <c r="K27" s="1">
        <f>Data[[#This Row],[ Deevaluación BCV]]</f>
        <v>0.17598009339138709</v>
      </c>
      <c r="L27" s="1">
        <f>Data[[#This Row],[ Devaluación acumulada BCV]]</f>
        <v>1.6556852435217015</v>
      </c>
      <c r="M27" s="1">
        <f>Data[[#This Row],[Depreciación EP]]</f>
        <v>0.14525461481024116</v>
      </c>
      <c r="N27" s="1">
        <f>Data[[#This Row],[Devaluación Acumulada EP]]</f>
        <v>0.71674897802197757</v>
      </c>
      <c r="O27" s="9">
        <f>Data[[#This Row],[Tasa bcv]]</f>
        <v>1.7938927621821428</v>
      </c>
      <c r="P27" s="9">
        <f>Data[[#This Row],[Tasa Enparalelo]]</f>
        <v>1.7854189371428568</v>
      </c>
    </row>
    <row r="28" spans="1:16" customFormat="1" hidden="1" x14ac:dyDescent="0.25">
      <c r="A28">
        <f>Data[[#This Row],[Año]]</f>
        <v>2021</v>
      </c>
      <c r="B28" s="21" t="str">
        <f>Data[[#This Row],[Mes]]</f>
        <v>MARZO</v>
      </c>
      <c r="C28" s="1">
        <f>Data[[#This Row],[ Incremento salario ]]</f>
        <v>0.24</v>
      </c>
      <c r="D28" s="1">
        <f>Data[[#This Row],[ Incremento Acumulado]]</f>
        <v>1.7775999999999996</v>
      </c>
      <c r="E28" s="1">
        <f>Data[[#This Row],[Incremento Ingreso mensual VEF]]</f>
        <v>0</v>
      </c>
      <c r="F28" s="1">
        <f>Data[[#This Row],[Incremento Ingreso mensual VEF]]</f>
        <v>0</v>
      </c>
      <c r="G28" s="1">
        <f>Data[[#This Row],[Inflacion BCV]]</f>
        <v>0.161</v>
      </c>
      <c r="H28" s="1">
        <f>Data[[#This Row],[Inflación acumulada BCV]]</f>
        <v>1.2773107880000003</v>
      </c>
      <c r="I28" s="1">
        <f>Data[[#This Row],[ Inflación OVF]]</f>
        <v>9.0999999999999998E-2</v>
      </c>
      <c r="J28" s="1">
        <f>Data[[#This Row],[ Inflación Acumulada OVF]]</f>
        <v>1.5534407689999998</v>
      </c>
      <c r="K28" s="1">
        <f>Data[[#This Row],[ Deevaluación BCV]]</f>
        <v>3.8730177170924529E-2</v>
      </c>
      <c r="L28" s="1">
        <f>Data[[#This Row],[ Devaluación acumulada BCV]]</f>
        <v>1.758540403513507</v>
      </c>
      <c r="M28" s="1">
        <f>Data[[#This Row],[Depreciación EP]]</f>
        <v>5.4044161638471477E-2</v>
      </c>
      <c r="N28" s="1">
        <f>Data[[#This Row],[Devaluación Acumulada EP]]</f>
        <v>0.80952923728287796</v>
      </c>
      <c r="O28" s="9">
        <f>Data[[#This Row],[Tasa bcv]]</f>
        <v>1.8633705466870965</v>
      </c>
      <c r="P28" s="9">
        <f>Data[[#This Row],[Tasa Enparalelo]]</f>
        <v>1.8819104067741932</v>
      </c>
    </row>
    <row r="29" spans="1:16" customFormat="1" hidden="1" x14ac:dyDescent="0.25">
      <c r="A29">
        <f>Data[[#This Row],[Año]]</f>
        <v>2021</v>
      </c>
      <c r="B29" s="21" t="str">
        <f>Data[[#This Row],[Mes]]</f>
        <v>ABRIL</v>
      </c>
      <c r="C29" s="1">
        <f>Data[[#This Row],[ Incremento salario ]]</f>
        <v>0.37</v>
      </c>
      <c r="D29" s="1">
        <f>Data[[#This Row],[ Incremento Acumulado]]</f>
        <v>2.8053119999999998</v>
      </c>
      <c r="E29" s="1">
        <f>Data[[#This Row],[Incremento Ingreso mensual VEF]]</f>
        <v>0</v>
      </c>
      <c r="F29" s="1">
        <f>Data[[#This Row],[Incremento Ingreso mensual VEF]]</f>
        <v>0</v>
      </c>
      <c r="G29" s="1">
        <f>Data[[#This Row],[Inflacion BCV]]</f>
        <v>0.246</v>
      </c>
      <c r="H29" s="1">
        <f>Data[[#This Row],[Inflación acumulada BCV]]</f>
        <v>1.8375292418480003</v>
      </c>
      <c r="I29" s="1">
        <f>Data[[#This Row],[ Inflación OVF]]</f>
        <v>0.33399999999999996</v>
      </c>
      <c r="J29" s="1">
        <f>Data[[#This Row],[ Inflación Acumulada OVF]]</f>
        <v>2.4062899858460001</v>
      </c>
      <c r="K29" s="1">
        <f>Data[[#This Row],[ Deevaluación BCV]]</f>
        <v>0.26964599416518675</v>
      </c>
      <c r="L29" s="1">
        <f>Data[[#This Row],[ Devaluación acumulada BCV]]</f>
        <v>2.5023697730637422</v>
      </c>
      <c r="M29" s="1">
        <f>Data[[#This Row],[Depreciación EP]]</f>
        <v>0.30555396660892686</v>
      </c>
      <c r="N29" s="1">
        <f>Data[[#This Row],[Devaluación Acumulada EP]]</f>
        <v>1.3624380734294874</v>
      </c>
      <c r="O29" s="9">
        <f>Data[[#This Row],[Tasa bcv]]</f>
        <v>2.3658209502466661</v>
      </c>
      <c r="P29" s="9">
        <f>Data[[#This Row],[Tasa Enparalelo]]</f>
        <v>2.4569355963666668</v>
      </c>
    </row>
    <row r="30" spans="1:16" customFormat="1" hidden="1" x14ac:dyDescent="0.25">
      <c r="A30">
        <f>Data[[#This Row],[Año]]</f>
        <v>2021</v>
      </c>
      <c r="B30" s="21" t="str">
        <f>Data[[#This Row],[Mes]]</f>
        <v>MAYO</v>
      </c>
      <c r="C30" s="1">
        <f>Data[[#This Row],[ Incremento salario ]]</f>
        <v>0.46</v>
      </c>
      <c r="D30" s="1">
        <f>Data[[#This Row],[ Incremento Acumulado]]</f>
        <v>4.5557555199999999</v>
      </c>
      <c r="E30" s="1">
        <f>Data[[#This Row],[Incremento Ingreso mensual VEF]]</f>
        <v>0</v>
      </c>
      <c r="F30" s="1">
        <f>Data[[#This Row],[Incremento Ingreso mensual VEF]]</f>
        <v>0</v>
      </c>
      <c r="G30" s="1">
        <f>Data[[#This Row],[Inflacion BCV]]</f>
        <v>0.28499999999999998</v>
      </c>
      <c r="H30" s="1">
        <f>Data[[#This Row],[Inflación acumulada BCV]]</f>
        <v>2.6462250757746801</v>
      </c>
      <c r="I30" s="1">
        <f>Data[[#This Row],[ Inflación OVF]]</f>
        <v>0.19600000000000001</v>
      </c>
      <c r="J30" s="1">
        <f>Data[[#This Row],[ Inflación Acumulada OVF]]</f>
        <v>3.0739228230718156</v>
      </c>
      <c r="K30" s="1">
        <f>Data[[#This Row],[ Deevaluación BCV]]</f>
        <v>0.24918447011027811</v>
      </c>
      <c r="L30" s="1">
        <f>Data[[#This Row],[ Devaluación acumulada BCV]]</f>
        <v>3.3751059290948859</v>
      </c>
      <c r="M30" s="1">
        <f>Data[[#This Row],[Depreciación EP]]</f>
        <v>0.20672785966910578</v>
      </c>
      <c r="N30" s="1">
        <f>Data[[#This Row],[Devaluación Acumulada EP]]</f>
        <v>1.850819839950371</v>
      </c>
      <c r="O30" s="9">
        <f>Data[[#This Row],[Tasa bcv]]</f>
        <v>2.9553467901096764</v>
      </c>
      <c r="P30" s="9">
        <f>Data[[#This Row],[Tasa Enparalelo]]</f>
        <v>2.9648526335483858</v>
      </c>
    </row>
    <row r="31" spans="1:16" customFormat="1" hidden="1" x14ac:dyDescent="0.25">
      <c r="A31">
        <f>Data[[#This Row],[Año]]</f>
        <v>2021</v>
      </c>
      <c r="B31" s="21" t="str">
        <f>Data[[#This Row],[Mes]]</f>
        <v>JUNIO</v>
      </c>
      <c r="C31" s="1">
        <f>Data[[#This Row],[ Incremento salario ]]</f>
        <v>0.13</v>
      </c>
      <c r="D31" s="1">
        <f>Data[[#This Row],[ Incremento Acumulado]]</f>
        <v>5.2780037375999997</v>
      </c>
      <c r="E31" s="1">
        <f>Data[[#This Row],[Incremento Ingreso mensual VEF]]</f>
        <v>0</v>
      </c>
      <c r="F31" s="1">
        <f>Data[[#This Row],[Incremento Ingreso mensual VEF]]</f>
        <v>0</v>
      </c>
      <c r="G31" s="1">
        <f>Data[[#This Row],[Inflacion BCV]]</f>
        <v>0.157</v>
      </c>
      <c r="H31" s="1">
        <f>Data[[#This Row],[Inflación acumulada BCV]]</f>
        <v>3.2186824126713054</v>
      </c>
      <c r="I31" s="1">
        <f>Data[[#This Row],[ Inflación OVF]]</f>
        <v>6.4000000000000001E-2</v>
      </c>
      <c r="J31" s="1">
        <f>Data[[#This Row],[ Inflación Acumulada OVF]]</f>
        <v>3.3346538837484117</v>
      </c>
      <c r="K31" s="1">
        <f>Data[[#This Row],[ Deevaluación BCV]]</f>
        <v>6.3446314050575214E-2</v>
      </c>
      <c r="L31" s="1">
        <f>Data[[#This Row],[ Devaluación acumulada BCV]]</f>
        <v>3.6526902738767735</v>
      </c>
      <c r="M31" s="1">
        <f>Data[[#This Row],[Depreciación EP]]</f>
        <v>6.0378612557672851E-2</v>
      </c>
      <c r="N31" s="1">
        <f>Data[[#This Row],[Devaluación Acumulada EP]]</f>
        <v>2.0229483865384612</v>
      </c>
      <c r="O31" s="9">
        <f>Data[[#This Row],[Tasa bcv]]</f>
        <v>3.1428526506833343</v>
      </c>
      <c r="P31" s="9">
        <f>Data[[#This Row],[Tasa Enparalelo]]</f>
        <v>3.143866322</v>
      </c>
    </row>
    <row r="32" spans="1:16" customFormat="1" hidden="1" x14ac:dyDescent="0.25">
      <c r="A32">
        <f>Data[[#This Row],[Año]]</f>
        <v>2021</v>
      </c>
      <c r="B32" s="21" t="str">
        <f>Data[[#This Row],[Mes]]</f>
        <v>JULIO</v>
      </c>
      <c r="C32" s="1">
        <f>Data[[#This Row],[ Incremento salario ]]</f>
        <v>0.25</v>
      </c>
      <c r="D32" s="1">
        <f>Data[[#This Row],[ Incremento Acumulado]]</f>
        <v>6.8475046719999995</v>
      </c>
      <c r="E32" s="1">
        <f>Data[[#This Row],[Incremento Ingreso mensual VEF]]</f>
        <v>0</v>
      </c>
      <c r="F32" s="1">
        <f>Data[[#This Row],[Incremento Ingreso mensual VEF]]</f>
        <v>0</v>
      </c>
      <c r="G32" s="1">
        <f>Data[[#This Row],[Inflacion BCV]]</f>
        <v>0.16700000000000001</v>
      </c>
      <c r="H32" s="1">
        <f>Data[[#This Row],[Inflación acumulada BCV]]</f>
        <v>3.9232023755874135</v>
      </c>
      <c r="I32" s="1">
        <f>Data[[#This Row],[ Inflación OVF]]</f>
        <v>0.19</v>
      </c>
      <c r="J32" s="1">
        <f>Data[[#This Row],[ Inflación Acumulada OVF]]</f>
        <v>4.1582381216606095</v>
      </c>
      <c r="K32" s="1">
        <f>Data[[#This Row],[ Deevaluación BCV]]</f>
        <v>0.12818623763310999</v>
      </c>
      <c r="L32" s="1">
        <f>Data[[#This Row],[ Devaluación acumulada BCV]]</f>
        <v>4.2491011349572014</v>
      </c>
      <c r="M32" s="1">
        <f>Data[[#This Row],[Depreciación EP]]</f>
        <v>0.15327973438375508</v>
      </c>
      <c r="N32" s="1">
        <f>Data[[#This Row],[Devaluación Acumulada EP]]</f>
        <v>2.4863051122828774</v>
      </c>
      <c r="O32" s="9">
        <f>Data[[#This Row],[Tasa bcv]]</f>
        <v>3.5457231074096778</v>
      </c>
      <c r="P32" s="9">
        <f>Data[[#This Row],[Tasa Enparalelo]]</f>
        <v>3.6257573167741928</v>
      </c>
    </row>
    <row r="33" spans="1:16" customFormat="1" hidden="1" x14ac:dyDescent="0.25">
      <c r="A33">
        <f>Data[[#This Row],[Año]]</f>
        <v>2021</v>
      </c>
      <c r="B33" s="21" t="str">
        <f>Data[[#This Row],[Mes]]</f>
        <v>AGOSTO</v>
      </c>
      <c r="C33" s="1">
        <f>Data[[#This Row],[ Incremento salario ]]</f>
        <v>0.2</v>
      </c>
      <c r="D33" s="1">
        <f>Data[[#This Row],[ Incremento Acumulado]]</f>
        <v>8.4170056063999983</v>
      </c>
      <c r="E33" s="1">
        <f>Data[[#This Row],[Incremento Ingreso mensual VEF]]</f>
        <v>0</v>
      </c>
      <c r="F33" s="1">
        <f>Data[[#This Row],[Incremento Ingreso mensual VEF]]</f>
        <v>0</v>
      </c>
      <c r="G33" s="1">
        <f>Data[[#This Row],[Inflacion BCV]]</f>
        <v>0.19800000000000001</v>
      </c>
      <c r="H33" s="1">
        <f>Data[[#This Row],[Inflación acumulada BCV]]</f>
        <v>4.8979964459537211</v>
      </c>
      <c r="I33" s="1">
        <f>Data[[#This Row],[ Inflación OVF]]</f>
        <v>0.106</v>
      </c>
      <c r="J33" s="1">
        <f>Data[[#This Row],[ Inflación Acumulada OVF]]</f>
        <v>4.7050113625566343</v>
      </c>
      <c r="K33" s="1">
        <f>Data[[#This Row],[ Deevaluación BCV]]</f>
        <v>0.15717788146219203</v>
      </c>
      <c r="L33" s="1">
        <f>Data[[#This Row],[ Devaluación acumulada BCV]]</f>
        <v>5.0741437309305617</v>
      </c>
      <c r="M33" s="1">
        <f>Data[[#This Row],[Depreciación EP]]</f>
        <v>0.13135510380308735</v>
      </c>
      <c r="N33" s="1">
        <f>Data[[#This Row],[Devaluación Acumulada EP]]</f>
        <v>2.9442490821960288</v>
      </c>
      <c r="O33" s="9">
        <f>Data[[#This Row],[Tasa bcv]]</f>
        <v>4.1030323536838713</v>
      </c>
      <c r="P33" s="9">
        <f>Data[[#This Row],[Tasa Enparalelo]]</f>
        <v>4.1020190454838703</v>
      </c>
    </row>
    <row r="34" spans="1:16" customFormat="1" hidden="1" x14ac:dyDescent="0.25">
      <c r="A34">
        <f>Data[[#This Row],[Año]]</f>
        <v>2021</v>
      </c>
      <c r="B34" s="21" t="str">
        <f>Data[[#This Row],[Mes]]</f>
        <v>SEPTIEMBRE</v>
      </c>
      <c r="C34" s="1">
        <f>Data[[#This Row],[ Incremento salario ]]</f>
        <v>0.16</v>
      </c>
      <c r="D34" s="1">
        <f>Data[[#This Row],[ Incremento Acumulado]]</f>
        <v>9.9237265034239979</v>
      </c>
      <c r="E34" s="1">
        <f>Data[[#This Row],[Incremento Ingreso mensual VEF]]</f>
        <v>0</v>
      </c>
      <c r="F34" s="1">
        <f>Data[[#This Row],[Incremento Ingreso mensual VEF]]</f>
        <v>0</v>
      </c>
      <c r="G34" s="1">
        <f>Data[[#This Row],[Inflacion BCV]]</f>
        <v>7.0999999999999994E-2</v>
      </c>
      <c r="H34" s="1">
        <f>Data[[#This Row],[Inflación acumulada BCV]]</f>
        <v>5.3167541936164353</v>
      </c>
      <c r="I34" s="1">
        <f>Data[[#This Row],[ Inflación OVF]]</f>
        <v>9.7000000000000003E-2</v>
      </c>
      <c r="J34" s="1">
        <f>Data[[#This Row],[ Inflación Acumulada OVF]]</f>
        <v>5.2583974647246281</v>
      </c>
      <c r="K34" s="1">
        <f>Data[[#This Row],[ Deevaluación BCV]]</f>
        <v>-7.5496180793447554E-2</v>
      </c>
      <c r="L34" s="1">
        <f>Data[[#This Row],[ Devaluación acumulada BCV]]</f>
        <v>4.6155690776548424</v>
      </c>
      <c r="M34" s="1">
        <f>Data[[#This Row],[Depreciación EP]]</f>
        <v>8.4402594862198477E-4</v>
      </c>
      <c r="N34" s="1">
        <f>Data[[#This Row],[Devaluación Acumulada EP]]</f>
        <v>2.9475781307692306</v>
      </c>
      <c r="O34" s="9">
        <f>Data[[#This Row],[Tasa bcv]]</f>
        <v>3.793269081308789</v>
      </c>
      <c r="P34" s="9">
        <f>Data[[#This Row],[Tasa Enparalelo]]</f>
        <v>4.105481256</v>
      </c>
    </row>
    <row r="35" spans="1:16" customFormat="1" hidden="1" x14ac:dyDescent="0.25">
      <c r="A35">
        <f>Data[[#This Row],[Año]]</f>
        <v>2021</v>
      </c>
      <c r="B35" s="21" t="str">
        <f>Data[[#This Row],[Mes]]</f>
        <v>OCTUBRE</v>
      </c>
      <c r="C35" s="1">
        <f>Data[[#This Row],[ Incremento salario ]]</f>
        <v>0.17</v>
      </c>
      <c r="D35" s="1">
        <f>Data[[#This Row],[ Incremento Acumulado]]</f>
        <v>11.780760009006077</v>
      </c>
      <c r="E35" s="1">
        <f>Data[[#This Row],[Incremento Ingreso mensual VEF]]</f>
        <v>0</v>
      </c>
      <c r="F35" s="1">
        <f>Data[[#This Row],[Incremento Ingreso mensual VEF]]</f>
        <v>0</v>
      </c>
      <c r="G35" s="1">
        <f>Data[[#This Row],[Inflacion BCV]]</f>
        <v>6.8000000000000005E-2</v>
      </c>
      <c r="H35" s="1">
        <f>Data[[#This Row],[Inflación acumulada BCV]]</f>
        <v>5.746293478782353</v>
      </c>
      <c r="I35" s="1">
        <f>Data[[#This Row],[ Inflación OVF]]</f>
        <v>8.1000000000000003E-2</v>
      </c>
      <c r="J35" s="1">
        <f>Data[[#This Row],[ Inflación Acumulada OVF]]</f>
        <v>5.7653276593673226</v>
      </c>
      <c r="K35" s="1">
        <f>Data[[#This Row],[ Deevaluación BCV]]</f>
        <v>0.11095378112635035</v>
      </c>
      <c r="L35" s="1">
        <f>Data[[#This Row],[ Devaluación acumulada BCV]]</f>
        <v>5.2386376999968585</v>
      </c>
      <c r="M35" s="1">
        <f>Data[[#This Row],[Depreciación EP]]</f>
        <v>3.606571845392792E-2</v>
      </c>
      <c r="N35" s="1">
        <f>Data[[#This Row],[Devaluación Acumulada EP]]</f>
        <v>3.0899503722084365</v>
      </c>
      <c r="O35" s="9">
        <f>Data[[#This Row],[Tasa bcv]]</f>
        <v>4.2141466287096767</v>
      </c>
      <c r="P35" s="9">
        <f>Data[[#This Row],[Tasa Enparalelo]]</f>
        <v>4.2535483870967745</v>
      </c>
    </row>
    <row r="36" spans="1:16" customFormat="1" hidden="1" x14ac:dyDescent="0.25">
      <c r="A36">
        <f>Data[[#This Row],[Año]]</f>
        <v>2021</v>
      </c>
      <c r="B36" s="21" t="str">
        <f>Data[[#This Row],[Mes]]</f>
        <v>NOVIEMBRE</v>
      </c>
      <c r="C36" s="1">
        <f>Data[[#This Row],[ Incremento salario ]]</f>
        <v>0.18</v>
      </c>
      <c r="D36" s="1">
        <f>Data[[#This Row],[ Incremento Acumulado]]</f>
        <v>14.081296810627169</v>
      </c>
      <c r="E36" s="1">
        <f>Data[[#This Row],[Incremento Ingreso mensual VEF]]</f>
        <v>0</v>
      </c>
      <c r="F36" s="1">
        <f>Data[[#This Row],[Incremento Ingreso mensual VEF]]</f>
        <v>0</v>
      </c>
      <c r="G36" s="1">
        <f>Data[[#This Row],[Inflacion BCV]]</f>
        <v>8.4000000000000005E-2</v>
      </c>
      <c r="H36" s="1">
        <f>Data[[#This Row],[Inflación acumulada BCV]]</f>
        <v>6.3129821310000711</v>
      </c>
      <c r="I36" s="1">
        <f>Data[[#This Row],[ Inflación OVF]]</f>
        <v>0.06</v>
      </c>
      <c r="J36" s="1">
        <f>Data[[#This Row],[ Inflación Acumulada OVF]]</f>
        <v>6.1712473189293622</v>
      </c>
      <c r="K36" s="1">
        <f>Data[[#This Row],[ Deevaluación BCV]]</f>
        <v>7.047691125259381E-2</v>
      </c>
      <c r="L36" s="1">
        <f>Data[[#This Row],[ Devaluación acumulada BCV]]</f>
        <v>5.6783176155166233</v>
      </c>
      <c r="M36" s="1">
        <f>Data[[#This Row],[Depreciación EP]]</f>
        <v>0.10832954143283247</v>
      </c>
      <c r="N36" s="1">
        <f>Data[[#This Row],[Devaluación Acumulada EP]]</f>
        <v>3.5330128205128188</v>
      </c>
      <c r="O36" s="9">
        <f>Data[[#This Row],[Tasa bcv]]</f>
        <v>4.511146666666666</v>
      </c>
      <c r="P36" s="9">
        <f>Data[[#This Row],[Tasa Enparalelo]]</f>
        <v>4.7143333333333324</v>
      </c>
    </row>
    <row r="37" spans="1:16" customFormat="1" hidden="1" x14ac:dyDescent="0.25">
      <c r="A37">
        <f>Data[[#This Row],[Año]]</f>
        <v>2021</v>
      </c>
      <c r="B37" s="21" t="str">
        <f>Data[[#This Row],[Mes]]</f>
        <v>DICIEMBRE</v>
      </c>
      <c r="C37" s="1">
        <f>Data[[#This Row],[ Incremento salario ]]</f>
        <v>7.0000000000000007E-2</v>
      </c>
      <c r="D37" s="1">
        <f>Data[[#This Row],[ Incremento Acumulado]]</f>
        <v>15.13698758737107</v>
      </c>
      <c r="E37" s="1">
        <f>Data[[#This Row],[Incremento Ingreso mensual VEF]]</f>
        <v>0</v>
      </c>
      <c r="F37" s="1">
        <f>Data[[#This Row],[Incremento Ingreso mensual VEF]]</f>
        <v>0</v>
      </c>
      <c r="G37" s="1">
        <f>Data[[#This Row],[Inflacion BCV]]</f>
        <v>7.5999999999999998E-2</v>
      </c>
      <c r="H37" s="1">
        <f>Data[[#This Row],[Inflación acumulada BCV]]</f>
        <v>6.8687687729560771</v>
      </c>
      <c r="I37" s="1">
        <f>Data[[#This Row],[ Inflación OVF]]</f>
        <v>0.06</v>
      </c>
      <c r="J37" s="1">
        <f>Data[[#This Row],[ Inflación Acumulada OVF]]</f>
        <v>6.6015221580651247</v>
      </c>
      <c r="K37" s="1">
        <f>Data[[#This Row],[ Deevaluación BCV]]</f>
        <v>2.282055746072631E-2</v>
      </c>
      <c r="L37" s="1">
        <f>Data[[#This Row],[ Devaluación acumulada BCV]]</f>
        <v>5.8307205464025014</v>
      </c>
      <c r="M37" s="1">
        <f>Data[[#This Row],[Depreciación EP]]</f>
        <v>-6.5300741504399351E-3</v>
      </c>
      <c r="N37" s="1">
        <f>Data[[#This Row],[Devaluación Acumulada EP]]</f>
        <v>3.5034119106699757</v>
      </c>
      <c r="O37" s="9">
        <f>Data[[#This Row],[Tasa bcv]]</f>
        <v>4.6140935483870962</v>
      </c>
      <c r="P37" s="9">
        <f>Data[[#This Row],[Tasa Enparalelo]]</f>
        <v>4.6835483870967751</v>
      </c>
    </row>
    <row r="38" spans="1:16" customFormat="1" hidden="1" x14ac:dyDescent="0.25">
      <c r="A38">
        <f>Data[[#This Row],[Año]]</f>
        <v>2022</v>
      </c>
      <c r="B38" s="21" t="str">
        <f>Data[[#This Row],[Mes]]</f>
        <v>ENERO</v>
      </c>
      <c r="C38" s="1">
        <f>Data[[#This Row],[ Incremento salario ]]</f>
        <v>3.1E-2</v>
      </c>
      <c r="D38" s="1">
        <f>Data[[#This Row],[ Incremento Acumulado]]</f>
        <v>3.1E-2</v>
      </c>
      <c r="E38" s="1">
        <f>Data[[#This Row],[Incremento Ingreso mensual VEF]]</f>
        <v>0</v>
      </c>
      <c r="F38" s="1">
        <f>Data[[#This Row],[Incremento Ingreso mensual VEF]]</f>
        <v>0</v>
      </c>
      <c r="G38" s="1">
        <f>Data[[#This Row],[Inflacion BCV]]</f>
        <v>6.7000000000000004E-2</v>
      </c>
      <c r="H38" s="1">
        <f>Data[[#This Row],[Inflación acumulada BCV]]</f>
        <v>6.7000000000000004E-2</v>
      </c>
      <c r="I38" s="1">
        <f>Data[[#This Row],[ Inflación OVF]]</f>
        <v>4.8000000000000001E-2</v>
      </c>
      <c r="J38" s="1">
        <f>Data[[#This Row],[ Inflación Acumulada OVF]]</f>
        <v>4.8000000000000001E-2</v>
      </c>
      <c r="K38" s="1">
        <f>Data[[#This Row],[ Deevaluación BCV]]</f>
        <v>-1.4064203013348209E-2</v>
      </c>
      <c r="L38" s="1">
        <f>Data[[#This Row],[ Devaluación acumulada BCV]]</f>
        <v>-1.4064203013348209E-2</v>
      </c>
      <c r="M38" s="1">
        <f>Data[[#This Row],[Depreciación EP]]</f>
        <v>2.6448102486396952E-2</v>
      </c>
      <c r="N38" s="1">
        <f>Data[[#This Row],[Devaluación Acumulada EP]]</f>
        <v>2.6448102486396952E-2</v>
      </c>
      <c r="O38" s="9">
        <f>Data[[#This Row],[Tasa bcv]]</f>
        <v>4.5491999999999999</v>
      </c>
      <c r="P38" s="9">
        <f>Data[[#This Row],[Tasa Enparalelo]]</f>
        <v>4.8074193548387099</v>
      </c>
    </row>
    <row r="39" spans="1:16" customFormat="1" hidden="1" x14ac:dyDescent="0.25">
      <c r="A39">
        <f>Data[[#This Row],[Año]]</f>
        <v>2022</v>
      </c>
      <c r="B39" s="21" t="str">
        <f>Data[[#This Row],[Mes]]</f>
        <v>FEBRERO</v>
      </c>
      <c r="C39" s="1">
        <f>Data[[#This Row],[ Incremento salario ]]</f>
        <v>0.03</v>
      </c>
      <c r="D39" s="1">
        <f>Data[[#This Row],[ Incremento Acumulado]]</f>
        <v>6.1930000000000041E-2</v>
      </c>
      <c r="E39" s="1">
        <f>Data[[#This Row],[Incremento Ingreso mensual VEF]]</f>
        <v>0</v>
      </c>
      <c r="F39" s="1">
        <f>Data[[#This Row],[Incremento Ingreso mensual VEF]]</f>
        <v>0</v>
      </c>
      <c r="G39" s="1">
        <f>Data[[#This Row],[Inflacion BCV]]</f>
        <v>2.9000000000000001E-2</v>
      </c>
      <c r="H39" s="1">
        <f>Data[[#This Row],[Inflación acumulada BCV]]</f>
        <v>9.7942999999999891E-2</v>
      </c>
      <c r="I39" s="1">
        <f>Data[[#This Row],[ Inflación OVF]]</f>
        <v>1.7000000000000001E-2</v>
      </c>
      <c r="J39" s="1">
        <f>Data[[#This Row],[ Inflación Acumulada OVF]]</f>
        <v>6.5815999999999875E-2</v>
      </c>
      <c r="K39" s="1">
        <f>Data[[#This Row],[ Deevaluación BCV]]</f>
        <v>-3.7083443242768022E-2</v>
      </c>
      <c r="L39" s="1">
        <f>Data[[#This Row],[ Devaluación acumulada BCV]]</f>
        <v>-5.0626097181916019E-2</v>
      </c>
      <c r="M39" s="1">
        <f>Data[[#This Row],[Depreciación EP]]</f>
        <v>-4.0545527746091659E-2</v>
      </c>
      <c r="N39" s="1">
        <f>Data[[#This Row],[Devaluación Acumulada EP]]</f>
        <v>-1.5169777532888395E-2</v>
      </c>
      <c r="O39" s="9">
        <f>Data[[#This Row],[Tasa bcv]]</f>
        <v>4.3804999999999996</v>
      </c>
      <c r="P39" s="9">
        <f>Data[[#This Row],[Tasa Enparalelo]]</f>
        <v>4.6124999999999989</v>
      </c>
    </row>
    <row r="40" spans="1:16" customFormat="1" hidden="1" x14ac:dyDescent="0.25">
      <c r="A40">
        <f>Data[[#This Row],[Año]]</f>
        <v>2022</v>
      </c>
      <c r="B40" s="21" t="str">
        <f>Data[[#This Row],[Mes]]</f>
        <v>MARZO</v>
      </c>
      <c r="C40" s="1">
        <f>Data[[#This Row],[ Incremento salario ]]</f>
        <v>0.11899999999999999</v>
      </c>
      <c r="D40" s="1">
        <f>Data[[#This Row],[ Incremento Acumulado]]</f>
        <v>0.18829967000000014</v>
      </c>
      <c r="E40" s="1">
        <f>Data[[#This Row],[Incremento Ingreso mensual VEF]]</f>
        <v>0</v>
      </c>
      <c r="F40" s="1">
        <f>Data[[#This Row],[Incremento Ingreso mensual VEF]]</f>
        <v>0</v>
      </c>
      <c r="G40" s="1">
        <f>Data[[#This Row],[Inflacion BCV]]</f>
        <v>1.4E-2</v>
      </c>
      <c r="H40" s="1">
        <f>Data[[#This Row],[Inflación acumulada BCV]]</f>
        <v>0.11331420199999998</v>
      </c>
      <c r="I40" s="1">
        <f>Data[[#This Row],[ Inflación OVF]]</f>
        <v>0.105</v>
      </c>
      <c r="J40" s="1">
        <f>Data[[#This Row],[ Inflación Acumulada OVF]]</f>
        <v>0.17772667999999991</v>
      </c>
      <c r="K40" s="1">
        <f>Data[[#This Row],[ Deevaluación BCV]]</f>
        <v>-7.7616710421168911E-4</v>
      </c>
      <c r="L40" s="1">
        <f>Data[[#This Row],[ Devaluación acumulada BCV]]</f>
        <v>-5.1362969974880435E-2</v>
      </c>
      <c r="M40" s="1">
        <f>Data[[#This Row],[Depreciación EP]]</f>
        <v>-2.7747180697613394E-2</v>
      </c>
      <c r="N40" s="1">
        <f>Data[[#This Row],[Devaluación Acumulada EP]]</f>
        <v>-4.2496039672154096E-2</v>
      </c>
      <c r="O40" s="9">
        <f>Data[[#This Row],[Tasa bcv]]</f>
        <v>4.3771000000000004</v>
      </c>
      <c r="P40" s="9">
        <f>Data[[#This Row],[Tasa Enparalelo]]</f>
        <v>4.484516129032257</v>
      </c>
    </row>
    <row r="41" spans="1:16" customFormat="1" hidden="1" x14ac:dyDescent="0.25">
      <c r="A41">
        <f>Data[[#This Row],[Año]]</f>
        <v>2022</v>
      </c>
      <c r="B41" s="21" t="str">
        <f>Data[[#This Row],[Mes]]</f>
        <v>ABRIL</v>
      </c>
      <c r="C41" s="1">
        <f>Data[[#This Row],[ Incremento salario ]]</f>
        <v>8.8999999999999996E-2</v>
      </c>
      <c r="D41" s="1">
        <f>Data[[#This Row],[ Incremento Acumulado]]</f>
        <v>0.29405834063000014</v>
      </c>
      <c r="E41" s="1">
        <f>Data[[#This Row],[Incremento Ingreso mensual VEF]]</f>
        <v>0</v>
      </c>
      <c r="F41" s="1">
        <f>Data[[#This Row],[Incremento Ingreso mensual VEF]]</f>
        <v>0</v>
      </c>
      <c r="G41" s="1">
        <f>Data[[#This Row],[Inflacion BCV]]</f>
        <v>4.3999999999999997E-2</v>
      </c>
      <c r="H41" s="1">
        <f>Data[[#This Row],[Inflación acumulada BCV]]</f>
        <v>0.16230002688799994</v>
      </c>
      <c r="I41" s="1">
        <f>Data[[#This Row],[ Inflación OVF]]</f>
        <v>3.5999999999999997E-2</v>
      </c>
      <c r="J41" s="1">
        <f>Data[[#This Row],[ Inflación Acumulada OVF]]</f>
        <v>0.22012484048000003</v>
      </c>
      <c r="K41" s="1">
        <f>Data[[#This Row],[ Deevaluación BCV]]</f>
        <v>2.503940965479412E-2</v>
      </c>
      <c r="L41" s="1">
        <f>Data[[#This Row],[ Devaluación acumulada BCV]]</f>
        <v>-2.7609658766374223E-2</v>
      </c>
      <c r="M41" s="1">
        <f>Data[[#This Row],[Depreciación EP]]</f>
        <v>3.2441375341677681E-2</v>
      </c>
      <c r="N41" s="1">
        <f>Data[[#This Row],[Devaluación Acumulada EP]]</f>
        <v>-1.1433294304015629E-2</v>
      </c>
      <c r="O41" s="9">
        <f>Data[[#This Row],[Tasa bcv]]</f>
        <v>4.4866999999999999</v>
      </c>
      <c r="P41" s="9">
        <f>Data[[#This Row],[Tasa Enparalelo]]</f>
        <v>4.63</v>
      </c>
    </row>
    <row r="42" spans="1:16" customFormat="1" hidden="1" x14ac:dyDescent="0.25">
      <c r="A42">
        <f>Data[[#This Row],[Año]]</f>
        <v>2022</v>
      </c>
      <c r="B42" s="21" t="str">
        <f>Data[[#This Row],[Mes]]</f>
        <v>MAYO</v>
      </c>
      <c r="C42" s="1">
        <f>Data[[#This Row],[ Incremento salario ]]</f>
        <v>9.9000000000000005E-2</v>
      </c>
      <c r="D42" s="1">
        <f>Data[[#This Row],[ Incremento Acumulado]]</f>
        <v>0.42217011635237012</v>
      </c>
      <c r="E42" s="1">
        <f>Data[[#This Row],[Incremento Ingreso mensual VEF]]</f>
        <v>0</v>
      </c>
      <c r="F42" s="1">
        <f>Data[[#This Row],[Incremento Ingreso mensual VEF]]</f>
        <v>0</v>
      </c>
      <c r="G42" s="1">
        <f>Data[[#This Row],[Inflacion BCV]]</f>
        <v>6.5000000000000002E-2</v>
      </c>
      <c r="H42" s="1">
        <f>Data[[#This Row],[Inflación acumulada BCV]]</f>
        <v>0.23784952863571984</v>
      </c>
      <c r="I42" s="1">
        <f>Data[[#This Row],[ Inflación OVF]]</f>
        <v>0.10100000000000001</v>
      </c>
      <c r="J42" s="1">
        <f>Data[[#This Row],[ Inflación Acumulada OVF]]</f>
        <v>0.34335744936847989</v>
      </c>
      <c r="K42" s="1">
        <f>Data[[#This Row],[ Deevaluación BCV]]</f>
        <v>0.12929324447812429</v>
      </c>
      <c r="L42" s="1">
        <f>Data[[#This Row],[ Devaluación acumulada BCV]]</f>
        <v>9.8113843350911667E-2</v>
      </c>
      <c r="M42" s="1">
        <f>Data[[#This Row],[Depreciación EP]]</f>
        <v>0.11447084233261351</v>
      </c>
      <c r="N42" s="1">
        <f>Data[[#This Row],[Devaluación Acumulada EP]]</f>
        <v>0.10172876919898055</v>
      </c>
      <c r="O42" s="9">
        <f>Data[[#This Row],[Tasa bcv]]</f>
        <v>5.0667999999999997</v>
      </c>
      <c r="P42" s="9">
        <f>Data[[#This Row],[Tasa Enparalelo]]</f>
        <v>5.16</v>
      </c>
    </row>
    <row r="43" spans="1:16" customFormat="1" hidden="1" x14ac:dyDescent="0.25">
      <c r="A43">
        <f>Data[[#This Row],[Año]]</f>
        <v>2022</v>
      </c>
      <c r="B43" s="21" t="str">
        <f>Data[[#This Row],[Mes]]</f>
        <v>JUNIO</v>
      </c>
      <c r="C43" s="1">
        <f>Data[[#This Row],[ Incremento salario ]]</f>
        <v>0.156</v>
      </c>
      <c r="D43" s="1">
        <f>Data[[#This Row],[ Incremento Acumulado]]</f>
        <v>0.64402865450333979</v>
      </c>
      <c r="E43" s="1">
        <f>Data[[#This Row],[Incremento Ingreso mensual VEF]]</f>
        <v>0</v>
      </c>
      <c r="F43" s="1">
        <f>Data[[#This Row],[Incremento Ingreso mensual VEF]]</f>
        <v>0</v>
      </c>
      <c r="G43" s="1">
        <f>Data[[#This Row],[Inflacion BCV]]</f>
        <v>0.114</v>
      </c>
      <c r="H43" s="1">
        <f>Data[[#This Row],[Inflación acumulada BCV]]</f>
        <v>0.37896437490019208</v>
      </c>
      <c r="I43" s="1">
        <f>Data[[#This Row],[ Inflación OVF]]</f>
        <v>0.14499999999999999</v>
      </c>
      <c r="J43" s="1">
        <f>Data[[#This Row],[ Inflación Acumulada OVF]]</f>
        <v>0.53814427952690957</v>
      </c>
      <c r="K43" s="1">
        <f>Data[[#This Row],[ Deevaluación BCV]]</f>
        <v>9.2326517723217982E-2</v>
      </c>
      <c r="L43" s="1">
        <f>Data[[#This Row],[ Devaluación acumulada BCV]]</f>
        <v>0.19949887057116067</v>
      </c>
      <c r="M43" s="1">
        <f>Data[[#This Row],[Depreciación EP]]</f>
        <v>0.12403100775193798</v>
      </c>
      <c r="N43" s="1">
        <f>Data[[#This Row],[Devaluación Acumulada EP]]</f>
        <v>0.2383772987120325</v>
      </c>
      <c r="O43" s="9">
        <f>Data[[#This Row],[Tasa bcv]]</f>
        <v>5.5346000000000002</v>
      </c>
      <c r="P43" s="9">
        <f>Data[[#This Row],[Tasa Enparalelo]]</f>
        <v>5.8</v>
      </c>
    </row>
    <row r="44" spans="1:16" customFormat="1" hidden="1" x14ac:dyDescent="0.25">
      <c r="A44">
        <f>Data[[#This Row],[Año]]</f>
        <v>2022</v>
      </c>
      <c r="B44" s="21" t="str">
        <f>Data[[#This Row],[Mes]]</f>
        <v>JULIO</v>
      </c>
      <c r="C44" s="1">
        <f>Data[[#This Row],[ Incremento salario ]]</f>
        <v>0.125</v>
      </c>
      <c r="D44" s="1">
        <f>Data[[#This Row],[ Incremento Acumulado]]</f>
        <v>0.84953223631625718</v>
      </c>
      <c r="E44" s="1">
        <f>Data[[#This Row],[Incremento Ingreso mensual VEF]]</f>
        <v>0</v>
      </c>
      <c r="F44" s="1">
        <f>Data[[#This Row],[Incremento Ingreso mensual VEF]]</f>
        <v>0</v>
      </c>
      <c r="G44" s="1">
        <f>Data[[#This Row],[Inflacion BCV]]</f>
        <v>7.4999999999999997E-2</v>
      </c>
      <c r="H44" s="1">
        <f>Data[[#This Row],[Inflación acumulada BCV]]</f>
        <v>0.48238670301770648</v>
      </c>
      <c r="I44" s="1">
        <f>Data[[#This Row],[ Inflación OVF]]</f>
        <v>5.2999999999999999E-2</v>
      </c>
      <c r="J44" s="1">
        <f>Data[[#This Row],[ Inflación Acumulada OVF]]</f>
        <v>0.61966592634183559</v>
      </c>
      <c r="K44" s="1">
        <f>Data[[#This Row],[ Deevaluación BCV]]</f>
        <v>4.498970115274803E-2</v>
      </c>
      <c r="L44" s="1">
        <f>Data[[#This Row],[ Devaluación acumulada BCV]]</f>
        <v>0.25346396629121593</v>
      </c>
      <c r="M44" s="1">
        <f>Data[[#This Row],[Depreciación EP]]</f>
        <v>2.931034482758621E-2</v>
      </c>
      <c r="N44" s="1">
        <f>Data[[#This Row],[Devaluación Acumulada EP]]</f>
        <v>0.274674564363937</v>
      </c>
      <c r="O44" s="9">
        <f>Data[[#This Row],[Tasa bcv]]</f>
        <v>5.7835999999999999</v>
      </c>
      <c r="P44" s="9">
        <f>Data[[#This Row],[Tasa Enparalelo]]</f>
        <v>5.97</v>
      </c>
    </row>
    <row r="45" spans="1:16" customFormat="1" hidden="1" x14ac:dyDescent="0.25">
      <c r="A45">
        <f>Data[[#This Row],[Año]]</f>
        <v>2022</v>
      </c>
      <c r="B45" s="21" t="str">
        <f>Data[[#This Row],[Mes]]</f>
        <v>AGOSTO</v>
      </c>
      <c r="C45" s="1">
        <f>Data[[#This Row],[ Incremento salario ]]</f>
        <v>0.16300000000000001</v>
      </c>
      <c r="D45" s="1">
        <f>Data[[#This Row],[ Incremento Acumulado]]</f>
        <v>1.1510059908358072</v>
      </c>
      <c r="E45" s="1">
        <f>Data[[#This Row],[Incremento Ingreso mensual VEF]]</f>
        <v>0</v>
      </c>
      <c r="F45" s="1">
        <f>Data[[#This Row],[Incremento Ingreso mensual VEF]]</f>
        <v>0</v>
      </c>
      <c r="G45" s="1">
        <f>Data[[#This Row],[Inflacion BCV]]</f>
        <v>8.2000000000000003E-2</v>
      </c>
      <c r="H45" s="1">
        <f>Data[[#This Row],[Inflación acumulada BCV]]</f>
        <v>0.60394241266515847</v>
      </c>
      <c r="I45" s="1">
        <f>Data[[#This Row],[ Inflación OVF]]</f>
        <v>0.17</v>
      </c>
      <c r="J45" s="1">
        <f>Data[[#This Row],[ Inflación Acumulada OVF]]</f>
        <v>0.89500913381994751</v>
      </c>
      <c r="K45" s="1">
        <f>Data[[#This Row],[ Deevaluación BCV]]</f>
        <v>0.35728611937201737</v>
      </c>
      <c r="L45" s="1">
        <f>Data[[#This Row],[ Devaluación acumulada BCV]]</f>
        <v>0.70130924258006155</v>
      </c>
      <c r="M45" s="1">
        <f>Data[[#This Row],[Depreciación EP]]</f>
        <v>0.36515912897822456</v>
      </c>
      <c r="N45" s="1">
        <f>Data[[#This Row],[Devaluación Acumulada EP]]</f>
        <v>0.74013361801777</v>
      </c>
      <c r="O45" s="9">
        <f>Data[[#This Row],[Tasa bcv]]</f>
        <v>7.85</v>
      </c>
      <c r="P45" s="9">
        <f>Data[[#This Row],[Tasa Enparalelo]]</f>
        <v>8.15</v>
      </c>
    </row>
    <row r="46" spans="1:16" customFormat="1" hidden="1" x14ac:dyDescent="0.25">
      <c r="A46">
        <f>Data[[#This Row],[Año]]</f>
        <v>2022</v>
      </c>
      <c r="B46" s="21" t="str">
        <f>Data[[#This Row],[Mes]]</f>
        <v>SEPTIEMBRE</v>
      </c>
      <c r="C46" s="1">
        <f>Data[[#This Row],[ Incremento salario ]]</f>
        <v>0.14000000000000001</v>
      </c>
      <c r="D46" s="1">
        <f>Data[[#This Row],[ Incremento Acumulado]]</f>
        <v>1.4521468295528206</v>
      </c>
      <c r="E46" s="1">
        <f>Data[[#This Row],[Incremento Ingreso mensual VEF]]</f>
        <v>0</v>
      </c>
      <c r="F46" s="1">
        <f>Data[[#This Row],[Incremento Ingreso mensual VEF]]</f>
        <v>0</v>
      </c>
      <c r="G46" s="1">
        <f>Data[[#This Row],[Inflacion BCV]]</f>
        <v>0.28699999999999998</v>
      </c>
      <c r="H46" s="1">
        <f>Data[[#This Row],[Inflación acumulada BCV]]</f>
        <v>1.0642738851000586</v>
      </c>
      <c r="I46" s="1">
        <f>Data[[#This Row],[ Inflación OVF]]</f>
        <v>0.115</v>
      </c>
      <c r="J46" s="1">
        <f>Data[[#This Row],[ Inflación Acumulada OVF]]</f>
        <v>1.1129351842092414</v>
      </c>
      <c r="K46" s="1">
        <f>Data[[#This Row],[ Deevaluación BCV]]</f>
        <v>4.2038216560509545E-2</v>
      </c>
      <c r="L46" s="1">
        <f>Data[[#This Row],[ Devaluación acumulada BCV]]</f>
        <v>0.77282924895603866</v>
      </c>
      <c r="M46" s="1">
        <f>Data[[#This Row],[Depreciación EP]]</f>
        <v>1.8404907975460238E-2</v>
      </c>
      <c r="N46" s="1">
        <f>Data[[#This Row],[Devaluación Acumulada EP]]</f>
        <v>0.77216061712239181</v>
      </c>
      <c r="O46" s="9">
        <f>Data[[#This Row],[Tasa bcv]]</f>
        <v>8.18</v>
      </c>
      <c r="P46" s="9">
        <f>Data[[#This Row],[Tasa Enparalelo]]</f>
        <v>8.3000000000000007</v>
      </c>
    </row>
    <row r="47" spans="1:16" customFormat="1" hidden="1" x14ac:dyDescent="0.25">
      <c r="A47">
        <f>Data[[#This Row],[Año]]</f>
        <v>2022</v>
      </c>
      <c r="B47" s="21" t="str">
        <f>Data[[#This Row],[Mes]]</f>
        <v>OCTUBRE</v>
      </c>
      <c r="C47" s="1">
        <f>Data[[#This Row],[ Incremento salario ]]</f>
        <v>0.11</v>
      </c>
      <c r="D47" s="1">
        <f>Data[[#This Row],[ Incremento Acumulado]]</f>
        <v>1.7218829808036311</v>
      </c>
      <c r="E47" s="1">
        <f>Data[[#This Row],[Incremento Ingreso mensual VEF]]</f>
        <v>0</v>
      </c>
      <c r="F47" s="1">
        <f>Data[[#This Row],[Incremento Ingreso mensual VEF]]</f>
        <v>0</v>
      </c>
      <c r="G47" s="1">
        <f>Data[[#This Row],[Inflacion BCV]]</f>
        <v>6.2E-2</v>
      </c>
      <c r="H47" s="1">
        <f>Data[[#This Row],[Inflación acumulada BCV]]</f>
        <v>1.1922588659762625</v>
      </c>
      <c r="I47" s="1">
        <f>Data[[#This Row],[ Inflación OVF]]</f>
        <v>0.14499999999999999</v>
      </c>
      <c r="J47" s="1">
        <f>Data[[#This Row],[ Inflación Acumulada OVF]]</f>
        <v>1.4193107859195813</v>
      </c>
      <c r="K47" s="1">
        <f>Data[[#This Row],[ Deevaluación BCV]]</f>
        <v>4.1564792176039145E-2</v>
      </c>
      <c r="L47" s="1">
        <f>Data[[#This Row],[ Devaluación acumulada BCV]]</f>
        <v>0.84651652825250001</v>
      </c>
      <c r="M47" s="1">
        <f>Data[[#This Row],[Depreciación EP]]</f>
        <v>8.9156626506023962E-2</v>
      </c>
      <c r="N47" s="1">
        <f>Data[[#This Row],[Devaluación Acumulada EP]]</f>
        <v>0.93016047937185786</v>
      </c>
      <c r="O47" s="9">
        <f>Data[[#This Row],[Tasa bcv]]</f>
        <v>8.52</v>
      </c>
      <c r="P47" s="9">
        <f>Data[[#This Row],[Tasa Enparalelo]]</f>
        <v>9.0399999999999991</v>
      </c>
    </row>
    <row r="48" spans="1:16" customFormat="1" hidden="1" x14ac:dyDescent="0.25">
      <c r="A48">
        <f>Data[[#This Row],[Año]]</f>
        <v>2022</v>
      </c>
      <c r="B48" s="21" t="str">
        <f>Data[[#This Row],[Mes]]</f>
        <v>NOVIEMBRE</v>
      </c>
      <c r="C48" s="1">
        <f>Data[[#This Row],[ Incremento salario ]]</f>
        <v>0.15</v>
      </c>
      <c r="D48" s="1">
        <f>Data[[#This Row],[ Incremento Acumulado]]</f>
        <v>2.1301654279241755</v>
      </c>
      <c r="E48" s="1">
        <f>Data[[#This Row],[Incremento Ingreso mensual VEF]]</f>
        <v>0</v>
      </c>
      <c r="F48" s="1">
        <f>Data[[#This Row],[Incremento Ingreso mensual VEF]]</f>
        <v>0</v>
      </c>
      <c r="G48" s="1">
        <f>Data[[#This Row],[Inflacion BCV]]</f>
        <v>0.12559999999999999</v>
      </c>
      <c r="H48" s="1">
        <f>Data[[#This Row],[Inflación acumulada BCV]]</f>
        <v>1.4676065795428808</v>
      </c>
      <c r="I48" s="1">
        <f>Data[[#This Row],[ Inflación OVF]]</f>
        <v>0.22</v>
      </c>
      <c r="J48" s="1">
        <f>Data[[#This Row],[ Inflación Acumulada OVF]]</f>
        <v>1.951559158821889</v>
      </c>
      <c r="K48" s="1">
        <f>Data[[#This Row],[ Deevaluación BCV]]</f>
        <v>0.28521126760563376</v>
      </c>
      <c r="L48" s="1">
        <f>Data[[#This Row],[ Devaluación acumulada BCV]]</f>
        <v>1.3731638479301496</v>
      </c>
      <c r="M48" s="1">
        <f>Data[[#This Row],[Depreciación EP]]</f>
        <v>0.44358407079646045</v>
      </c>
      <c r="N48" s="1">
        <f>Data[[#This Row],[Devaluación Acumulada EP]]</f>
        <v>1.7863489221020741</v>
      </c>
      <c r="O48" s="9">
        <f>Data[[#This Row],[Tasa bcv]]</f>
        <v>10.95</v>
      </c>
      <c r="P48" s="9">
        <f>Data[[#This Row],[Tasa Enparalelo]]</f>
        <v>13.05</v>
      </c>
    </row>
    <row r="49" spans="1:16" customFormat="1" hidden="1" x14ac:dyDescent="0.25">
      <c r="A49">
        <f>Data[[#This Row],[Año]]</f>
        <v>2022</v>
      </c>
      <c r="B49" s="21" t="str">
        <f>Data[[#This Row],[Mes]]</f>
        <v>DICIEMBRE</v>
      </c>
      <c r="C49" s="1">
        <f>Data[[#This Row],[ Incremento salario ]]</f>
        <v>0.16</v>
      </c>
      <c r="D49" s="1">
        <f>Data[[#This Row],[ Incremento Acumulado]]</f>
        <v>2.6309918963920436</v>
      </c>
      <c r="E49" s="1">
        <f>Data[[#This Row],[Incremento Ingreso mensual VEF]]</f>
        <v>0</v>
      </c>
      <c r="F49" s="1">
        <f>Data[[#This Row],[Incremento Ingreso mensual VEF]]</f>
        <v>0</v>
      </c>
      <c r="G49" s="1">
        <f>Data[[#This Row],[Inflacion BCV]]</f>
        <v>0.35299999999999998</v>
      </c>
      <c r="H49" s="1">
        <f>Data[[#This Row],[Inflación acumulada BCV]]</f>
        <v>2.3386717021215175</v>
      </c>
      <c r="I49" s="1">
        <f>Data[[#This Row],[ Inflación OVF]]</f>
        <v>0.372</v>
      </c>
      <c r="J49" s="1">
        <f>Data[[#This Row],[ Inflación Acumulada OVF]]</f>
        <v>3.0495391659036315</v>
      </c>
      <c r="K49" s="1">
        <f>Data[[#This Row],[ Deevaluación BCV]]</f>
        <v>0.5780821917808221</v>
      </c>
      <c r="L49" s="1">
        <f>Data[[#This Row],[ Devaluación acumulada BCV]]</f>
        <v>2.7450476065966201</v>
      </c>
      <c r="M49" s="1">
        <f>Data[[#This Row],[Depreciación EP]]</f>
        <v>0.42145593869731801</v>
      </c>
      <c r="N49" s="1">
        <f>Data[[#This Row],[Devaluación Acumulada EP]]</f>
        <v>2.9606722226048641</v>
      </c>
      <c r="O49" s="9">
        <f>Data[[#This Row],[Tasa bcv]]</f>
        <v>17.28</v>
      </c>
      <c r="P49" s="9">
        <f>Data[[#This Row],[Tasa Enparalelo]]</f>
        <v>18.55</v>
      </c>
    </row>
    <row r="50" spans="1:16" x14ac:dyDescent="0.25">
      <c r="A50">
        <f>Data[[#This Row],[Año]]</f>
        <v>2023</v>
      </c>
      <c r="B50" s="21" t="str">
        <f>Data[[#This Row],[Mes]]</f>
        <v>ENERO</v>
      </c>
      <c r="C50" s="1">
        <f>Data[[#This Row],[ Incremento salario ]]</f>
        <v>0.4</v>
      </c>
      <c r="D50" s="1">
        <f>Data[[#This Row],[ Incremento Acumulado]]</f>
        <v>0.4</v>
      </c>
      <c r="E50" s="1">
        <f>Data[[#This Row],[Incremento Ingreso mensual VEF]]</f>
        <v>0.35</v>
      </c>
      <c r="F50" s="1">
        <f>Data[[#This Row],[ingreso mensual ytd]]</f>
        <v>0.35</v>
      </c>
      <c r="G50" s="1">
        <f>Data[[#This Row],[Inflacion BCV]]</f>
        <v>0.4214</v>
      </c>
      <c r="H50" s="1">
        <f>Data[[#This Row],[Inflación acumulada BCV]]</f>
        <v>0.4214</v>
      </c>
      <c r="I50" s="1">
        <f>Data[[#This Row],[ Inflación OVF]]</f>
        <v>0.39400000000000002</v>
      </c>
      <c r="J50" s="1">
        <f>Data[[#This Row],[ Inflación Acumulada OVF]]</f>
        <v>0.39400000000000002</v>
      </c>
      <c r="K50" s="1">
        <f>Data[[#This Row],[ Deevaluación BCV]]</f>
        <v>0.27025462962962954</v>
      </c>
      <c r="L50" s="1">
        <f>Data[[#This Row],[ Devaluación acumulada BCV]]</f>
        <v>0.27025462962962954</v>
      </c>
      <c r="M50" s="1">
        <f>Data[[#This Row],[Depreciación EP]]</f>
        <v>0.23989218328840956</v>
      </c>
      <c r="N50" s="1">
        <f>Data[[#This Row],[Devaluación Acumulada EP]]</f>
        <v>0.23989218328840956</v>
      </c>
      <c r="O50" s="9">
        <f>Data[[#This Row],[Tasa bcv]]</f>
        <v>21.95</v>
      </c>
      <c r="P50" s="9">
        <f>Data[[#This Row],[Tasa Enparalelo]]</f>
        <v>23</v>
      </c>
    </row>
    <row r="51" spans="1:16" x14ac:dyDescent="0.25">
      <c r="A51">
        <f>Data[[#This Row],[Año]]</f>
        <v>2023</v>
      </c>
      <c r="B51" s="21" t="str">
        <f>Data[[#This Row],[Mes]]</f>
        <v>FEBRERO</v>
      </c>
      <c r="C51" s="1">
        <f>Data[[#This Row],[ Incremento salario ]]</f>
        <v>0.4</v>
      </c>
      <c r="D51" s="1">
        <f>Data[[#This Row],[ Incremento Acumulado]]</f>
        <v>0.95999999999999974</v>
      </c>
      <c r="E51" s="1">
        <f>Data[[#This Row],[Incremento Ingreso mensual VEF]]</f>
        <v>0.25</v>
      </c>
      <c r="F51" s="1">
        <f>Data[[#This Row],[ingreso mensual ytd]]</f>
        <v>0.6875</v>
      </c>
      <c r="G51" s="1">
        <f>Data[[#This Row],[Inflacion BCV]]</f>
        <v>0.193</v>
      </c>
      <c r="H51" s="1">
        <f>Data[[#This Row],[Inflación acumulada BCV]]</f>
        <v>0.69573020000000008</v>
      </c>
      <c r="I51" s="1">
        <f>Data[[#This Row],[ Inflación OVF]]</f>
        <v>0.154</v>
      </c>
      <c r="J51" s="1">
        <f>Data[[#This Row],[ Inflación Acumulada OVF]]</f>
        <v>0.60867599999999999</v>
      </c>
      <c r="K51" s="1">
        <f>Data[[#This Row],[ Deevaluación BCV]]</f>
        <v>0.10979498861047832</v>
      </c>
      <c r="L51" s="1">
        <f>Data[[#This Row],[ Devaluación acumulada BCV]]</f>
        <v>0.4097222222222221</v>
      </c>
      <c r="M51" s="1">
        <f>Data[[#This Row],[Depreciación EP]]</f>
        <v>7.3913043478260887E-2</v>
      </c>
      <c r="N51" s="1">
        <f>Data[[#This Row],[Devaluación Acumulada EP]]</f>
        <v>0.33153638814016162</v>
      </c>
      <c r="O51" s="9">
        <f>Data[[#This Row],[Tasa bcv]]</f>
        <v>24.36</v>
      </c>
      <c r="P51" s="9">
        <f>Data[[#This Row],[Tasa Enparalelo]]</f>
        <v>24.7</v>
      </c>
    </row>
    <row r="52" spans="1:16" x14ac:dyDescent="0.25">
      <c r="A52">
        <f>Data[[#This Row],[Año]]</f>
        <v>2023</v>
      </c>
      <c r="B52" s="21" t="str">
        <f>Data[[#This Row],[Mes]]</f>
        <v>MARZO</v>
      </c>
      <c r="C52" s="1">
        <f>Data[[#This Row],[ Incremento salario ]]</f>
        <v>0.16</v>
      </c>
      <c r="D52" s="1">
        <f>Data[[#This Row],[ Incremento Acumulado]]</f>
        <v>1.2735999999999996</v>
      </c>
      <c r="E52" s="1">
        <f>Data[[#This Row],[Incremento Ingreso mensual VEF]]</f>
        <v>0.15</v>
      </c>
      <c r="F52" s="1">
        <f>Data[[#This Row],[ingreso mensual ytd]]</f>
        <v>0.94062499999999982</v>
      </c>
      <c r="G52" s="1">
        <f>Data[[#This Row],[Inflacion BCV]]</f>
        <v>6.0900000000000003E-2</v>
      </c>
      <c r="H52" s="1">
        <f>Data[[#This Row],[Inflación acumulada BCV]]</f>
        <v>0.79900016917999994</v>
      </c>
      <c r="I52" s="1">
        <f>Data[[#This Row],[ Inflación OVF]]</f>
        <v>4.2000000000000003E-2</v>
      </c>
      <c r="J52" s="1">
        <f>Data[[#This Row],[ Inflación Acumulada OVF]]</f>
        <v>0.67624039199999997</v>
      </c>
      <c r="K52" s="1">
        <f>Data[[#This Row],[ Deevaluación BCV]]</f>
        <v>4.9261083743843415E-3</v>
      </c>
      <c r="L52" s="1">
        <f>Data[[#This Row],[ Devaluación acumulada BCV]]</f>
        <v>0.41666666666666674</v>
      </c>
      <c r="M52" s="1">
        <f>Data[[#This Row],[Depreciación EP]]</f>
        <v>2.0242914979757831E-3</v>
      </c>
      <c r="N52" s="1">
        <f>Data[[#This Row],[Devaluación Acumulada EP]]</f>
        <v>0.33423180592991919</v>
      </c>
      <c r="O52" s="9">
        <f>Data[[#This Row],[Tasa bcv]]</f>
        <v>24.48</v>
      </c>
      <c r="P52" s="9">
        <f>Data[[#This Row],[Tasa Enparalelo]]</f>
        <v>24.75</v>
      </c>
    </row>
    <row r="53" spans="1:16" x14ac:dyDescent="0.25">
      <c r="A53">
        <f>Data[[#This Row],[Año]]</f>
        <v>2023</v>
      </c>
      <c r="B53" s="21" t="str">
        <f>Data[[#This Row],[Mes]]</f>
        <v>ABRIL</v>
      </c>
      <c r="C53" s="1">
        <f>Data[[#This Row],[ Incremento salario ]]</f>
        <v>0.09</v>
      </c>
      <c r="D53" s="1">
        <f>Data[[#This Row],[ Incremento Acumulado]]</f>
        <v>1.478224</v>
      </c>
      <c r="E53" s="1">
        <f>Data[[#This Row],[Incremento Ingreso mensual VEF]]</f>
        <v>0.09</v>
      </c>
      <c r="F53" s="1">
        <f>Data[[#This Row],[ingreso mensual ytd]]</f>
        <v>1.1152812499999998</v>
      </c>
      <c r="G53" s="1">
        <f>Data[[#This Row],[Inflacion BCV]]</f>
        <v>3.7999999999999999E-2</v>
      </c>
      <c r="H53" s="1">
        <f>Data[[#This Row],[Inflación acumulada BCV]]</f>
        <v>0.8673621756088401</v>
      </c>
      <c r="I53" s="1">
        <f>Data[[#This Row],[ Inflación OVF]]</f>
        <v>2.5000000000000001E-2</v>
      </c>
      <c r="J53" s="1">
        <f>Data[[#This Row],[ Inflación Acumulada OVF]]</f>
        <v>0.71814640179999989</v>
      </c>
      <c r="K53" s="1">
        <f>Data[[#This Row],[ Deevaluación BCV]]</f>
        <v>1.1029411764705843E-2</v>
      </c>
      <c r="L53" s="1">
        <f>Data[[#This Row],[ Devaluación acumulada BCV]]</f>
        <v>0.43229166666666674</v>
      </c>
      <c r="M53" s="1">
        <f>Data[[#This Row],[Depreciación EP]]</f>
        <v>3.4747474747474749E-2</v>
      </c>
      <c r="N53" s="1">
        <f>Data[[#This Row],[Devaluación Acumulada EP]]</f>
        <v>0.38059299191374674</v>
      </c>
      <c r="O53" s="9">
        <f>Data[[#This Row],[Tasa bcv]]</f>
        <v>24.75</v>
      </c>
      <c r="P53" s="9">
        <f>Data[[#This Row],[Tasa Enparalelo]]</f>
        <v>25.61</v>
      </c>
    </row>
    <row r="54" spans="1:16" x14ac:dyDescent="0.25">
      <c r="A54">
        <f>Data[[#This Row],[Año]]</f>
        <v>2023</v>
      </c>
      <c r="B54" s="21" t="str">
        <f>Data[[#This Row],[Mes]]</f>
        <v>MAYO</v>
      </c>
      <c r="C54" s="1">
        <f>Data[[#This Row],[ Incremento salario ]]</f>
        <v>0.13</v>
      </c>
      <c r="D54" s="1">
        <f>Data[[#This Row],[ Incremento Acumulado]]</f>
        <v>1.8003931199999998</v>
      </c>
      <c r="E54" s="1">
        <f>Data[[#This Row],[Incremento Ingreso mensual VEF]]</f>
        <v>0.09</v>
      </c>
      <c r="F54" s="1">
        <f>Data[[#This Row],[ingreso mensual ytd]]</f>
        <v>1.3056565624999998</v>
      </c>
      <c r="G54" s="1">
        <f>Data[[#This Row],[Inflacion BCV]]</f>
        <v>5.0999999999999997E-2</v>
      </c>
      <c r="H54" s="1">
        <f>Data[[#This Row],[Inflación acumulada BCV]]</f>
        <v>0.96259764656489089</v>
      </c>
      <c r="I54" s="1">
        <f>Data[[#This Row],[ Inflación OVF]]</f>
        <v>7.5999999999999998E-2</v>
      </c>
      <c r="J54" s="1">
        <f>Data[[#This Row],[ Inflación Acumulada OVF]]</f>
        <v>0.84872552833680004</v>
      </c>
      <c r="K54" s="1">
        <f>Data[[#This Row],[ Deevaluación BCV]]</f>
        <v>5.6969696969696892E-2</v>
      </c>
      <c r="L54" s="1">
        <f>Data[[#This Row],[ Devaluación acumulada BCV]]</f>
        <v>0.51388888888888884</v>
      </c>
      <c r="M54" s="1">
        <f>Data[[#This Row],[Depreciación EP]]</f>
        <v>9.137055837563457E-2</v>
      </c>
      <c r="N54" s="1">
        <f>Data[[#This Row],[Devaluación Acumulada EP]]</f>
        <v>0.5067385444743937</v>
      </c>
      <c r="O54" s="9">
        <f>Data[[#This Row],[Tasa bcv]]</f>
        <v>26.16</v>
      </c>
      <c r="P54" s="9">
        <f>Data[[#This Row],[Tasa Enparalelo]]</f>
        <v>27.95</v>
      </c>
    </row>
    <row r="55" spans="1:16" x14ac:dyDescent="0.25">
      <c r="A55">
        <f>Data[[#This Row],[Año]]</f>
        <v>2023</v>
      </c>
      <c r="B55" s="21" t="str">
        <f>Data[[#This Row],[Mes]]</f>
        <v>JUNIO</v>
      </c>
      <c r="C55" s="1">
        <f>Data[[#This Row],[ Incremento salario ]]</f>
        <v>0.05</v>
      </c>
      <c r="D55" s="1">
        <f>Data[[#This Row],[ Incremento Acumulado]]</f>
        <v>1.9404127760000001</v>
      </c>
      <c r="E55" s="1">
        <f>Data[[#This Row],[Incremento Ingreso mensual VEF]]</f>
        <v>0.05</v>
      </c>
      <c r="F55" s="1">
        <f>Data[[#This Row],[ingreso mensual ytd]]</f>
        <v>1.4209393906250001</v>
      </c>
      <c r="G55" s="1">
        <f>Data[[#This Row],[Inflacion BCV]]</f>
        <v>6.2E-2</v>
      </c>
      <c r="H55" s="1">
        <f>Data[[#This Row],[Inflación acumulada BCV]]</f>
        <v>1.0842787006519141</v>
      </c>
      <c r="I55" s="1">
        <f>Data[[#This Row],[ Inflación OVF]]</f>
        <v>8.5000000000000006E-2</v>
      </c>
      <c r="J55" s="1">
        <f>Data[[#This Row],[ Inflación Acumulada OVF]]</f>
        <v>1.0058671982454279</v>
      </c>
      <c r="K55" s="1">
        <f>Data[[#This Row],[ Deevaluación BCV]]</f>
        <v>6.4602446483180476E-2</v>
      </c>
      <c r="L55" s="1">
        <f>Data[[#This Row],[ Devaluación acumulada BCV]]</f>
        <v>0.61168981481481488</v>
      </c>
      <c r="M55" s="1">
        <f>Data[[#This Row],[Depreciación EP]]</f>
        <v>5.2951699463327451E-2</v>
      </c>
      <c r="N55" s="1">
        <f>Data[[#This Row],[Devaluación Acumulada EP]]</f>
        <v>0.58652291105121335</v>
      </c>
      <c r="O55" s="9">
        <f>Data[[#This Row],[Tasa bcv]]</f>
        <v>27.85</v>
      </c>
      <c r="P55" s="9">
        <f>Data[[#This Row],[Tasa Enparalelo]]</f>
        <v>29.43</v>
      </c>
    </row>
    <row r="56" spans="1:16" x14ac:dyDescent="0.25">
      <c r="A56">
        <f>Data[[#This Row],[Año]]</f>
        <v>2023</v>
      </c>
      <c r="B56" s="21" t="str">
        <f>Data[[#This Row],[Mes]]</f>
        <v>JULIO</v>
      </c>
      <c r="C56" s="1">
        <f>Data[[#This Row],[ Incremento salario ]]</f>
        <v>0.06</v>
      </c>
      <c r="D56" s="1">
        <f>Data[[#This Row],[ Incremento Acumulado]]</f>
        <v>2.1168375425600003</v>
      </c>
      <c r="E56" s="1">
        <f>Data[[#This Row],[Incremento Ingreso mensual VEF]]</f>
        <v>6.2E-2</v>
      </c>
      <c r="F56" s="1">
        <f>Data[[#This Row],[ingreso mensual ytd]]</f>
        <v>1.5710376328437503</v>
      </c>
      <c r="G56" s="1">
        <f>Data[[#This Row],[Inflacion BCV]]</f>
        <v>6.2E-2</v>
      </c>
      <c r="H56" s="1">
        <f>Data[[#This Row],[Inflación acumulada BCV]]</f>
        <v>1.2135039800923328</v>
      </c>
      <c r="I56" s="1">
        <f>Data[[#This Row],[ Inflación OVF]]</f>
        <v>7.1999999999999995E-2</v>
      </c>
      <c r="J56" s="1">
        <f>Data[[#This Row],[ Inflación Acumulada OVF]]</f>
        <v>1.1502896365190987</v>
      </c>
      <c r="K56" s="1">
        <f>Data[[#This Row],[ Deevaluación BCV]]</f>
        <v>5.2064631956912022E-2</v>
      </c>
      <c r="L56" s="1">
        <f>Data[[#This Row],[ Devaluación acumulada BCV]]</f>
        <v>0.69560185185185186</v>
      </c>
      <c r="M56" s="1">
        <f>Data[[#This Row],[Depreciación EP]]</f>
        <v>7.0336391437308965E-2</v>
      </c>
      <c r="N56" s="1">
        <f>Data[[#This Row],[Devaluación Acumulada EP]]</f>
        <v>0.69811320754717032</v>
      </c>
      <c r="O56" s="9">
        <f>Data[[#This Row],[Tasa bcv]]</f>
        <v>29.3</v>
      </c>
      <c r="P56" s="9">
        <f>Data[[#This Row],[Tasa Enparalelo]]</f>
        <v>31.5</v>
      </c>
    </row>
    <row r="57" spans="1:16" x14ac:dyDescent="0.25">
      <c r="A57">
        <f>Data[[#This Row],[Año]]</f>
        <v>2023</v>
      </c>
      <c r="B57" s="21" t="str">
        <f>Data[[#This Row],[Mes]]</f>
        <v xml:space="preserve">AGOSTO </v>
      </c>
      <c r="C57" s="1">
        <f>Data[[#This Row],[ Incremento salario ]]</f>
        <v>0.03</v>
      </c>
      <c r="D57" s="1">
        <f>Data[[#This Row],[ Incremento Acumulado]]</f>
        <v>2.2103426688368004</v>
      </c>
      <c r="E57" s="1">
        <f>Data[[#This Row],[Incremento Ingreso mensual VEF]]</f>
        <v>3.9E-2</v>
      </c>
      <c r="F57" s="1">
        <f>Data[[#This Row],[ingreso mensual ytd]]</f>
        <v>1.6713081005246564</v>
      </c>
      <c r="G57" s="1">
        <f>Data[[#This Row],[Inflacion BCV]]</f>
        <v>7.3999999999999996E-2</v>
      </c>
      <c r="H57" s="1">
        <f>Data[[#This Row],[Inflación acumulada BCV]]</f>
        <v>1.3773032746191656</v>
      </c>
      <c r="I57" s="1">
        <f>Data[[#This Row],[ Inflación OVF]]</f>
        <v>0.13600000000000001</v>
      </c>
      <c r="J57" s="1">
        <f>Data[[#This Row],[ Inflación Acumulada OVF]]</f>
        <v>1.4427290270856963</v>
      </c>
      <c r="K57" s="1">
        <f>Data[[#This Row],[ Deevaluación BCV]]</f>
        <v>0.1067713310580205</v>
      </c>
      <c r="L57" s="1">
        <f>Data[[#This Row],[ Devaluación acumulada BCV]]</f>
        <v>0.87664351851851863</v>
      </c>
      <c r="M57" s="1">
        <f>Data[[#This Row],[Depreciación EP]]</f>
        <v>0</v>
      </c>
      <c r="N57" s="1">
        <f>Data[[#This Row],[Devaluación Acumulada EP]]</f>
        <v>0</v>
      </c>
      <c r="O57" s="9">
        <f>Data[[#This Row],[Tasa bcv]]</f>
        <v>32.428400000000003</v>
      </c>
      <c r="P57" s="9">
        <f>Data[[#This Row],[Tasa Enparalelo]]</f>
        <v>0</v>
      </c>
    </row>
    <row r="58" spans="1:16" x14ac:dyDescent="0.25">
      <c r="A58">
        <f>Data[[#This Row],[Año]]</f>
        <v>2023</v>
      </c>
      <c r="B58" s="21" t="str">
        <f>Data[[#This Row],[Mes]]</f>
        <v>SEPTIEMBRE</v>
      </c>
      <c r="C58" s="1">
        <f>Data[[#This Row],[ Incremento salario ]]</f>
        <v>0.05</v>
      </c>
      <c r="D58" s="1">
        <f>Data[[#This Row],[ Incremento Acumulado]]</f>
        <v>2.3708598022786407</v>
      </c>
      <c r="E58" s="1">
        <f>Data[[#This Row],[Incremento Ingreso mensual VEF]]</f>
        <v>5.7000000000000002E-2</v>
      </c>
      <c r="F58" s="1">
        <f>Data[[#This Row],[ingreso mensual ytd]]</f>
        <v>1.8235726622545618</v>
      </c>
      <c r="G58" s="1">
        <f>Data[[#This Row],[Inflacion BCV]]</f>
        <v>8.6999999999999994E-2</v>
      </c>
      <c r="H58" s="1">
        <f>Data[[#This Row],[Inflación acumulada BCV]]</f>
        <v>1.5841286595110331</v>
      </c>
      <c r="I58" s="1">
        <f>Data[[#This Row],[ Inflación OVF]]</f>
        <v>0.06</v>
      </c>
      <c r="J58" s="1">
        <f>Data[[#This Row],[ Inflación Acumulada OVF]]</f>
        <v>1.589292768710838</v>
      </c>
      <c r="K58" s="1">
        <f>Data[[#This Row],[ Deevaluación BCV]]</f>
        <v>5.617298417436567E-2</v>
      </c>
      <c r="L58" s="1">
        <f>Data[[#This Row],[ Devaluación acumulada BCV]]</f>
        <v>0.98206018518518534</v>
      </c>
      <c r="M58" s="1">
        <f>Data[[#This Row],[Depreciación EP]]</f>
        <v>0</v>
      </c>
      <c r="N58" s="1">
        <f>Data[[#This Row],[Devaluación Acumulada EP]]</f>
        <v>0</v>
      </c>
      <c r="O58" s="9">
        <f>Data[[#This Row],[Tasa bcv]]</f>
        <v>34.25</v>
      </c>
      <c r="P58" s="9">
        <f>Data[[#This Row],[Tasa Enparalelo]]</f>
        <v>0</v>
      </c>
    </row>
    <row r="59" spans="1:16" x14ac:dyDescent="0.25">
      <c r="A59">
        <f>Data[[#This Row],[Año]]</f>
        <v>2023</v>
      </c>
      <c r="B59" s="21" t="str">
        <f>Data[[#This Row],[Mes]]</f>
        <v>OCTUBRE</v>
      </c>
      <c r="C59" s="1">
        <f>Data[[#This Row],[ Incremento salario ]]</f>
        <v>9.0300000000000005E-2</v>
      </c>
      <c r="D59" s="1">
        <f>Data[[#This Row],[ Incremento Acumulado]]</f>
        <v>2.6752484424244023</v>
      </c>
      <c r="E59" s="1">
        <f>Data[[#This Row],[Incremento Ingreso mensual VEF]]</f>
        <v>6.3E-2</v>
      </c>
      <c r="F59" s="1">
        <f>Data[[#This Row],[ingreso mensual ytd]]</f>
        <v>2.0014577399765989</v>
      </c>
      <c r="G59" s="1">
        <f>Data[[#This Row],[Inflacion BCV]]</f>
        <v>5.8999999999999997E-2</v>
      </c>
      <c r="H59" s="1">
        <f>Data[[#This Row],[Inflación acumulada BCV]]</f>
        <v>1.7365922504221838</v>
      </c>
      <c r="I59" s="1">
        <f>Data[[#This Row],[ Inflación OVF]]</f>
        <v>6.7000000000000004E-2</v>
      </c>
      <c r="J59" s="1">
        <f>Data[[#This Row],[ Inflación Acumulada OVF]]</f>
        <v>1.7627753842144642</v>
      </c>
      <c r="K59" s="1">
        <f>Data[[#This Row],[ Deevaluación BCV]]</f>
        <v>2.540145985401443E-2</v>
      </c>
      <c r="L59" s="1">
        <f>Data[[#This Row],[ Devaluación acumulada BCV]]</f>
        <v>1.0324074074074074</v>
      </c>
      <c r="M59" s="1">
        <f>Data[[#This Row],[Depreciación EP]]</f>
        <v>0</v>
      </c>
      <c r="N59" s="1">
        <f>Data[[#This Row],[Devaluación Acumulada EP]]</f>
        <v>0</v>
      </c>
      <c r="O59" s="9">
        <f>Data[[#This Row],[Tasa bcv]]</f>
        <v>35.119999999999997</v>
      </c>
      <c r="P59" s="9">
        <f>Data[[#This Row],[Tasa Enparalelo]]</f>
        <v>0</v>
      </c>
    </row>
    <row r="60" spans="1:16" x14ac:dyDescent="0.25">
      <c r="A60">
        <f>Data[[#This Row],[Año]]</f>
        <v>2023</v>
      </c>
      <c r="B60" s="21" t="str">
        <f>Data[[#This Row],[Mes]]</f>
        <v>NOVIEMBRE</v>
      </c>
      <c r="C60" s="1">
        <f>Data[[#This Row],[ Incremento salario ]]</f>
        <v>0.09</v>
      </c>
      <c r="D60" s="1">
        <f>Data[[#This Row],[ Incremento Acumulado]]</f>
        <v>3.0060208022425989</v>
      </c>
      <c r="E60" s="1">
        <f>Data[[#This Row],[Incremento Ingreso mensual VEF]]</f>
        <v>4.5999999999999999E-2</v>
      </c>
      <c r="F60" s="1">
        <f>Data[[#This Row],[ingreso mensual ytd]]</f>
        <v>2.1395247960155226</v>
      </c>
      <c r="G60" s="1">
        <f>Data[[#This Row],[Inflacion BCV]]</f>
        <v>3.5000000000000003E-2</v>
      </c>
      <c r="H60" s="1">
        <f>Data[[#This Row],[Inflación acumulada BCV]]</f>
        <v>1.8323729791869598</v>
      </c>
      <c r="I60" s="1">
        <f>Data[[#This Row],[ Inflación OVF]]</f>
        <v>1.7999999999999999E-2</v>
      </c>
      <c r="J60" s="1">
        <f>Data[[#This Row],[ Inflación Acumulada OVF]]</f>
        <v>1.8125053411303247</v>
      </c>
      <c r="K60" s="1">
        <f>Data[[#This Row],[ Deevaluación BCV]]</f>
        <v>1.0535307517084425E-2</v>
      </c>
      <c r="L60" s="1">
        <f>Data[[#This Row],[ Devaluación acumulada BCV]]</f>
        <v>1.0538194444444446</v>
      </c>
      <c r="M60" s="1">
        <f>Data[[#This Row],[Depreciación EP]]</f>
        <v>0</v>
      </c>
      <c r="N60" s="1">
        <f>Data[[#This Row],[Devaluación Acumulada EP]]</f>
        <v>0</v>
      </c>
      <c r="O60" s="9">
        <f>Data[[#This Row],[Tasa bcv]]</f>
        <v>35.49</v>
      </c>
      <c r="P60" s="9">
        <f>Data[[#This Row],[Tasa Enparalelo]]</f>
        <v>0</v>
      </c>
    </row>
    <row r="61" spans="1:16" x14ac:dyDescent="0.25">
      <c r="A61">
        <f>Data[[#This Row],[Año]]</f>
        <v>2023</v>
      </c>
      <c r="B61" s="21" t="str">
        <f>Data[[#This Row],[Mes]]</f>
        <v>DICIEMBRE</v>
      </c>
      <c r="C61" s="1">
        <f>Data[[#This Row],[ Incremento salario ]]</f>
        <v>0.02</v>
      </c>
      <c r="D61" s="1">
        <f>Data[[#This Row],[ Incremento Acumulado]]</f>
        <v>3.0861412182874508</v>
      </c>
      <c r="E61" s="1">
        <f>Data[[#This Row],[Incremento Ingreso mensual VEF]]</f>
        <v>0.03</v>
      </c>
      <c r="F61" s="1">
        <f>Data[[#This Row],[ingreso mensual ytd]]</f>
        <v>2.2337105398959882</v>
      </c>
      <c r="G61" s="1">
        <f>Data[[#This Row],[Inflacion BCV]]</f>
        <v>2.4E-2</v>
      </c>
      <c r="H61" s="1">
        <f>Data[[#This Row],[Inflación acumulada BCV]]</f>
        <v>1.900349930687447</v>
      </c>
      <c r="I61" s="1">
        <f>Data[[#This Row],[ Inflación OVF]]</f>
        <v>3.9E-2</v>
      </c>
      <c r="J61" s="1">
        <f>Data[[#This Row],[ Inflación Acumulada OVF]]</f>
        <v>1.9221930494344073</v>
      </c>
      <c r="K61" s="1">
        <f>Data[[#This Row],[ Deevaluación BCV]]</f>
        <v>1.239785855170461E-2</v>
      </c>
      <c r="L61" s="1">
        <f>Data[[#This Row],[ Devaluación acumulada BCV]]</f>
        <v>1.0792824074074074</v>
      </c>
      <c r="M61" s="1">
        <f>Data[[#This Row],[Depreciación EP]]</f>
        <v>0</v>
      </c>
      <c r="N61" s="1">
        <f>Data[[#This Row],[Devaluación Acumulada EP]]</f>
        <v>0</v>
      </c>
      <c r="O61" s="9">
        <f>Data[[#This Row],[Tasa bcv]]</f>
        <v>35.93</v>
      </c>
      <c r="P61" s="9">
        <f>Data[[#This Row],[Tasa Enparalelo]]</f>
        <v>0</v>
      </c>
    </row>
    <row r="62" spans="1:16" x14ac:dyDescent="0.25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3"/>
      <c r="M62" s="34"/>
      <c r="N62" s="34"/>
    </row>
    <row r="63" spans="1:16" x14ac:dyDescent="0.25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3"/>
      <c r="M63" s="34"/>
      <c r="N63" s="34"/>
    </row>
    <row r="64" spans="1:16" x14ac:dyDescent="0.25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3"/>
      <c r="M64" s="34"/>
      <c r="N64" s="34"/>
    </row>
    <row r="65" spans="2:14" x14ac:dyDescent="0.25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3"/>
      <c r="M65" s="34"/>
      <c r="N65" s="34"/>
    </row>
    <row r="66" spans="2:14" x14ac:dyDescent="0.25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34"/>
      <c r="N66" s="34"/>
    </row>
    <row r="67" spans="2:14" x14ac:dyDescent="0.25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3"/>
      <c r="M67" s="34"/>
      <c r="N67" s="34"/>
    </row>
    <row r="68" spans="2:14" x14ac:dyDescent="0.25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3"/>
      <c r="M68" s="34"/>
      <c r="N68" s="34"/>
    </row>
    <row r="69" spans="2:14" x14ac:dyDescent="0.25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3"/>
      <c r="M69" s="34"/>
      <c r="N69" s="34"/>
    </row>
    <row r="70" spans="2:14" x14ac:dyDescent="0.25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3"/>
      <c r="M70" s="34"/>
      <c r="N70" s="34"/>
    </row>
    <row r="71" spans="2:14" x14ac:dyDescent="0.25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3"/>
      <c r="M71" s="34"/>
      <c r="N71" s="34"/>
    </row>
    <row r="72" spans="2:14" x14ac:dyDescent="0.25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4"/>
      <c r="N72" s="34"/>
    </row>
    <row r="73" spans="2:14" x14ac:dyDescent="0.25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3"/>
      <c r="M73" s="34"/>
      <c r="N73" s="34"/>
    </row>
  </sheetData>
  <autoFilter ref="A1:N61" xr:uid="{4C3E247A-D9AC-4F25-9177-E96321E22762}">
    <filterColumn colId="0">
      <filters>
        <filter val="2023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A29F-B1D8-42F3-9523-7AE340D619B5}">
  <dimension ref="A1:K936"/>
  <sheetViews>
    <sheetView topLeftCell="A843" workbookViewId="0">
      <selection activeCell="E856" sqref="E856"/>
    </sheetView>
  </sheetViews>
  <sheetFormatPr baseColWidth="10" defaultColWidth="22" defaultRowHeight="15" x14ac:dyDescent="0.25"/>
  <sheetData>
    <row r="1" spans="1:11" x14ac:dyDescent="0.25">
      <c r="A1" s="54" t="s">
        <v>146</v>
      </c>
      <c r="B1" s="54" t="s">
        <v>40</v>
      </c>
      <c r="C1" s="54" t="s">
        <v>17</v>
      </c>
      <c r="D1" s="54" t="s">
        <v>109</v>
      </c>
      <c r="E1" s="54" t="s">
        <v>67</v>
      </c>
      <c r="F1" s="54" t="s">
        <v>145</v>
      </c>
      <c r="G1" s="54" t="s">
        <v>162</v>
      </c>
      <c r="H1" s="54" t="s">
        <v>161</v>
      </c>
      <c r="I1" s="54" t="s">
        <v>157</v>
      </c>
      <c r="J1" s="54" t="s">
        <v>155</v>
      </c>
      <c r="K1" s="54" t="s">
        <v>156</v>
      </c>
    </row>
    <row r="2" spans="1:11" x14ac:dyDescent="0.25">
      <c r="A2" s="55" t="s">
        <v>147</v>
      </c>
      <c r="B2" s="56" t="s">
        <v>23</v>
      </c>
      <c r="C2" s="55">
        <v>2024</v>
      </c>
      <c r="D2" s="57">
        <v>45292</v>
      </c>
      <c r="E2" s="55">
        <v>35.866999999999997</v>
      </c>
      <c r="F2" s="55">
        <v>39.130000000000003</v>
      </c>
      <c r="G2" s="70">
        <f>+F2-E2</f>
        <v>3.2630000000000052</v>
      </c>
      <c r="H2" s="61">
        <f>+F2/E2-1</f>
        <v>9.0974990938746059E-2</v>
      </c>
    </row>
    <row r="3" spans="1:11" x14ac:dyDescent="0.25">
      <c r="A3" s="55" t="s">
        <v>148</v>
      </c>
      <c r="B3" s="56" t="s">
        <v>23</v>
      </c>
      <c r="C3" s="55">
        <v>2024</v>
      </c>
      <c r="D3" s="57">
        <v>45293</v>
      </c>
      <c r="E3" s="55">
        <v>35.866999999999997</v>
      </c>
      <c r="F3" s="55">
        <v>38.799999999999997</v>
      </c>
      <c r="G3" s="69">
        <f t="shared" ref="G3:G66" si="0">+F3-E3</f>
        <v>2.9329999999999998</v>
      </c>
      <c r="H3" s="61">
        <f t="shared" ref="H3:H66" si="1">+F3/E3-1</f>
        <v>8.1774332952295969E-2</v>
      </c>
    </row>
    <row r="4" spans="1:11" x14ac:dyDescent="0.25">
      <c r="A4" s="55" t="s">
        <v>149</v>
      </c>
      <c r="B4" s="56" t="s">
        <v>23</v>
      </c>
      <c r="C4" s="55">
        <v>2024</v>
      </c>
      <c r="D4" s="57">
        <v>45294</v>
      </c>
      <c r="E4" s="55">
        <v>35.866999999999997</v>
      </c>
      <c r="F4" s="55">
        <v>38.799999999999997</v>
      </c>
      <c r="G4" s="69">
        <f t="shared" si="0"/>
        <v>2.9329999999999998</v>
      </c>
      <c r="H4" s="61">
        <f t="shared" si="1"/>
        <v>8.1774332952295969E-2</v>
      </c>
    </row>
    <row r="5" spans="1:11" x14ac:dyDescent="0.25">
      <c r="A5" s="55" t="s">
        <v>150</v>
      </c>
      <c r="B5" s="56" t="s">
        <v>23</v>
      </c>
      <c r="C5" s="55">
        <v>2024</v>
      </c>
      <c r="D5" s="57">
        <v>45295</v>
      </c>
      <c r="E5" s="55">
        <v>35.949599999999997</v>
      </c>
      <c r="F5" s="55">
        <v>38.6</v>
      </c>
      <c r="G5" s="69">
        <f t="shared" si="0"/>
        <v>2.6504000000000048</v>
      </c>
      <c r="H5" s="61">
        <f t="shared" si="1"/>
        <v>7.3725437835191698E-2</v>
      </c>
    </row>
    <row r="6" spans="1:11" x14ac:dyDescent="0.25">
      <c r="A6" s="55" t="s">
        <v>151</v>
      </c>
      <c r="B6" s="56" t="s">
        <v>23</v>
      </c>
      <c r="C6" s="55">
        <v>2024</v>
      </c>
      <c r="D6" s="57">
        <v>45296</v>
      </c>
      <c r="E6" s="55">
        <v>36.034500000000001</v>
      </c>
      <c r="F6" s="55">
        <v>38.51</v>
      </c>
      <c r="G6" s="69">
        <f t="shared" si="0"/>
        <v>2.4754999999999967</v>
      </c>
      <c r="H6" s="61">
        <f t="shared" si="1"/>
        <v>6.8698053254519831E-2</v>
      </c>
    </row>
    <row r="7" spans="1:11" x14ac:dyDescent="0.25">
      <c r="A7" s="55" t="s">
        <v>152</v>
      </c>
      <c r="B7" s="56" t="s">
        <v>23</v>
      </c>
      <c r="C7" s="55">
        <v>2024</v>
      </c>
      <c r="D7" s="57">
        <v>45297</v>
      </c>
      <c r="E7" s="55">
        <v>36.034500000000001</v>
      </c>
      <c r="F7" s="55">
        <v>38.51</v>
      </c>
      <c r="G7" s="69">
        <f t="shared" si="0"/>
        <v>2.4754999999999967</v>
      </c>
      <c r="H7" s="61">
        <f t="shared" si="1"/>
        <v>6.8698053254519831E-2</v>
      </c>
    </row>
    <row r="8" spans="1:11" x14ac:dyDescent="0.25">
      <c r="A8" s="55" t="s">
        <v>153</v>
      </c>
      <c r="B8" s="56" t="s">
        <v>23</v>
      </c>
      <c r="C8" s="55">
        <v>2024</v>
      </c>
      <c r="D8" s="57">
        <v>45298</v>
      </c>
      <c r="E8" s="55">
        <v>36.034500000000001</v>
      </c>
      <c r="F8" s="55">
        <v>38.51</v>
      </c>
      <c r="G8" s="69">
        <f t="shared" si="0"/>
        <v>2.4754999999999967</v>
      </c>
      <c r="H8" s="61">
        <f t="shared" si="1"/>
        <v>6.8698053254519831E-2</v>
      </c>
    </row>
    <row r="9" spans="1:11" x14ac:dyDescent="0.25">
      <c r="A9" s="55" t="s">
        <v>147</v>
      </c>
      <c r="B9" s="56" t="s">
        <v>23</v>
      </c>
      <c r="C9" s="55">
        <v>2024</v>
      </c>
      <c r="D9" s="57">
        <v>45299</v>
      </c>
      <c r="E9" s="55">
        <v>36.006500000000003</v>
      </c>
      <c r="F9" s="55">
        <v>38.06</v>
      </c>
      <c r="G9" s="69">
        <f t="shared" si="0"/>
        <v>2.0534999999999997</v>
      </c>
      <c r="H9" s="61">
        <f t="shared" si="1"/>
        <v>5.7031369336091986E-2</v>
      </c>
    </row>
    <row r="10" spans="1:11" x14ac:dyDescent="0.25">
      <c r="A10" s="55" t="s">
        <v>148</v>
      </c>
      <c r="B10" s="56" t="s">
        <v>23</v>
      </c>
      <c r="C10" s="55">
        <v>2024</v>
      </c>
      <c r="D10" s="57">
        <v>45300</v>
      </c>
      <c r="E10" s="55">
        <v>35.938499999999998</v>
      </c>
      <c r="F10" s="55">
        <v>38.130000000000003</v>
      </c>
      <c r="G10" s="69">
        <f t="shared" si="0"/>
        <v>2.1915000000000049</v>
      </c>
      <c r="H10" s="61">
        <f t="shared" si="1"/>
        <v>6.0979172753453881E-2</v>
      </c>
    </row>
    <row r="11" spans="1:11" x14ac:dyDescent="0.25">
      <c r="A11" s="55" t="s">
        <v>149</v>
      </c>
      <c r="B11" s="56" t="s">
        <v>23</v>
      </c>
      <c r="C11" s="55">
        <v>2024</v>
      </c>
      <c r="D11" s="57">
        <v>45301</v>
      </c>
      <c r="E11" s="55">
        <v>35.917099999999998</v>
      </c>
      <c r="F11" s="55">
        <v>37.909999999999997</v>
      </c>
      <c r="G11" s="69">
        <f t="shared" si="0"/>
        <v>1.9928999999999988</v>
      </c>
      <c r="H11" s="61">
        <f t="shared" si="1"/>
        <v>5.548610550406341E-2</v>
      </c>
    </row>
    <row r="12" spans="1:11" x14ac:dyDescent="0.25">
      <c r="A12" s="55" t="s">
        <v>150</v>
      </c>
      <c r="B12" s="56" t="s">
        <v>23</v>
      </c>
      <c r="C12" s="55">
        <v>2024</v>
      </c>
      <c r="D12" s="57">
        <v>45302</v>
      </c>
      <c r="E12" s="55">
        <v>35.9437</v>
      </c>
      <c r="F12" s="55">
        <v>38.22</v>
      </c>
      <c r="G12" s="69">
        <f t="shared" si="0"/>
        <v>2.2762999999999991</v>
      </c>
      <c r="H12" s="61">
        <f t="shared" si="1"/>
        <v>6.3329596007088762E-2</v>
      </c>
    </row>
    <row r="13" spans="1:11" x14ac:dyDescent="0.25">
      <c r="A13" s="55" t="s">
        <v>151</v>
      </c>
      <c r="B13" s="56" t="s">
        <v>23</v>
      </c>
      <c r="C13" s="55">
        <v>2024</v>
      </c>
      <c r="D13" s="57">
        <v>45303</v>
      </c>
      <c r="E13" s="55">
        <v>35.962899999999998</v>
      </c>
      <c r="F13" s="55">
        <v>38.380000000000003</v>
      </c>
      <c r="G13" s="69">
        <f t="shared" si="0"/>
        <v>2.4171000000000049</v>
      </c>
      <c r="H13" s="61">
        <f t="shared" si="1"/>
        <v>6.7210931265276219E-2</v>
      </c>
    </row>
    <row r="14" spans="1:11" x14ac:dyDescent="0.25">
      <c r="A14" s="55" t="s">
        <v>152</v>
      </c>
      <c r="B14" s="56" t="s">
        <v>23</v>
      </c>
      <c r="C14" s="55">
        <v>2024</v>
      </c>
      <c r="D14" s="57">
        <v>45304</v>
      </c>
      <c r="E14" s="55">
        <v>35.962899999999998</v>
      </c>
      <c r="F14" s="55">
        <v>38.380000000000003</v>
      </c>
      <c r="G14" s="69">
        <f t="shared" si="0"/>
        <v>2.4171000000000049</v>
      </c>
      <c r="H14" s="61">
        <f t="shared" si="1"/>
        <v>6.7210931265276219E-2</v>
      </c>
    </row>
    <row r="15" spans="1:11" x14ac:dyDescent="0.25">
      <c r="A15" s="55" t="s">
        <v>153</v>
      </c>
      <c r="B15" s="56" t="s">
        <v>23</v>
      </c>
      <c r="C15" s="55">
        <v>2024</v>
      </c>
      <c r="D15" s="57">
        <v>45305</v>
      </c>
      <c r="E15" s="55">
        <v>35.962899999999998</v>
      </c>
      <c r="F15" s="55">
        <v>38.380000000000003</v>
      </c>
      <c r="G15" s="69">
        <f t="shared" si="0"/>
        <v>2.4171000000000049</v>
      </c>
      <c r="H15" s="61">
        <f t="shared" si="1"/>
        <v>6.7210931265276219E-2</v>
      </c>
    </row>
    <row r="16" spans="1:11" x14ac:dyDescent="0.25">
      <c r="A16" s="55" t="s">
        <v>147</v>
      </c>
      <c r="B16" s="56" t="s">
        <v>23</v>
      </c>
      <c r="C16" s="55">
        <v>2024</v>
      </c>
      <c r="D16" s="57">
        <v>45306</v>
      </c>
      <c r="E16" s="55">
        <v>36.039700000000003</v>
      </c>
      <c r="F16" s="55">
        <v>38</v>
      </c>
      <c r="G16" s="69">
        <f t="shared" si="0"/>
        <v>1.9602999999999966</v>
      </c>
      <c r="H16" s="61">
        <f t="shared" si="1"/>
        <v>5.4392794612607709E-2</v>
      </c>
    </row>
    <row r="17" spans="1:11" x14ac:dyDescent="0.25">
      <c r="A17" s="55" t="s">
        <v>148</v>
      </c>
      <c r="B17" s="56" t="s">
        <v>23</v>
      </c>
      <c r="C17" s="55">
        <v>2024</v>
      </c>
      <c r="D17" s="57">
        <v>45307</v>
      </c>
      <c r="E17" s="55">
        <v>35.974400000000003</v>
      </c>
      <c r="F17" s="55">
        <v>38.299999999999997</v>
      </c>
      <c r="G17" s="69">
        <f t="shared" si="0"/>
        <v>2.3255999999999943</v>
      </c>
      <c r="H17" s="61">
        <f t="shared" si="1"/>
        <v>6.4645970467888114E-2</v>
      </c>
    </row>
    <row r="18" spans="1:11" x14ac:dyDescent="0.25">
      <c r="A18" s="55" t="s">
        <v>149</v>
      </c>
      <c r="B18" s="56" t="s">
        <v>23</v>
      </c>
      <c r="C18" s="55">
        <v>2024</v>
      </c>
      <c r="D18" s="57">
        <v>45308</v>
      </c>
      <c r="E18" s="55">
        <v>36.046599999999998</v>
      </c>
      <c r="F18" s="55">
        <v>38.380000000000003</v>
      </c>
      <c r="G18" s="69">
        <f t="shared" si="0"/>
        <v>2.3334000000000046</v>
      </c>
      <c r="H18" s="61">
        <f t="shared" si="1"/>
        <v>6.4732873558116522E-2</v>
      </c>
    </row>
    <row r="19" spans="1:11" x14ac:dyDescent="0.25">
      <c r="A19" s="55" t="s">
        <v>150</v>
      </c>
      <c r="B19" s="56" t="s">
        <v>23</v>
      </c>
      <c r="C19" s="55">
        <v>2024</v>
      </c>
      <c r="D19" s="57">
        <v>45309</v>
      </c>
      <c r="E19" s="55">
        <v>36.076099999999997</v>
      </c>
      <c r="F19" s="55">
        <v>38.6</v>
      </c>
      <c r="G19" s="69">
        <f t="shared" si="0"/>
        <v>2.5239000000000047</v>
      </c>
      <c r="H19" s="61">
        <f t="shared" si="1"/>
        <v>6.9960444726564264E-2</v>
      </c>
    </row>
    <row r="20" spans="1:11" x14ac:dyDescent="0.25">
      <c r="A20" s="55" t="s">
        <v>151</v>
      </c>
      <c r="B20" s="56" t="s">
        <v>23</v>
      </c>
      <c r="C20" s="55">
        <v>2024</v>
      </c>
      <c r="D20" s="57">
        <v>45310</v>
      </c>
      <c r="E20" s="55">
        <v>36.137900000000002</v>
      </c>
      <c r="F20" s="55">
        <v>38.770000000000003</v>
      </c>
      <c r="G20" s="69">
        <f t="shared" si="0"/>
        <v>2.6321000000000012</v>
      </c>
      <c r="H20" s="61">
        <f t="shared" si="1"/>
        <v>7.2834890793322282E-2</v>
      </c>
    </row>
    <row r="21" spans="1:11" x14ac:dyDescent="0.25">
      <c r="A21" s="55" t="s">
        <v>152</v>
      </c>
      <c r="B21" s="56" t="s">
        <v>23</v>
      </c>
      <c r="C21" s="55">
        <v>2024</v>
      </c>
      <c r="D21" s="57">
        <v>45311</v>
      </c>
      <c r="E21" s="55">
        <v>36.137900000000002</v>
      </c>
      <c r="F21" s="55">
        <v>38.770000000000003</v>
      </c>
      <c r="G21" s="69">
        <f t="shared" si="0"/>
        <v>2.6321000000000012</v>
      </c>
      <c r="H21" s="61">
        <f t="shared" si="1"/>
        <v>7.2834890793322282E-2</v>
      </c>
    </row>
    <row r="22" spans="1:11" x14ac:dyDescent="0.25">
      <c r="A22" s="55" t="s">
        <v>153</v>
      </c>
      <c r="B22" s="56" t="s">
        <v>23</v>
      </c>
      <c r="C22" s="55">
        <v>2024</v>
      </c>
      <c r="D22" s="57">
        <v>45312</v>
      </c>
      <c r="E22" s="55">
        <v>36.137900000000002</v>
      </c>
      <c r="F22" s="55">
        <v>38.770000000000003</v>
      </c>
      <c r="G22" s="69">
        <f t="shared" si="0"/>
        <v>2.6321000000000012</v>
      </c>
      <c r="H22" s="61">
        <f t="shared" si="1"/>
        <v>7.2834890793322282E-2</v>
      </c>
    </row>
    <row r="23" spans="1:11" x14ac:dyDescent="0.25">
      <c r="A23" s="55" t="s">
        <v>147</v>
      </c>
      <c r="B23" s="56" t="s">
        <v>23</v>
      </c>
      <c r="C23" s="55">
        <v>2024</v>
      </c>
      <c r="D23" s="57">
        <v>45313</v>
      </c>
      <c r="E23" s="55">
        <v>36.145899999999997</v>
      </c>
      <c r="F23" s="55">
        <v>38.18</v>
      </c>
      <c r="G23" s="69">
        <f t="shared" si="0"/>
        <v>2.0341000000000022</v>
      </c>
      <c r="H23" s="61">
        <f t="shared" si="1"/>
        <v>5.6274708888145009E-2</v>
      </c>
    </row>
    <row r="24" spans="1:11" x14ac:dyDescent="0.25">
      <c r="A24" s="55" t="s">
        <v>148</v>
      </c>
      <c r="B24" s="56" t="s">
        <v>23</v>
      </c>
      <c r="C24" s="55">
        <v>2024</v>
      </c>
      <c r="D24" s="57">
        <v>45314</v>
      </c>
      <c r="E24" s="55">
        <v>36.110399999999998</v>
      </c>
      <c r="F24" s="55">
        <v>38.119999999999997</v>
      </c>
      <c r="G24" s="69">
        <f t="shared" si="0"/>
        <v>2.0095999999999989</v>
      </c>
      <c r="H24" s="61">
        <f t="shared" si="1"/>
        <v>5.5651557446054323E-2</v>
      </c>
    </row>
    <row r="25" spans="1:11" x14ac:dyDescent="0.25">
      <c r="A25" s="55" t="s">
        <v>149</v>
      </c>
      <c r="B25" s="56" t="s">
        <v>23</v>
      </c>
      <c r="C25" s="55">
        <v>2024</v>
      </c>
      <c r="D25" s="57">
        <v>45315</v>
      </c>
      <c r="E25" s="55">
        <v>36.127899999999997</v>
      </c>
      <c r="F25" s="55">
        <v>38.18</v>
      </c>
      <c r="G25" s="69">
        <f t="shared" si="0"/>
        <v>2.0521000000000029</v>
      </c>
      <c r="H25" s="61">
        <f t="shared" si="1"/>
        <v>5.6800976530603897E-2</v>
      </c>
    </row>
    <row r="26" spans="1:11" x14ac:dyDescent="0.25">
      <c r="A26" s="55" t="s">
        <v>150</v>
      </c>
      <c r="B26" s="56" t="s">
        <v>23</v>
      </c>
      <c r="C26" s="55">
        <v>2024</v>
      </c>
      <c r="D26" s="57">
        <v>45316</v>
      </c>
      <c r="E26" s="55">
        <v>36.118699999999997</v>
      </c>
      <c r="F26" s="55">
        <v>38.26</v>
      </c>
      <c r="G26" s="69">
        <f t="shared" si="0"/>
        <v>2.1413000000000011</v>
      </c>
      <c r="H26" s="61">
        <f t="shared" si="1"/>
        <v>5.9285079474067581E-2</v>
      </c>
    </row>
    <row r="27" spans="1:11" x14ac:dyDescent="0.25">
      <c r="A27" s="55" t="s">
        <v>151</v>
      </c>
      <c r="B27" s="56" t="s">
        <v>23</v>
      </c>
      <c r="C27" s="55">
        <v>2024</v>
      </c>
      <c r="D27" s="57">
        <v>45317</v>
      </c>
      <c r="E27" s="55">
        <v>36.118600000000001</v>
      </c>
      <c r="F27" s="55">
        <v>38.4</v>
      </c>
      <c r="G27" s="69">
        <f t="shared" si="0"/>
        <v>2.2813999999999979</v>
      </c>
      <c r="H27" s="61">
        <f t="shared" si="1"/>
        <v>6.3164131500113463E-2</v>
      </c>
    </row>
    <row r="28" spans="1:11" x14ac:dyDescent="0.25">
      <c r="A28" s="55" t="s">
        <v>152</v>
      </c>
      <c r="B28" s="56" t="s">
        <v>23</v>
      </c>
      <c r="C28" s="55">
        <v>2024</v>
      </c>
      <c r="D28" s="57">
        <v>45318</v>
      </c>
      <c r="E28" s="55">
        <v>36.118600000000001</v>
      </c>
      <c r="F28" s="55">
        <v>38.4</v>
      </c>
      <c r="G28" s="69">
        <f t="shared" si="0"/>
        <v>2.2813999999999979</v>
      </c>
      <c r="H28" s="61">
        <f t="shared" si="1"/>
        <v>6.3164131500113463E-2</v>
      </c>
    </row>
    <row r="29" spans="1:11" x14ac:dyDescent="0.25">
      <c r="A29" s="55" t="s">
        <v>153</v>
      </c>
      <c r="B29" s="56" t="s">
        <v>23</v>
      </c>
      <c r="C29" s="55">
        <v>2024</v>
      </c>
      <c r="D29" s="57">
        <v>45319</v>
      </c>
      <c r="E29" s="55">
        <v>36.118600000000001</v>
      </c>
      <c r="F29" s="55">
        <v>38.4</v>
      </c>
      <c r="G29" s="69">
        <f t="shared" si="0"/>
        <v>2.2813999999999979</v>
      </c>
      <c r="H29" s="61">
        <f t="shared" si="1"/>
        <v>6.3164131500113463E-2</v>
      </c>
    </row>
    <row r="30" spans="1:11" x14ac:dyDescent="0.25">
      <c r="A30" s="55" t="s">
        <v>147</v>
      </c>
      <c r="B30" s="56" t="s">
        <v>23</v>
      </c>
      <c r="C30" s="55">
        <v>2024</v>
      </c>
      <c r="D30" s="57">
        <v>45320</v>
      </c>
      <c r="E30" s="55">
        <v>36.201999999999998</v>
      </c>
      <c r="F30" s="55">
        <v>38.01</v>
      </c>
      <c r="G30" s="69">
        <f t="shared" si="0"/>
        <v>1.8079999999999998</v>
      </c>
      <c r="H30" s="61">
        <f t="shared" si="1"/>
        <v>4.9941992155129622E-2</v>
      </c>
    </row>
    <row r="31" spans="1:11" x14ac:dyDescent="0.25">
      <c r="A31" s="55" t="s">
        <v>148</v>
      </c>
      <c r="B31" s="56" t="s">
        <v>23</v>
      </c>
      <c r="C31" s="55">
        <v>2024</v>
      </c>
      <c r="D31" s="57">
        <v>45321</v>
      </c>
      <c r="E31" s="55">
        <v>36.141800000000003</v>
      </c>
      <c r="F31" s="55">
        <v>37.89</v>
      </c>
      <c r="G31" s="69">
        <f t="shared" si="0"/>
        <v>1.7481999999999971</v>
      </c>
      <c r="H31" s="61">
        <f t="shared" si="1"/>
        <v>4.8370584752281287E-2</v>
      </c>
    </row>
    <row r="32" spans="1:11" x14ac:dyDescent="0.25">
      <c r="A32" s="55" t="s">
        <v>149</v>
      </c>
      <c r="B32" s="56" t="s">
        <v>23</v>
      </c>
      <c r="C32" s="55">
        <v>2024</v>
      </c>
      <c r="D32" s="57">
        <v>45322</v>
      </c>
      <c r="E32" s="55">
        <v>36.203200000000002</v>
      </c>
      <c r="F32" s="55">
        <v>38.18</v>
      </c>
      <c r="G32" s="69">
        <f t="shared" si="0"/>
        <v>1.9767999999999972</v>
      </c>
      <c r="H32" s="61">
        <f t="shared" si="1"/>
        <v>5.4602908030229269E-2</v>
      </c>
      <c r="I32" t="str">
        <f>+TRIM(B32&amp;C32)</f>
        <v>ENERO2024</v>
      </c>
      <c r="J32" s="53">
        <f>+AVERAGE(E2:E32)</f>
        <v>36.042090322580641</v>
      </c>
      <c r="K32" s="53">
        <f>+AVERAGE(F2:F32)</f>
        <v>38.384838709677425</v>
      </c>
    </row>
    <row r="33" spans="1:8" x14ac:dyDescent="0.25">
      <c r="A33" s="55" t="s">
        <v>150</v>
      </c>
      <c r="B33" s="56" t="s">
        <v>24</v>
      </c>
      <c r="C33" s="55">
        <v>2024</v>
      </c>
      <c r="D33" s="57">
        <v>45323</v>
      </c>
      <c r="E33" s="55">
        <v>36.260100000000001</v>
      </c>
      <c r="F33" s="55">
        <v>37.950000000000003</v>
      </c>
      <c r="G33" s="69">
        <f t="shared" si="0"/>
        <v>1.6899000000000015</v>
      </c>
      <c r="H33" s="61">
        <f t="shared" si="1"/>
        <v>4.6604945932305908E-2</v>
      </c>
    </row>
    <row r="34" spans="1:8" x14ac:dyDescent="0.25">
      <c r="A34" s="55" t="s">
        <v>151</v>
      </c>
      <c r="B34" s="56" t="s">
        <v>24</v>
      </c>
      <c r="C34" s="55">
        <v>2024</v>
      </c>
      <c r="D34" s="57">
        <v>45324</v>
      </c>
      <c r="E34" s="55">
        <v>36.235199999999999</v>
      </c>
      <c r="F34" s="55">
        <v>38.090000000000003</v>
      </c>
      <c r="G34" s="69">
        <f t="shared" si="0"/>
        <v>1.8548000000000044</v>
      </c>
      <c r="H34" s="61">
        <f t="shared" si="1"/>
        <v>5.1187795292974902E-2</v>
      </c>
    </row>
    <row r="35" spans="1:8" x14ac:dyDescent="0.25">
      <c r="A35" s="55" t="s">
        <v>152</v>
      </c>
      <c r="B35" s="56" t="s">
        <v>24</v>
      </c>
      <c r="C35" s="55">
        <v>2024</v>
      </c>
      <c r="D35" s="57">
        <v>45325</v>
      </c>
      <c r="E35" s="55">
        <v>36.235199999999999</v>
      </c>
      <c r="F35" s="55">
        <v>38.090000000000003</v>
      </c>
      <c r="G35" s="69">
        <f t="shared" si="0"/>
        <v>1.8548000000000044</v>
      </c>
      <c r="H35" s="61">
        <f t="shared" si="1"/>
        <v>5.1187795292974902E-2</v>
      </c>
    </row>
    <row r="36" spans="1:8" x14ac:dyDescent="0.25">
      <c r="A36" s="55" t="s">
        <v>153</v>
      </c>
      <c r="B36" s="56" t="s">
        <v>24</v>
      </c>
      <c r="C36" s="55">
        <v>2024</v>
      </c>
      <c r="D36" s="57">
        <v>45326</v>
      </c>
      <c r="E36" s="55">
        <v>36.235199999999999</v>
      </c>
      <c r="F36" s="55">
        <v>38.090000000000003</v>
      </c>
      <c r="G36" s="69">
        <f t="shared" si="0"/>
        <v>1.8548000000000044</v>
      </c>
      <c r="H36" s="61">
        <f t="shared" si="1"/>
        <v>5.1187795292974902E-2</v>
      </c>
    </row>
    <row r="37" spans="1:8" x14ac:dyDescent="0.25">
      <c r="A37" s="55" t="s">
        <v>147</v>
      </c>
      <c r="B37" s="56" t="s">
        <v>24</v>
      </c>
      <c r="C37" s="55">
        <v>2024</v>
      </c>
      <c r="D37" s="57">
        <v>45327</v>
      </c>
      <c r="E37" s="55">
        <v>36.285899999999998</v>
      </c>
      <c r="F37" s="55">
        <v>37.89</v>
      </c>
      <c r="G37" s="69">
        <f t="shared" si="0"/>
        <v>1.6041000000000025</v>
      </c>
      <c r="H37" s="61">
        <f t="shared" si="1"/>
        <v>4.4207254057361256E-2</v>
      </c>
    </row>
    <row r="38" spans="1:8" x14ac:dyDescent="0.25">
      <c r="A38" s="55" t="s">
        <v>148</v>
      </c>
      <c r="B38" s="56" t="s">
        <v>24</v>
      </c>
      <c r="C38" s="55">
        <v>2024</v>
      </c>
      <c r="D38" s="57">
        <v>45328</v>
      </c>
      <c r="E38" s="55">
        <v>36.253399999999999</v>
      </c>
      <c r="F38" s="55">
        <v>37.81</v>
      </c>
      <c r="G38" s="69">
        <f t="shared" si="0"/>
        <v>1.5566000000000031</v>
      </c>
      <c r="H38" s="61">
        <f t="shared" si="1"/>
        <v>4.2936662492345734E-2</v>
      </c>
    </row>
    <row r="39" spans="1:8" x14ac:dyDescent="0.25">
      <c r="A39" s="55" t="s">
        <v>149</v>
      </c>
      <c r="B39" s="56" t="s">
        <v>24</v>
      </c>
      <c r="C39" s="55">
        <v>2024</v>
      </c>
      <c r="D39" s="57">
        <v>45329</v>
      </c>
      <c r="E39" s="55">
        <v>36.255600000000001</v>
      </c>
      <c r="F39" s="55">
        <v>37.89</v>
      </c>
      <c r="G39" s="69">
        <f t="shared" si="0"/>
        <v>1.6343999999999994</v>
      </c>
      <c r="H39" s="61">
        <f t="shared" si="1"/>
        <v>4.5079932479396234E-2</v>
      </c>
    </row>
    <row r="40" spans="1:8" x14ac:dyDescent="0.25">
      <c r="A40" s="55" t="s">
        <v>150</v>
      </c>
      <c r="B40" s="56" t="s">
        <v>24</v>
      </c>
      <c r="C40" s="55">
        <v>2024</v>
      </c>
      <c r="D40" s="57">
        <v>45330</v>
      </c>
      <c r="E40" s="55">
        <v>36.237499999999997</v>
      </c>
      <c r="F40" s="55">
        <v>37.78</v>
      </c>
      <c r="G40" s="69">
        <f t="shared" si="0"/>
        <v>1.542500000000004</v>
      </c>
      <c r="H40" s="61">
        <f t="shared" si="1"/>
        <v>4.256640220765795E-2</v>
      </c>
    </row>
    <row r="41" spans="1:8" x14ac:dyDescent="0.25">
      <c r="A41" s="55" t="s">
        <v>151</v>
      </c>
      <c r="B41" s="56" t="s">
        <v>24</v>
      </c>
      <c r="C41" s="55">
        <v>2024</v>
      </c>
      <c r="D41" s="57">
        <v>45331</v>
      </c>
      <c r="E41" s="55">
        <v>36.291899999999998</v>
      </c>
      <c r="F41" s="55">
        <v>37.78</v>
      </c>
      <c r="G41" s="69">
        <f t="shared" si="0"/>
        <v>1.4881000000000029</v>
      </c>
      <c r="H41" s="61">
        <f t="shared" si="1"/>
        <v>4.1003639930673241E-2</v>
      </c>
    </row>
    <row r="42" spans="1:8" x14ac:dyDescent="0.25">
      <c r="A42" s="55" t="s">
        <v>152</v>
      </c>
      <c r="B42" s="56" t="s">
        <v>24</v>
      </c>
      <c r="C42" s="55">
        <v>2024</v>
      </c>
      <c r="D42" s="57">
        <v>45332</v>
      </c>
      <c r="E42" s="55">
        <v>36.291899999999998</v>
      </c>
      <c r="F42" s="55">
        <v>37.78</v>
      </c>
      <c r="G42" s="69">
        <f t="shared" si="0"/>
        <v>1.4881000000000029</v>
      </c>
      <c r="H42" s="61">
        <f t="shared" si="1"/>
        <v>4.1003639930673241E-2</v>
      </c>
    </row>
    <row r="43" spans="1:8" x14ac:dyDescent="0.25">
      <c r="A43" s="55" t="s">
        <v>153</v>
      </c>
      <c r="B43" s="56" t="s">
        <v>24</v>
      </c>
      <c r="C43" s="55">
        <v>2024</v>
      </c>
      <c r="D43" s="57">
        <v>45333</v>
      </c>
      <c r="E43" s="55">
        <v>36.291899999999998</v>
      </c>
      <c r="F43" s="55">
        <v>37.78</v>
      </c>
      <c r="G43" s="69">
        <f t="shared" si="0"/>
        <v>1.4881000000000029</v>
      </c>
      <c r="H43" s="61">
        <f t="shared" si="1"/>
        <v>4.1003639930673241E-2</v>
      </c>
    </row>
    <row r="44" spans="1:8" x14ac:dyDescent="0.25">
      <c r="A44" s="55" t="s">
        <v>147</v>
      </c>
      <c r="B44" s="56" t="s">
        <v>24</v>
      </c>
      <c r="C44" s="55">
        <v>2024</v>
      </c>
      <c r="D44" s="57">
        <v>45334</v>
      </c>
      <c r="E44" s="55">
        <v>36.291899999999998</v>
      </c>
      <c r="F44" s="55">
        <v>37.78</v>
      </c>
      <c r="G44" s="69">
        <f t="shared" si="0"/>
        <v>1.4881000000000029</v>
      </c>
      <c r="H44" s="61">
        <f t="shared" si="1"/>
        <v>4.1003639930673241E-2</v>
      </c>
    </row>
    <row r="45" spans="1:8" x14ac:dyDescent="0.25">
      <c r="A45" s="55" t="s">
        <v>148</v>
      </c>
      <c r="B45" s="56" t="s">
        <v>24</v>
      </c>
      <c r="C45" s="55">
        <v>2024</v>
      </c>
      <c r="D45" s="57">
        <v>45335</v>
      </c>
      <c r="E45" s="55">
        <v>36.291899999999998</v>
      </c>
      <c r="F45" s="55">
        <v>37.78</v>
      </c>
      <c r="G45" s="69">
        <f t="shared" si="0"/>
        <v>1.4881000000000029</v>
      </c>
      <c r="H45" s="61">
        <f t="shared" si="1"/>
        <v>4.1003639930673241E-2</v>
      </c>
    </row>
    <row r="46" spans="1:8" x14ac:dyDescent="0.25">
      <c r="A46" s="55" t="s">
        <v>149</v>
      </c>
      <c r="B46" s="56" t="s">
        <v>24</v>
      </c>
      <c r="C46" s="55">
        <v>2024</v>
      </c>
      <c r="D46" s="57">
        <v>45336</v>
      </c>
      <c r="E46" s="55">
        <v>36.3185</v>
      </c>
      <c r="F46" s="55">
        <v>37.14</v>
      </c>
      <c r="G46" s="69">
        <f t="shared" si="0"/>
        <v>0.82150000000000034</v>
      </c>
      <c r="H46" s="61">
        <f t="shared" si="1"/>
        <v>2.2619326238693782E-2</v>
      </c>
    </row>
    <row r="47" spans="1:8" x14ac:dyDescent="0.25">
      <c r="A47" s="55" t="s">
        <v>150</v>
      </c>
      <c r="B47" s="56" t="s">
        <v>24</v>
      </c>
      <c r="C47" s="55">
        <v>2024</v>
      </c>
      <c r="D47" s="57">
        <v>45337</v>
      </c>
      <c r="E47" s="55">
        <v>36.260899999999999</v>
      </c>
      <c r="F47" s="55">
        <v>37.28</v>
      </c>
      <c r="G47" s="69">
        <f t="shared" si="0"/>
        <v>1.0191000000000017</v>
      </c>
      <c r="H47" s="61">
        <f t="shared" si="1"/>
        <v>2.8104652669955765E-2</v>
      </c>
    </row>
    <row r="48" spans="1:8" x14ac:dyDescent="0.25">
      <c r="A48" s="55" t="s">
        <v>151</v>
      </c>
      <c r="B48" s="56" t="s">
        <v>24</v>
      </c>
      <c r="C48" s="55">
        <v>2024</v>
      </c>
      <c r="D48" s="57">
        <v>45338</v>
      </c>
      <c r="E48" s="55">
        <v>36.273699999999998</v>
      </c>
      <c r="F48" s="55">
        <v>37.520000000000003</v>
      </c>
      <c r="G48" s="69">
        <f t="shared" si="0"/>
        <v>1.2463000000000051</v>
      </c>
      <c r="H48" s="61">
        <f t="shared" si="1"/>
        <v>3.4358226483650833E-2</v>
      </c>
    </row>
    <row r="49" spans="1:11" x14ac:dyDescent="0.25">
      <c r="A49" s="55" t="s">
        <v>152</v>
      </c>
      <c r="B49" s="56" t="s">
        <v>24</v>
      </c>
      <c r="C49" s="55">
        <v>2024</v>
      </c>
      <c r="D49" s="57">
        <v>45339</v>
      </c>
      <c r="E49" s="55">
        <v>36.273699999999998</v>
      </c>
      <c r="F49" s="55">
        <v>37.520000000000003</v>
      </c>
      <c r="G49" s="69">
        <f t="shared" si="0"/>
        <v>1.2463000000000051</v>
      </c>
      <c r="H49" s="61">
        <f t="shared" si="1"/>
        <v>3.4358226483650833E-2</v>
      </c>
    </row>
    <row r="50" spans="1:11" x14ac:dyDescent="0.25">
      <c r="A50" s="55" t="s">
        <v>153</v>
      </c>
      <c r="B50" s="56" t="s">
        <v>24</v>
      </c>
      <c r="C50" s="55">
        <v>2024</v>
      </c>
      <c r="D50" s="57">
        <v>45340</v>
      </c>
      <c r="E50" s="55">
        <v>36.273699999999998</v>
      </c>
      <c r="F50" s="55">
        <v>37.520000000000003</v>
      </c>
      <c r="G50" s="69">
        <f t="shared" si="0"/>
        <v>1.2463000000000051</v>
      </c>
      <c r="H50" s="61">
        <f t="shared" si="1"/>
        <v>3.4358226483650833E-2</v>
      </c>
    </row>
    <row r="51" spans="1:11" x14ac:dyDescent="0.25">
      <c r="A51" s="55" t="s">
        <v>147</v>
      </c>
      <c r="B51" s="56" t="s">
        <v>24</v>
      </c>
      <c r="C51" s="55">
        <v>2024</v>
      </c>
      <c r="D51" s="57">
        <v>45341</v>
      </c>
      <c r="E51" s="55">
        <v>36.335799999999999</v>
      </c>
      <c r="F51" s="55">
        <v>38.03</v>
      </c>
      <c r="G51" s="69">
        <f t="shared" si="0"/>
        <v>1.6942000000000021</v>
      </c>
      <c r="H51" s="61">
        <f t="shared" si="1"/>
        <v>4.6626192350244233E-2</v>
      </c>
    </row>
    <row r="52" spans="1:11" x14ac:dyDescent="0.25">
      <c r="A52" s="55" t="s">
        <v>148</v>
      </c>
      <c r="B52" s="56" t="s">
        <v>24</v>
      </c>
      <c r="C52" s="55">
        <v>2024</v>
      </c>
      <c r="D52" s="57">
        <v>45342</v>
      </c>
      <c r="E52" s="55">
        <v>36.237499999999997</v>
      </c>
      <c r="F52" s="55">
        <v>38.229999999999997</v>
      </c>
      <c r="G52" s="69">
        <f t="shared" si="0"/>
        <v>1.9924999999999997</v>
      </c>
      <c r="H52" s="61">
        <f t="shared" si="1"/>
        <v>5.4984477406001986E-2</v>
      </c>
    </row>
    <row r="53" spans="1:11" x14ac:dyDescent="0.25">
      <c r="A53" s="55" t="s">
        <v>149</v>
      </c>
      <c r="B53" s="56" t="s">
        <v>24</v>
      </c>
      <c r="C53" s="55">
        <v>2024</v>
      </c>
      <c r="D53" s="57">
        <v>45343</v>
      </c>
      <c r="E53" s="55">
        <v>36.295099999999998</v>
      </c>
      <c r="F53" s="55">
        <v>38.1</v>
      </c>
      <c r="G53" s="69">
        <f t="shared" si="0"/>
        <v>1.8049000000000035</v>
      </c>
      <c r="H53" s="61">
        <f t="shared" si="1"/>
        <v>4.9728475744659884E-2</v>
      </c>
    </row>
    <row r="54" spans="1:11" x14ac:dyDescent="0.25">
      <c r="A54" s="55" t="s">
        <v>150</v>
      </c>
      <c r="B54" s="56" t="s">
        <v>24</v>
      </c>
      <c r="C54" s="55">
        <v>2024</v>
      </c>
      <c r="D54" s="57">
        <v>45344</v>
      </c>
      <c r="E54" s="55">
        <v>36.231499999999997</v>
      </c>
      <c r="F54" s="55">
        <v>38.130000000000003</v>
      </c>
      <c r="G54" s="69">
        <f t="shared" si="0"/>
        <v>1.8985000000000056</v>
      </c>
      <c r="H54" s="61">
        <f t="shared" si="1"/>
        <v>5.2399155431047673E-2</v>
      </c>
    </row>
    <row r="55" spans="1:11" x14ac:dyDescent="0.25">
      <c r="A55" s="55" t="s">
        <v>151</v>
      </c>
      <c r="B55" s="56" t="s">
        <v>24</v>
      </c>
      <c r="C55" s="55">
        <v>2024</v>
      </c>
      <c r="D55" s="57">
        <v>45345</v>
      </c>
      <c r="E55" s="55">
        <v>36.232900000000001</v>
      </c>
      <c r="F55" s="55">
        <v>38.42</v>
      </c>
      <c r="G55" s="69">
        <f t="shared" si="0"/>
        <v>2.1871000000000009</v>
      </c>
      <c r="H55" s="61">
        <f t="shared" si="1"/>
        <v>6.0362267442021E-2</v>
      </c>
    </row>
    <row r="56" spans="1:11" x14ac:dyDescent="0.25">
      <c r="A56" s="55" t="s">
        <v>152</v>
      </c>
      <c r="B56" s="56" t="s">
        <v>24</v>
      </c>
      <c r="C56" s="55">
        <v>2024</v>
      </c>
      <c r="D56" s="57">
        <v>45346</v>
      </c>
      <c r="E56" s="55">
        <v>36.232900000000001</v>
      </c>
      <c r="F56" s="55">
        <v>38.42</v>
      </c>
      <c r="G56" s="69">
        <f t="shared" si="0"/>
        <v>2.1871000000000009</v>
      </c>
      <c r="H56" s="61">
        <f t="shared" si="1"/>
        <v>6.0362267442021E-2</v>
      </c>
    </row>
    <row r="57" spans="1:11" x14ac:dyDescent="0.25">
      <c r="A57" s="55" t="s">
        <v>153</v>
      </c>
      <c r="B57" s="56" t="s">
        <v>24</v>
      </c>
      <c r="C57" s="55">
        <v>2024</v>
      </c>
      <c r="D57" s="57">
        <v>45347</v>
      </c>
      <c r="E57" s="55">
        <v>36.232900000000001</v>
      </c>
      <c r="F57" s="55">
        <v>38.42</v>
      </c>
      <c r="G57" s="69">
        <f t="shared" si="0"/>
        <v>2.1871000000000009</v>
      </c>
      <c r="H57" s="61">
        <f t="shared" si="1"/>
        <v>6.0362267442021E-2</v>
      </c>
    </row>
    <row r="58" spans="1:11" x14ac:dyDescent="0.25">
      <c r="A58" s="55" t="s">
        <v>147</v>
      </c>
      <c r="B58" s="56" t="s">
        <v>24</v>
      </c>
      <c r="C58" s="55">
        <v>2024</v>
      </c>
      <c r="D58" s="57">
        <v>45348</v>
      </c>
      <c r="E58" s="55">
        <v>36.069800000000001</v>
      </c>
      <c r="F58" s="55">
        <v>38.369999999999997</v>
      </c>
      <c r="G58" s="69">
        <f t="shared" si="0"/>
        <v>2.3001999999999967</v>
      </c>
      <c r="H58" s="61">
        <f t="shared" si="1"/>
        <v>6.37707999489876E-2</v>
      </c>
    </row>
    <row r="59" spans="1:11" x14ac:dyDescent="0.25">
      <c r="A59" s="55" t="s">
        <v>148</v>
      </c>
      <c r="B59" s="56" t="s">
        <v>24</v>
      </c>
      <c r="C59" s="55">
        <v>2024</v>
      </c>
      <c r="D59" s="57">
        <v>45349</v>
      </c>
      <c r="E59" s="55">
        <v>36.070599999999999</v>
      </c>
      <c r="F59" s="55">
        <v>38.590000000000003</v>
      </c>
      <c r="G59" s="69">
        <f t="shared" si="0"/>
        <v>2.5194000000000045</v>
      </c>
      <c r="H59" s="61">
        <f t="shared" si="1"/>
        <v>6.9846356866811288E-2</v>
      </c>
    </row>
    <row r="60" spans="1:11" x14ac:dyDescent="0.25">
      <c r="A60" s="55" t="s">
        <v>149</v>
      </c>
      <c r="B60" s="56" t="s">
        <v>24</v>
      </c>
      <c r="C60" s="55">
        <v>2024</v>
      </c>
      <c r="D60" s="57">
        <v>45350</v>
      </c>
      <c r="E60" s="55">
        <v>36.095500000000001</v>
      </c>
      <c r="F60" s="55">
        <v>38.200000000000003</v>
      </c>
      <c r="G60" s="69">
        <f t="shared" si="0"/>
        <v>2.1045000000000016</v>
      </c>
      <c r="H60" s="61">
        <f t="shared" si="1"/>
        <v>5.8303666662049336E-2</v>
      </c>
    </row>
    <row r="61" spans="1:11" x14ac:dyDescent="0.25">
      <c r="A61" s="55" t="s">
        <v>150</v>
      </c>
      <c r="B61" s="56" t="s">
        <v>24</v>
      </c>
      <c r="C61" s="55">
        <v>2024</v>
      </c>
      <c r="D61" s="57">
        <v>45351</v>
      </c>
      <c r="E61" s="55">
        <v>36.130400000000002</v>
      </c>
      <c r="F61" s="55">
        <v>38.26</v>
      </c>
      <c r="G61" s="69">
        <f t="shared" si="0"/>
        <v>2.1295999999999964</v>
      </c>
      <c r="H61" s="61">
        <f t="shared" si="1"/>
        <v>5.8942054336514227E-2</v>
      </c>
      <c r="I61" t="str">
        <f>+TRIM(B61&amp;C61)</f>
        <v>FEBRERO2024</v>
      </c>
      <c r="J61" s="53">
        <f>+AVERAGE(E33:E61)</f>
        <v>36.242172413793092</v>
      </c>
      <c r="K61" s="53">
        <f>+AVERAGE(F33:F61)</f>
        <v>37.953103448275847</v>
      </c>
    </row>
    <row r="62" spans="1:11" x14ac:dyDescent="0.25">
      <c r="A62" s="55" t="s">
        <v>151</v>
      </c>
      <c r="B62" s="56" t="s">
        <v>25</v>
      </c>
      <c r="C62" s="55">
        <v>2024</v>
      </c>
      <c r="D62" s="57">
        <v>45352</v>
      </c>
      <c r="E62" s="55">
        <v>36.151800000000001</v>
      </c>
      <c r="F62" s="55">
        <v>38.08</v>
      </c>
      <c r="G62" s="69">
        <f t="shared" si="0"/>
        <v>1.9281999999999968</v>
      </c>
      <c r="H62" s="61">
        <f t="shared" si="1"/>
        <v>5.3336210091890157E-2</v>
      </c>
    </row>
    <row r="63" spans="1:11" x14ac:dyDescent="0.25">
      <c r="A63" s="55" t="s">
        <v>152</v>
      </c>
      <c r="B63" s="56" t="s">
        <v>25</v>
      </c>
      <c r="C63" s="55">
        <v>2024</v>
      </c>
      <c r="D63" s="57">
        <v>45353</v>
      </c>
      <c r="E63" s="55">
        <v>36.151800000000001</v>
      </c>
      <c r="F63" s="55">
        <v>38.08</v>
      </c>
      <c r="G63" s="69">
        <f t="shared" si="0"/>
        <v>1.9281999999999968</v>
      </c>
      <c r="H63" s="61">
        <f t="shared" si="1"/>
        <v>5.3336210091890157E-2</v>
      </c>
    </row>
    <row r="64" spans="1:11" x14ac:dyDescent="0.25">
      <c r="A64" s="55" t="s">
        <v>153</v>
      </c>
      <c r="B64" s="56" t="s">
        <v>25</v>
      </c>
      <c r="C64" s="55">
        <v>2024</v>
      </c>
      <c r="D64" s="57">
        <v>45354</v>
      </c>
      <c r="E64" s="55">
        <v>36.151800000000001</v>
      </c>
      <c r="F64" s="55">
        <v>38.08</v>
      </c>
      <c r="G64" s="69">
        <f t="shared" si="0"/>
        <v>1.9281999999999968</v>
      </c>
      <c r="H64" s="61">
        <f t="shared" si="1"/>
        <v>5.3336210091890157E-2</v>
      </c>
    </row>
    <row r="65" spans="1:8" x14ac:dyDescent="0.25">
      <c r="A65" s="55" t="s">
        <v>147</v>
      </c>
      <c r="B65" s="56" t="s">
        <v>25</v>
      </c>
      <c r="C65" s="55">
        <v>2024</v>
      </c>
      <c r="D65" s="57">
        <v>45355</v>
      </c>
      <c r="E65" s="55">
        <v>36.080100000000002</v>
      </c>
      <c r="F65" s="55">
        <v>37.76</v>
      </c>
      <c r="G65" s="69">
        <f t="shared" si="0"/>
        <v>1.6798999999999964</v>
      </c>
      <c r="H65" s="61">
        <f t="shared" si="1"/>
        <v>4.6560292238657874E-2</v>
      </c>
    </row>
    <row r="66" spans="1:8" x14ac:dyDescent="0.25">
      <c r="A66" s="55" t="s">
        <v>148</v>
      </c>
      <c r="B66" s="56" t="s">
        <v>25</v>
      </c>
      <c r="C66" s="55">
        <v>2024</v>
      </c>
      <c r="D66" s="57">
        <v>45356</v>
      </c>
      <c r="E66" s="55">
        <v>36.093299999999999</v>
      </c>
      <c r="F66" s="55">
        <v>38.049999999999997</v>
      </c>
      <c r="G66" s="69">
        <f t="shared" si="0"/>
        <v>1.9566999999999979</v>
      </c>
      <c r="H66" s="61">
        <f t="shared" si="1"/>
        <v>5.4212277624933192E-2</v>
      </c>
    </row>
    <row r="67" spans="1:8" x14ac:dyDescent="0.25">
      <c r="A67" s="55" t="s">
        <v>149</v>
      </c>
      <c r="B67" s="56" t="s">
        <v>25</v>
      </c>
      <c r="C67" s="55">
        <v>2024</v>
      </c>
      <c r="D67" s="57">
        <v>45357</v>
      </c>
      <c r="E67" s="55">
        <v>36.131799999999998</v>
      </c>
      <c r="F67" s="55">
        <v>37.93</v>
      </c>
      <c r="G67" s="69">
        <f t="shared" ref="G67:G130" si="2">+F67-E67</f>
        <v>1.7982000000000014</v>
      </c>
      <c r="H67" s="61">
        <f t="shared" ref="H67:H130" si="3">+F67/E67-1</f>
        <v>4.9767794574308466E-2</v>
      </c>
    </row>
    <row r="68" spans="1:8" x14ac:dyDescent="0.25">
      <c r="A68" s="55" t="s">
        <v>150</v>
      </c>
      <c r="B68" s="56" t="s">
        <v>25</v>
      </c>
      <c r="C68" s="55">
        <v>2024</v>
      </c>
      <c r="D68" s="57">
        <v>45358</v>
      </c>
      <c r="E68" s="55">
        <v>36.172600000000003</v>
      </c>
      <c r="F68" s="55">
        <v>38.06</v>
      </c>
      <c r="G68" s="69">
        <f t="shared" si="2"/>
        <v>1.8873999999999995</v>
      </c>
      <c r="H68" s="61">
        <f t="shared" si="3"/>
        <v>5.2177615100932773E-2</v>
      </c>
    </row>
    <row r="69" spans="1:8" x14ac:dyDescent="0.25">
      <c r="A69" s="55" t="s">
        <v>151</v>
      </c>
      <c r="B69" s="56" t="s">
        <v>25</v>
      </c>
      <c r="C69" s="55">
        <v>2024</v>
      </c>
      <c r="D69" s="57">
        <v>45359</v>
      </c>
      <c r="E69" s="55">
        <v>36.133099999999999</v>
      </c>
      <c r="F69" s="55">
        <v>38.119999999999997</v>
      </c>
      <c r="G69" s="69">
        <f t="shared" si="2"/>
        <v>1.9868999999999986</v>
      </c>
      <c r="H69" s="61">
        <f t="shared" si="3"/>
        <v>5.4988362470975272E-2</v>
      </c>
    </row>
    <row r="70" spans="1:8" x14ac:dyDescent="0.25">
      <c r="A70" s="55" t="s">
        <v>152</v>
      </c>
      <c r="B70" s="56" t="s">
        <v>25</v>
      </c>
      <c r="C70" s="55">
        <v>2024</v>
      </c>
      <c r="D70" s="57">
        <v>45360</v>
      </c>
      <c r="E70" s="55">
        <v>36.133099999999999</v>
      </c>
      <c r="F70" s="55">
        <v>38.119999999999997</v>
      </c>
      <c r="G70" s="69">
        <f t="shared" si="2"/>
        <v>1.9868999999999986</v>
      </c>
      <c r="H70" s="61">
        <f t="shared" si="3"/>
        <v>5.4988362470975272E-2</v>
      </c>
    </row>
    <row r="71" spans="1:8" x14ac:dyDescent="0.25">
      <c r="A71" s="55" t="s">
        <v>153</v>
      </c>
      <c r="B71" s="56" t="s">
        <v>25</v>
      </c>
      <c r="C71" s="55">
        <v>2024</v>
      </c>
      <c r="D71" s="57">
        <v>45361</v>
      </c>
      <c r="E71" s="55">
        <v>36.133099999999999</v>
      </c>
      <c r="F71" s="55">
        <v>38.119999999999997</v>
      </c>
      <c r="G71" s="69">
        <f t="shared" si="2"/>
        <v>1.9868999999999986</v>
      </c>
      <c r="H71" s="61">
        <f t="shared" si="3"/>
        <v>5.4988362470975272E-2</v>
      </c>
    </row>
    <row r="72" spans="1:8" x14ac:dyDescent="0.25">
      <c r="A72" s="55" t="s">
        <v>147</v>
      </c>
      <c r="B72" s="56" t="s">
        <v>25</v>
      </c>
      <c r="C72" s="55">
        <v>2024</v>
      </c>
      <c r="D72" s="57">
        <v>45362</v>
      </c>
      <c r="E72" s="55">
        <v>36.190300000000001</v>
      </c>
      <c r="F72" s="55">
        <v>37.75</v>
      </c>
      <c r="G72" s="69">
        <f t="shared" si="2"/>
        <v>1.5596999999999994</v>
      </c>
      <c r="H72" s="61">
        <f t="shared" si="3"/>
        <v>4.3097183499446023E-2</v>
      </c>
    </row>
    <row r="73" spans="1:8" x14ac:dyDescent="0.25">
      <c r="A73" s="55" t="s">
        <v>148</v>
      </c>
      <c r="B73" s="56" t="s">
        <v>25</v>
      </c>
      <c r="C73" s="55">
        <v>2024</v>
      </c>
      <c r="D73" s="57">
        <v>45363</v>
      </c>
      <c r="E73" s="55">
        <v>36.200499999999998</v>
      </c>
      <c r="F73" s="55">
        <v>37.869999999999997</v>
      </c>
      <c r="G73" s="69">
        <f t="shared" si="2"/>
        <v>1.6694999999999993</v>
      </c>
      <c r="H73" s="61">
        <f t="shared" si="3"/>
        <v>4.611814753939858E-2</v>
      </c>
    </row>
    <row r="74" spans="1:8" x14ac:dyDescent="0.25">
      <c r="A74" s="55" t="s">
        <v>149</v>
      </c>
      <c r="B74" s="56" t="s">
        <v>25</v>
      </c>
      <c r="C74" s="55">
        <v>2024</v>
      </c>
      <c r="D74" s="57">
        <v>45364</v>
      </c>
      <c r="E74" s="55">
        <v>36.236800000000002</v>
      </c>
      <c r="F74" s="55">
        <v>37.89</v>
      </c>
      <c r="G74" s="69">
        <f t="shared" si="2"/>
        <v>1.6531999999999982</v>
      </c>
      <c r="H74" s="61">
        <f t="shared" si="3"/>
        <v>4.5622129989403071E-2</v>
      </c>
    </row>
    <row r="75" spans="1:8" x14ac:dyDescent="0.25">
      <c r="A75" s="55" t="s">
        <v>150</v>
      </c>
      <c r="B75" s="56" t="s">
        <v>25</v>
      </c>
      <c r="C75" s="55">
        <v>2024</v>
      </c>
      <c r="D75" s="57">
        <v>45365</v>
      </c>
      <c r="E75" s="55">
        <v>36.263300000000001</v>
      </c>
      <c r="F75" s="55">
        <v>38</v>
      </c>
      <c r="G75" s="69">
        <f t="shared" si="2"/>
        <v>1.736699999999999</v>
      </c>
      <c r="H75" s="61">
        <f t="shared" si="3"/>
        <v>4.7891394329804493E-2</v>
      </c>
    </row>
    <row r="76" spans="1:8" x14ac:dyDescent="0.25">
      <c r="A76" s="55" t="s">
        <v>151</v>
      </c>
      <c r="B76" s="56" t="s">
        <v>25</v>
      </c>
      <c r="C76" s="55">
        <v>2024</v>
      </c>
      <c r="D76" s="57">
        <v>45366</v>
      </c>
      <c r="E76" s="55">
        <v>36.276000000000003</v>
      </c>
      <c r="F76" s="55">
        <v>37.880000000000003</v>
      </c>
      <c r="G76" s="69">
        <f t="shared" si="2"/>
        <v>1.6039999999999992</v>
      </c>
      <c r="H76" s="61">
        <f t="shared" si="3"/>
        <v>4.4216561914213193E-2</v>
      </c>
    </row>
    <row r="77" spans="1:8" x14ac:dyDescent="0.25">
      <c r="A77" s="55" t="s">
        <v>152</v>
      </c>
      <c r="B77" s="56" t="s">
        <v>25</v>
      </c>
      <c r="C77" s="55">
        <v>2024</v>
      </c>
      <c r="D77" s="57">
        <v>45367</v>
      </c>
      <c r="E77" s="55">
        <v>36.276000000000003</v>
      </c>
      <c r="F77" s="55">
        <v>37.880000000000003</v>
      </c>
      <c r="G77" s="69">
        <f t="shared" si="2"/>
        <v>1.6039999999999992</v>
      </c>
      <c r="H77" s="61">
        <f t="shared" si="3"/>
        <v>4.4216561914213193E-2</v>
      </c>
    </row>
    <row r="78" spans="1:8" x14ac:dyDescent="0.25">
      <c r="A78" s="55" t="s">
        <v>153</v>
      </c>
      <c r="B78" s="56" t="s">
        <v>25</v>
      </c>
      <c r="C78" s="55">
        <v>2024</v>
      </c>
      <c r="D78" s="57">
        <v>45368</v>
      </c>
      <c r="E78" s="55">
        <v>36.276000000000003</v>
      </c>
      <c r="F78" s="55">
        <v>37.880000000000003</v>
      </c>
      <c r="G78" s="69">
        <f t="shared" si="2"/>
        <v>1.6039999999999992</v>
      </c>
      <c r="H78" s="61">
        <f t="shared" si="3"/>
        <v>4.4216561914213193E-2</v>
      </c>
    </row>
    <row r="79" spans="1:8" x14ac:dyDescent="0.25">
      <c r="A79" s="55" t="s">
        <v>147</v>
      </c>
      <c r="B79" s="56" t="s">
        <v>25</v>
      </c>
      <c r="C79" s="55">
        <v>2024</v>
      </c>
      <c r="D79" s="57">
        <v>45369</v>
      </c>
      <c r="E79" s="55">
        <v>36.316699999999997</v>
      </c>
      <c r="F79" s="55">
        <v>38.1</v>
      </c>
      <c r="G79" s="69">
        <f t="shared" si="2"/>
        <v>1.7833000000000041</v>
      </c>
      <c r="H79" s="61">
        <f t="shared" si="3"/>
        <v>4.9104131157291286E-2</v>
      </c>
    </row>
    <row r="80" spans="1:8" x14ac:dyDescent="0.25">
      <c r="A80" s="55" t="s">
        <v>148</v>
      </c>
      <c r="B80" s="56" t="s">
        <v>25</v>
      </c>
      <c r="C80" s="55">
        <v>2024</v>
      </c>
      <c r="D80" s="57">
        <v>45370</v>
      </c>
      <c r="E80" s="55">
        <v>36.316699999999997</v>
      </c>
      <c r="F80" s="55">
        <v>38.369999999999997</v>
      </c>
      <c r="G80" s="69">
        <f t="shared" si="2"/>
        <v>2.0533000000000001</v>
      </c>
      <c r="H80" s="61">
        <f t="shared" si="3"/>
        <v>5.6538727362343E-2</v>
      </c>
    </row>
    <row r="81" spans="1:11" x14ac:dyDescent="0.25">
      <c r="A81" s="55" t="s">
        <v>149</v>
      </c>
      <c r="B81" s="56" t="s">
        <v>25</v>
      </c>
      <c r="C81" s="55">
        <v>2024</v>
      </c>
      <c r="D81" s="57">
        <v>45371</v>
      </c>
      <c r="E81" s="55">
        <v>36.265300000000003</v>
      </c>
      <c r="F81" s="55">
        <v>38.31</v>
      </c>
      <c r="G81" s="69">
        <f t="shared" si="2"/>
        <v>2.0446999999999989</v>
      </c>
      <c r="H81" s="61">
        <f t="shared" si="3"/>
        <v>5.6381720267032032E-2</v>
      </c>
    </row>
    <row r="82" spans="1:11" x14ac:dyDescent="0.25">
      <c r="A82" s="55" t="s">
        <v>150</v>
      </c>
      <c r="B82" s="56" t="s">
        <v>25</v>
      </c>
      <c r="C82" s="55">
        <v>2024</v>
      </c>
      <c r="D82" s="57">
        <v>45372</v>
      </c>
      <c r="E82" s="55">
        <v>36.286099999999998</v>
      </c>
      <c r="F82" s="55">
        <v>38.619999999999997</v>
      </c>
      <c r="G82" s="69">
        <f t="shared" si="2"/>
        <v>2.3338999999999999</v>
      </c>
      <c r="H82" s="61">
        <f t="shared" si="3"/>
        <v>6.4319395030052906E-2</v>
      </c>
    </row>
    <row r="83" spans="1:11" x14ac:dyDescent="0.25">
      <c r="A83" s="55" t="s">
        <v>151</v>
      </c>
      <c r="B83" s="56" t="s">
        <v>25</v>
      </c>
      <c r="C83" s="55">
        <v>2024</v>
      </c>
      <c r="D83" s="57">
        <v>45373</v>
      </c>
      <c r="E83" s="55">
        <v>36.3217</v>
      </c>
      <c r="F83" s="55">
        <v>38.9</v>
      </c>
      <c r="G83" s="69">
        <f t="shared" si="2"/>
        <v>2.5782999999999987</v>
      </c>
      <c r="H83" s="61">
        <f t="shared" si="3"/>
        <v>7.0985113582238579E-2</v>
      </c>
    </row>
    <row r="84" spans="1:11" x14ac:dyDescent="0.25">
      <c r="A84" s="55" t="s">
        <v>152</v>
      </c>
      <c r="B84" s="56" t="s">
        <v>25</v>
      </c>
      <c r="C84" s="55">
        <v>2024</v>
      </c>
      <c r="D84" s="57">
        <v>45374</v>
      </c>
      <c r="E84" s="55">
        <v>36.3217</v>
      </c>
      <c r="F84" s="55">
        <v>38.9</v>
      </c>
      <c r="G84" s="69">
        <f t="shared" si="2"/>
        <v>2.5782999999999987</v>
      </c>
      <c r="H84" s="61">
        <f t="shared" si="3"/>
        <v>7.0985113582238579E-2</v>
      </c>
    </row>
    <row r="85" spans="1:11" x14ac:dyDescent="0.25">
      <c r="A85" s="55" t="s">
        <v>153</v>
      </c>
      <c r="B85" s="56" t="s">
        <v>25</v>
      </c>
      <c r="C85" s="55">
        <v>2024</v>
      </c>
      <c r="D85" s="57">
        <v>45375</v>
      </c>
      <c r="E85" s="55">
        <v>36.3217</v>
      </c>
      <c r="F85" s="55">
        <v>38.9</v>
      </c>
      <c r="G85" s="69">
        <f t="shared" si="2"/>
        <v>2.5782999999999987</v>
      </c>
      <c r="H85" s="61">
        <f t="shared" si="3"/>
        <v>7.0985113582238579E-2</v>
      </c>
    </row>
    <row r="86" spans="1:11" x14ac:dyDescent="0.25">
      <c r="A86" s="55" t="s">
        <v>147</v>
      </c>
      <c r="B86" s="56" t="s">
        <v>25</v>
      </c>
      <c r="C86" s="55">
        <v>2024</v>
      </c>
      <c r="D86" s="57">
        <v>45376</v>
      </c>
      <c r="E86" s="55">
        <v>36.355499999999999</v>
      </c>
      <c r="F86" s="55">
        <v>38.57</v>
      </c>
      <c r="G86" s="69">
        <f t="shared" si="2"/>
        <v>2.214500000000001</v>
      </c>
      <c r="H86" s="61">
        <f t="shared" si="3"/>
        <v>6.0912379144833606E-2</v>
      </c>
    </row>
    <row r="87" spans="1:11" x14ac:dyDescent="0.25">
      <c r="A87" s="55" t="s">
        <v>148</v>
      </c>
      <c r="B87" s="56" t="s">
        <v>25</v>
      </c>
      <c r="C87" s="55">
        <v>2024</v>
      </c>
      <c r="D87" s="57">
        <v>45377</v>
      </c>
      <c r="E87" s="55">
        <v>36.300600000000003</v>
      </c>
      <c r="F87" s="55">
        <v>38.6</v>
      </c>
      <c r="G87" s="69">
        <f t="shared" si="2"/>
        <v>2.2993999999999986</v>
      </c>
      <c r="H87" s="61">
        <f t="shared" si="3"/>
        <v>6.3343305620292778E-2</v>
      </c>
    </row>
    <row r="88" spans="1:11" x14ac:dyDescent="0.25">
      <c r="A88" s="55" t="s">
        <v>149</v>
      </c>
      <c r="B88" s="56" t="s">
        <v>25</v>
      </c>
      <c r="C88" s="55">
        <v>2024</v>
      </c>
      <c r="D88" s="57">
        <v>45378</v>
      </c>
      <c r="E88" s="55">
        <v>36.334000000000003</v>
      </c>
      <c r="F88" s="55">
        <v>38.75</v>
      </c>
      <c r="G88" s="69">
        <f t="shared" si="2"/>
        <v>2.4159999999999968</v>
      </c>
      <c r="H88" s="61">
        <f t="shared" si="3"/>
        <v>6.6494192767104998E-2</v>
      </c>
    </row>
    <row r="89" spans="1:11" x14ac:dyDescent="0.25">
      <c r="A89" s="55" t="s">
        <v>150</v>
      </c>
      <c r="B89" s="56" t="s">
        <v>25</v>
      </c>
      <c r="C89" s="55">
        <v>2024</v>
      </c>
      <c r="D89" s="57">
        <v>45379</v>
      </c>
      <c r="E89" s="55">
        <v>36.334000000000003</v>
      </c>
      <c r="F89" s="55">
        <v>38.75</v>
      </c>
      <c r="G89" s="69">
        <f t="shared" si="2"/>
        <v>2.4159999999999968</v>
      </c>
      <c r="H89" s="61">
        <f t="shared" si="3"/>
        <v>6.6494192767104998E-2</v>
      </c>
    </row>
    <row r="90" spans="1:11" x14ac:dyDescent="0.25">
      <c r="A90" s="55" t="s">
        <v>151</v>
      </c>
      <c r="B90" s="56" t="s">
        <v>25</v>
      </c>
      <c r="C90" s="55">
        <v>2024</v>
      </c>
      <c r="D90" s="57">
        <v>45380</v>
      </c>
      <c r="E90" s="55">
        <v>36.334000000000003</v>
      </c>
      <c r="F90" s="55">
        <v>38.75</v>
      </c>
      <c r="G90" s="69">
        <f t="shared" si="2"/>
        <v>2.4159999999999968</v>
      </c>
      <c r="H90" s="61">
        <f t="shared" si="3"/>
        <v>6.6494192767104998E-2</v>
      </c>
    </row>
    <row r="91" spans="1:11" x14ac:dyDescent="0.25">
      <c r="A91" s="55" t="s">
        <v>152</v>
      </c>
      <c r="B91" s="56" t="s">
        <v>25</v>
      </c>
      <c r="C91" s="55">
        <v>2024</v>
      </c>
      <c r="D91" s="57">
        <v>45381</v>
      </c>
      <c r="E91" s="55">
        <v>36.334000000000003</v>
      </c>
      <c r="F91" s="55">
        <v>38.75</v>
      </c>
      <c r="G91" s="69">
        <f t="shared" si="2"/>
        <v>2.4159999999999968</v>
      </c>
      <c r="H91" s="61">
        <f t="shared" si="3"/>
        <v>6.6494192767104998E-2</v>
      </c>
    </row>
    <row r="92" spans="1:11" x14ac:dyDescent="0.25">
      <c r="A92" s="55" t="s">
        <v>153</v>
      </c>
      <c r="B92" s="56" t="s">
        <v>25</v>
      </c>
      <c r="C92" s="55">
        <v>2024</v>
      </c>
      <c r="D92" s="57">
        <v>45382</v>
      </c>
      <c r="E92" s="55">
        <v>36.334000000000003</v>
      </c>
      <c r="F92" s="55">
        <v>38.75</v>
      </c>
      <c r="G92" s="69">
        <f t="shared" si="2"/>
        <v>2.4159999999999968</v>
      </c>
      <c r="H92" s="61">
        <f t="shared" si="3"/>
        <v>6.6494192767104998E-2</v>
      </c>
      <c r="I92" t="str">
        <f>+TRIM(B92&amp;C92)</f>
        <v>MARZO2024</v>
      </c>
      <c r="J92" s="53">
        <f>+AVERAGE(E62:E92)</f>
        <v>36.242819354838716</v>
      </c>
      <c r="K92" s="53">
        <f>+AVERAGE(F62:F92)</f>
        <v>38.27645161290323</v>
      </c>
    </row>
    <row r="93" spans="1:11" x14ac:dyDescent="0.25">
      <c r="A93" s="55" t="s">
        <v>147</v>
      </c>
      <c r="B93" s="56" t="s">
        <v>26</v>
      </c>
      <c r="C93" s="55">
        <v>2024</v>
      </c>
      <c r="D93" s="57">
        <v>45383</v>
      </c>
      <c r="E93" s="55">
        <v>36.2896</v>
      </c>
      <c r="F93" s="55">
        <v>38.22</v>
      </c>
      <c r="G93" s="69">
        <f t="shared" si="2"/>
        <v>1.9303999999999988</v>
      </c>
      <c r="H93" s="61">
        <f t="shared" si="3"/>
        <v>5.3194303602133841E-2</v>
      </c>
    </row>
    <row r="94" spans="1:11" x14ac:dyDescent="0.25">
      <c r="A94" s="55" t="s">
        <v>148</v>
      </c>
      <c r="B94" s="56" t="s">
        <v>26</v>
      </c>
      <c r="C94" s="55">
        <v>2024</v>
      </c>
      <c r="D94" s="57">
        <v>45384</v>
      </c>
      <c r="E94" s="55">
        <v>36.261099999999999</v>
      </c>
      <c r="F94" s="55">
        <v>38.56</v>
      </c>
      <c r="G94" s="69">
        <f t="shared" si="2"/>
        <v>2.2989000000000033</v>
      </c>
      <c r="H94" s="61">
        <f t="shared" si="3"/>
        <v>6.3398517971049007E-2</v>
      </c>
    </row>
    <row r="95" spans="1:11" x14ac:dyDescent="0.25">
      <c r="A95" s="55" t="s">
        <v>149</v>
      </c>
      <c r="B95" s="56" t="s">
        <v>26</v>
      </c>
      <c r="C95" s="55">
        <v>2024</v>
      </c>
      <c r="D95" s="57">
        <v>45385</v>
      </c>
      <c r="E95" s="55">
        <v>36.286000000000001</v>
      </c>
      <c r="F95" s="55">
        <v>38.58</v>
      </c>
      <c r="G95" s="69">
        <f t="shared" si="2"/>
        <v>2.2939999999999969</v>
      </c>
      <c r="H95" s="61">
        <f t="shared" si="3"/>
        <v>6.3219974645868815E-2</v>
      </c>
    </row>
    <row r="96" spans="1:11" x14ac:dyDescent="0.25">
      <c r="A96" s="55" t="s">
        <v>150</v>
      </c>
      <c r="B96" s="56" t="s">
        <v>26</v>
      </c>
      <c r="C96" s="55">
        <v>2024</v>
      </c>
      <c r="D96" s="57">
        <v>45386</v>
      </c>
      <c r="E96" s="55">
        <v>36.249299999999998</v>
      </c>
      <c r="F96" s="55">
        <v>38.53</v>
      </c>
      <c r="G96" s="69">
        <f t="shared" si="2"/>
        <v>2.2807000000000031</v>
      </c>
      <c r="H96" s="61">
        <f t="shared" si="3"/>
        <v>6.2917077019418288E-2</v>
      </c>
    </row>
    <row r="97" spans="1:8" x14ac:dyDescent="0.25">
      <c r="A97" s="55" t="s">
        <v>151</v>
      </c>
      <c r="B97" s="56" t="s">
        <v>26</v>
      </c>
      <c r="C97" s="55">
        <v>2024</v>
      </c>
      <c r="D97" s="57">
        <v>45387</v>
      </c>
      <c r="E97" s="55">
        <v>36.210500000000003</v>
      </c>
      <c r="F97" s="55">
        <v>38.67</v>
      </c>
      <c r="G97" s="69">
        <f t="shared" si="2"/>
        <v>2.4594999999999985</v>
      </c>
      <c r="H97" s="61">
        <f t="shared" si="3"/>
        <v>6.792228773422071E-2</v>
      </c>
    </row>
    <row r="98" spans="1:8" x14ac:dyDescent="0.25">
      <c r="A98" s="55" t="s">
        <v>152</v>
      </c>
      <c r="B98" s="56" t="s">
        <v>26</v>
      </c>
      <c r="C98" s="55">
        <v>2024</v>
      </c>
      <c r="D98" s="57">
        <v>45388</v>
      </c>
      <c r="E98" s="55">
        <v>36.210500000000003</v>
      </c>
      <c r="F98" s="55">
        <v>38.67</v>
      </c>
      <c r="G98" s="69">
        <f t="shared" si="2"/>
        <v>2.4594999999999985</v>
      </c>
      <c r="H98" s="61">
        <f t="shared" si="3"/>
        <v>6.792228773422071E-2</v>
      </c>
    </row>
    <row r="99" spans="1:8" x14ac:dyDescent="0.25">
      <c r="A99" s="55" t="s">
        <v>153</v>
      </c>
      <c r="B99" s="56" t="s">
        <v>26</v>
      </c>
      <c r="C99" s="55">
        <v>2024</v>
      </c>
      <c r="D99" s="57">
        <v>45389</v>
      </c>
      <c r="E99" s="55">
        <v>36.210500000000003</v>
      </c>
      <c r="F99" s="55">
        <v>38.67</v>
      </c>
      <c r="G99" s="69">
        <f t="shared" si="2"/>
        <v>2.4594999999999985</v>
      </c>
      <c r="H99" s="61">
        <f t="shared" si="3"/>
        <v>6.792228773422071E-2</v>
      </c>
    </row>
    <row r="100" spans="1:8" x14ac:dyDescent="0.25">
      <c r="A100" s="55" t="s">
        <v>147</v>
      </c>
      <c r="B100" s="56" t="s">
        <v>26</v>
      </c>
      <c r="C100" s="55">
        <v>2024</v>
      </c>
      <c r="D100" s="57">
        <v>45390</v>
      </c>
      <c r="E100" s="55">
        <v>36.227400000000003</v>
      </c>
      <c r="F100" s="55">
        <v>38.369999999999997</v>
      </c>
      <c r="G100" s="69">
        <f t="shared" si="2"/>
        <v>2.1425999999999945</v>
      </c>
      <c r="H100" s="61">
        <f t="shared" si="3"/>
        <v>5.9143079547524735E-2</v>
      </c>
    </row>
    <row r="101" spans="1:8" x14ac:dyDescent="0.25">
      <c r="A101" s="55" t="s">
        <v>148</v>
      </c>
      <c r="B101" s="56" t="s">
        <v>26</v>
      </c>
      <c r="C101" s="55">
        <v>2024</v>
      </c>
      <c r="D101" s="57">
        <v>45391</v>
      </c>
      <c r="E101" s="55">
        <v>36.180900000000001</v>
      </c>
      <c r="F101" s="55">
        <v>38.590000000000003</v>
      </c>
      <c r="G101" s="69">
        <f t="shared" si="2"/>
        <v>2.4091000000000022</v>
      </c>
      <c r="H101" s="61">
        <f t="shared" si="3"/>
        <v>6.6584855545329225E-2</v>
      </c>
    </row>
    <row r="102" spans="1:8" x14ac:dyDescent="0.25">
      <c r="A102" s="55" t="s">
        <v>149</v>
      </c>
      <c r="B102" s="56" t="s">
        <v>26</v>
      </c>
      <c r="C102" s="55">
        <v>2024</v>
      </c>
      <c r="D102" s="57">
        <v>45392</v>
      </c>
      <c r="E102" s="55">
        <v>36.225099999999998</v>
      </c>
      <c r="F102" s="55">
        <v>38.81</v>
      </c>
      <c r="G102" s="69">
        <f t="shared" si="2"/>
        <v>2.5849000000000046</v>
      </c>
      <c r="H102" s="61">
        <f t="shared" si="3"/>
        <v>7.1356600809935777E-2</v>
      </c>
    </row>
    <row r="103" spans="1:8" x14ac:dyDescent="0.25">
      <c r="A103" s="55" t="s">
        <v>150</v>
      </c>
      <c r="B103" s="56" t="s">
        <v>26</v>
      </c>
      <c r="C103" s="55">
        <v>2024</v>
      </c>
      <c r="D103" s="57">
        <v>45393</v>
      </c>
      <c r="E103" s="55">
        <v>36.188299999999998</v>
      </c>
      <c r="F103" s="55">
        <v>38.799999999999997</v>
      </c>
      <c r="G103" s="69">
        <f t="shared" si="2"/>
        <v>2.611699999999999</v>
      </c>
      <c r="H103" s="61">
        <f t="shared" si="3"/>
        <v>7.2169734416924758E-2</v>
      </c>
    </row>
    <row r="104" spans="1:8" x14ac:dyDescent="0.25">
      <c r="A104" s="55" t="s">
        <v>151</v>
      </c>
      <c r="B104" s="56" t="s">
        <v>26</v>
      </c>
      <c r="C104" s="55">
        <v>2024</v>
      </c>
      <c r="D104" s="57">
        <v>45394</v>
      </c>
      <c r="E104" s="55">
        <v>36.2804</v>
      </c>
      <c r="F104" s="55">
        <v>38.909999999999997</v>
      </c>
      <c r="G104" s="69">
        <f t="shared" si="2"/>
        <v>2.6295999999999964</v>
      </c>
      <c r="H104" s="61">
        <f t="shared" si="3"/>
        <v>7.2479906505992009E-2</v>
      </c>
    </row>
    <row r="105" spans="1:8" x14ac:dyDescent="0.25">
      <c r="A105" s="55" t="s">
        <v>152</v>
      </c>
      <c r="B105" s="56" t="s">
        <v>26</v>
      </c>
      <c r="C105" s="55">
        <v>2024</v>
      </c>
      <c r="D105" s="57">
        <v>45395</v>
      </c>
      <c r="E105" s="55">
        <v>36.2804</v>
      </c>
      <c r="F105" s="55">
        <v>38.909999999999997</v>
      </c>
      <c r="G105" s="69">
        <f t="shared" si="2"/>
        <v>2.6295999999999964</v>
      </c>
      <c r="H105" s="61">
        <f t="shared" si="3"/>
        <v>7.2479906505992009E-2</v>
      </c>
    </row>
    <row r="106" spans="1:8" x14ac:dyDescent="0.25">
      <c r="A106" s="55" t="s">
        <v>153</v>
      </c>
      <c r="B106" s="56" t="s">
        <v>26</v>
      </c>
      <c r="C106" s="55">
        <v>2024</v>
      </c>
      <c r="D106" s="57">
        <v>45396</v>
      </c>
      <c r="E106" s="55">
        <v>36.2804</v>
      </c>
      <c r="F106" s="55">
        <v>38.909999999999997</v>
      </c>
      <c r="G106" s="69">
        <f t="shared" si="2"/>
        <v>2.6295999999999964</v>
      </c>
      <c r="H106" s="61">
        <f t="shared" si="3"/>
        <v>7.2479906505992009E-2</v>
      </c>
    </row>
    <row r="107" spans="1:8" x14ac:dyDescent="0.25">
      <c r="A107" s="55" t="s">
        <v>147</v>
      </c>
      <c r="B107" s="56" t="s">
        <v>26</v>
      </c>
      <c r="C107" s="55">
        <v>2024</v>
      </c>
      <c r="D107" s="57">
        <v>45397</v>
      </c>
      <c r="E107" s="55">
        <v>36.294699999999999</v>
      </c>
      <c r="F107" s="55">
        <v>38.64</v>
      </c>
      <c r="G107" s="69">
        <f t="shared" si="2"/>
        <v>2.3453000000000017</v>
      </c>
      <c r="H107" s="61">
        <f t="shared" si="3"/>
        <v>6.4618250047527637E-2</v>
      </c>
    </row>
    <row r="108" spans="1:8" x14ac:dyDescent="0.25">
      <c r="A108" s="55" t="s">
        <v>148</v>
      </c>
      <c r="B108" s="56" t="s">
        <v>26</v>
      </c>
      <c r="C108" s="55">
        <v>2024</v>
      </c>
      <c r="D108" s="57">
        <v>45398</v>
      </c>
      <c r="E108" s="55">
        <v>36.288899999999998</v>
      </c>
      <c r="F108" s="55">
        <v>38.82</v>
      </c>
      <c r="G108" s="69">
        <f t="shared" si="2"/>
        <v>2.5311000000000021</v>
      </c>
      <c r="H108" s="61">
        <f t="shared" si="3"/>
        <v>6.9748600811818662E-2</v>
      </c>
    </row>
    <row r="109" spans="1:8" x14ac:dyDescent="0.25">
      <c r="A109" s="55" t="s">
        <v>149</v>
      </c>
      <c r="B109" s="56" t="s">
        <v>26</v>
      </c>
      <c r="C109" s="55">
        <v>2024</v>
      </c>
      <c r="D109" s="57">
        <v>45399</v>
      </c>
      <c r="E109" s="55">
        <v>36.297400000000003</v>
      </c>
      <c r="F109" s="55">
        <v>39.33</v>
      </c>
      <c r="G109" s="69">
        <f t="shared" si="2"/>
        <v>3.0325999999999951</v>
      </c>
      <c r="H109" s="61">
        <f t="shared" si="3"/>
        <v>8.354868392777437E-2</v>
      </c>
    </row>
    <row r="110" spans="1:8" x14ac:dyDescent="0.25">
      <c r="A110" s="55" t="s">
        <v>150</v>
      </c>
      <c r="B110" s="56" t="s">
        <v>26</v>
      </c>
      <c r="C110" s="55">
        <v>2024</v>
      </c>
      <c r="D110" s="57">
        <v>45400</v>
      </c>
      <c r="E110" s="55">
        <v>36.326500000000003</v>
      </c>
      <c r="F110" s="55">
        <v>39.83</v>
      </c>
      <c r="G110" s="69">
        <f t="shared" si="2"/>
        <v>3.5034999999999954</v>
      </c>
      <c r="H110" s="61">
        <f t="shared" si="3"/>
        <v>9.6444744195008925E-2</v>
      </c>
    </row>
    <row r="111" spans="1:8" x14ac:dyDescent="0.25">
      <c r="A111" s="55" t="s">
        <v>151</v>
      </c>
      <c r="B111" s="56" t="s">
        <v>26</v>
      </c>
      <c r="C111" s="55">
        <v>2024</v>
      </c>
      <c r="D111" s="57">
        <v>45401</v>
      </c>
      <c r="E111" s="55">
        <v>36.326500000000003</v>
      </c>
      <c r="F111" s="55">
        <v>39.83</v>
      </c>
      <c r="G111" s="69">
        <f t="shared" si="2"/>
        <v>3.5034999999999954</v>
      </c>
      <c r="H111" s="61">
        <f t="shared" si="3"/>
        <v>9.6444744195008925E-2</v>
      </c>
    </row>
    <row r="112" spans="1:8" x14ac:dyDescent="0.25">
      <c r="A112" s="55" t="s">
        <v>152</v>
      </c>
      <c r="B112" s="56" t="s">
        <v>26</v>
      </c>
      <c r="C112" s="55">
        <v>2024</v>
      </c>
      <c r="D112" s="57">
        <v>45402</v>
      </c>
      <c r="E112" s="55">
        <v>36.326500000000003</v>
      </c>
      <c r="F112" s="55">
        <v>39.83</v>
      </c>
      <c r="G112" s="69">
        <f t="shared" si="2"/>
        <v>3.5034999999999954</v>
      </c>
      <c r="H112" s="61">
        <f t="shared" si="3"/>
        <v>9.6444744195008925E-2</v>
      </c>
    </row>
    <row r="113" spans="1:11" x14ac:dyDescent="0.25">
      <c r="A113" s="55" t="s">
        <v>153</v>
      </c>
      <c r="B113" s="56" t="s">
        <v>26</v>
      </c>
      <c r="C113" s="55">
        <v>2024</v>
      </c>
      <c r="D113" s="57">
        <v>45403</v>
      </c>
      <c r="E113" s="55">
        <v>36.326500000000003</v>
      </c>
      <c r="F113" s="55">
        <v>39.83</v>
      </c>
      <c r="G113" s="69">
        <f t="shared" si="2"/>
        <v>3.5034999999999954</v>
      </c>
      <c r="H113" s="61">
        <f t="shared" si="3"/>
        <v>9.6444744195008925E-2</v>
      </c>
    </row>
    <row r="114" spans="1:11" x14ac:dyDescent="0.25">
      <c r="A114" s="55" t="s">
        <v>147</v>
      </c>
      <c r="B114" s="56" t="s">
        <v>26</v>
      </c>
      <c r="C114" s="55">
        <v>2024</v>
      </c>
      <c r="D114" s="57">
        <v>45404</v>
      </c>
      <c r="E114" s="55">
        <v>36.342100000000002</v>
      </c>
      <c r="F114" s="55">
        <v>39</v>
      </c>
      <c r="G114" s="69">
        <f t="shared" si="2"/>
        <v>2.6578999999999979</v>
      </c>
      <c r="H114" s="61">
        <f t="shared" si="3"/>
        <v>7.3135564538097553E-2</v>
      </c>
    </row>
    <row r="115" spans="1:11" x14ac:dyDescent="0.25">
      <c r="A115" s="55" t="s">
        <v>148</v>
      </c>
      <c r="B115" s="56" t="s">
        <v>26</v>
      </c>
      <c r="C115" s="55">
        <v>2024</v>
      </c>
      <c r="D115" s="57">
        <v>45405</v>
      </c>
      <c r="E115" s="55">
        <v>36.3506</v>
      </c>
      <c r="F115" s="55">
        <v>39.21</v>
      </c>
      <c r="G115" s="69">
        <f t="shared" si="2"/>
        <v>2.8594000000000008</v>
      </c>
      <c r="H115" s="61">
        <f t="shared" si="3"/>
        <v>7.8661700219528674E-2</v>
      </c>
    </row>
    <row r="116" spans="1:11" x14ac:dyDescent="0.25">
      <c r="A116" s="55" t="s">
        <v>149</v>
      </c>
      <c r="B116" s="56" t="s">
        <v>26</v>
      </c>
      <c r="C116" s="55">
        <v>2024</v>
      </c>
      <c r="D116" s="57">
        <v>45406</v>
      </c>
      <c r="E116" s="55">
        <v>36.387700000000002</v>
      </c>
      <c r="F116" s="55">
        <v>39.450000000000003</v>
      </c>
      <c r="G116" s="69">
        <f t="shared" si="2"/>
        <v>3.0623000000000005</v>
      </c>
      <c r="H116" s="61">
        <f t="shared" si="3"/>
        <v>8.4157558735506788E-2</v>
      </c>
    </row>
    <row r="117" spans="1:11" x14ac:dyDescent="0.25">
      <c r="A117" s="55" t="s">
        <v>150</v>
      </c>
      <c r="B117" s="56" t="s">
        <v>26</v>
      </c>
      <c r="C117" s="55">
        <v>2024</v>
      </c>
      <c r="D117" s="57">
        <v>45407</v>
      </c>
      <c r="E117" s="55">
        <v>36.423099999999998</v>
      </c>
      <c r="F117" s="55">
        <v>39.81</v>
      </c>
      <c r="G117" s="69">
        <f t="shared" si="2"/>
        <v>3.3869000000000042</v>
      </c>
      <c r="H117" s="61">
        <f t="shared" si="3"/>
        <v>9.2987691876858403E-2</v>
      </c>
    </row>
    <row r="118" spans="1:11" x14ac:dyDescent="0.25">
      <c r="A118" s="55" t="s">
        <v>151</v>
      </c>
      <c r="B118" s="56" t="s">
        <v>26</v>
      </c>
      <c r="C118" s="55">
        <v>2024</v>
      </c>
      <c r="D118" s="57">
        <v>45408</v>
      </c>
      <c r="E118" s="55">
        <v>36.431100000000001</v>
      </c>
      <c r="F118" s="55">
        <v>40</v>
      </c>
      <c r="G118" s="69">
        <f t="shared" si="2"/>
        <v>3.5688999999999993</v>
      </c>
      <c r="H118" s="61">
        <f t="shared" si="3"/>
        <v>9.7963004136575549E-2</v>
      </c>
    </row>
    <row r="119" spans="1:11" x14ac:dyDescent="0.25">
      <c r="A119" s="55" t="s">
        <v>152</v>
      </c>
      <c r="B119" s="56" t="s">
        <v>26</v>
      </c>
      <c r="C119" s="55">
        <v>2024</v>
      </c>
      <c r="D119" s="57">
        <v>45409</v>
      </c>
      <c r="E119" s="55">
        <v>36.431100000000001</v>
      </c>
      <c r="F119" s="55">
        <v>40</v>
      </c>
      <c r="G119" s="69">
        <f t="shared" si="2"/>
        <v>3.5688999999999993</v>
      </c>
      <c r="H119" s="61">
        <f t="shared" si="3"/>
        <v>9.7963004136575549E-2</v>
      </c>
    </row>
    <row r="120" spans="1:11" x14ac:dyDescent="0.25">
      <c r="A120" s="55" t="s">
        <v>153</v>
      </c>
      <c r="B120" s="56" t="s">
        <v>26</v>
      </c>
      <c r="C120" s="55">
        <v>2024</v>
      </c>
      <c r="D120" s="57">
        <v>45410</v>
      </c>
      <c r="E120" s="55">
        <v>36.431100000000001</v>
      </c>
      <c r="F120" s="55">
        <v>40</v>
      </c>
      <c r="G120" s="69">
        <f t="shared" si="2"/>
        <v>3.5688999999999993</v>
      </c>
      <c r="H120" s="61">
        <f t="shared" si="3"/>
        <v>9.7963004136575549E-2</v>
      </c>
    </row>
    <row r="121" spans="1:11" x14ac:dyDescent="0.25">
      <c r="A121" s="55" t="s">
        <v>147</v>
      </c>
      <c r="B121" s="56" t="s">
        <v>26</v>
      </c>
      <c r="C121" s="55">
        <v>2024</v>
      </c>
      <c r="D121" s="57">
        <v>45411</v>
      </c>
      <c r="E121" s="55">
        <v>36.43</v>
      </c>
      <c r="F121" s="55">
        <v>39.21</v>
      </c>
      <c r="G121" s="69">
        <f t="shared" si="2"/>
        <v>2.7800000000000011</v>
      </c>
      <c r="H121" s="61">
        <f t="shared" si="3"/>
        <v>7.6310732912434842E-2</v>
      </c>
    </row>
    <row r="122" spans="1:11" x14ac:dyDescent="0.25">
      <c r="A122" s="55" t="s">
        <v>148</v>
      </c>
      <c r="B122" s="56" t="s">
        <v>26</v>
      </c>
      <c r="C122" s="55">
        <v>2024</v>
      </c>
      <c r="D122" s="57">
        <v>45412</v>
      </c>
      <c r="E122" s="55">
        <v>36.42</v>
      </c>
      <c r="F122" s="55">
        <v>39.11</v>
      </c>
      <c r="G122" s="69">
        <f t="shared" si="2"/>
        <v>2.6899999999999977</v>
      </c>
      <c r="H122" s="61">
        <f t="shared" si="3"/>
        <v>7.3860516199890203E-2</v>
      </c>
      <c r="I122" s="21" t="str">
        <f>+TRIM(B122&amp;C122)</f>
        <v>ABRIL2024</v>
      </c>
      <c r="J122" s="53">
        <f>+AVERAGE(E93:E122)</f>
        <v>36.307140000000004</v>
      </c>
      <c r="K122" s="53">
        <f>+AVERAGE(F93:F122)</f>
        <v>39.103333333333339</v>
      </c>
    </row>
    <row r="123" spans="1:11" x14ac:dyDescent="0.25">
      <c r="A123" s="55" t="s">
        <v>149</v>
      </c>
      <c r="B123" s="56" t="s">
        <v>27</v>
      </c>
      <c r="C123" s="55">
        <v>2024</v>
      </c>
      <c r="D123" s="57">
        <v>45413</v>
      </c>
      <c r="E123" s="55">
        <v>36.426200000000001</v>
      </c>
      <c r="F123" s="55">
        <v>39.26</v>
      </c>
      <c r="G123" s="69">
        <f t="shared" si="2"/>
        <v>2.8337999999999965</v>
      </c>
      <c r="H123" s="61">
        <f t="shared" si="3"/>
        <v>7.7795652579736529E-2</v>
      </c>
    </row>
    <row r="124" spans="1:11" x14ac:dyDescent="0.25">
      <c r="A124" s="55" t="s">
        <v>150</v>
      </c>
      <c r="B124" s="56" t="s">
        <v>27</v>
      </c>
      <c r="C124" s="55">
        <v>2024</v>
      </c>
      <c r="D124" s="57">
        <v>45414</v>
      </c>
      <c r="E124" s="55">
        <v>36.472999999999999</v>
      </c>
      <c r="F124" s="55">
        <v>39.19</v>
      </c>
      <c r="G124" s="69">
        <f t="shared" si="2"/>
        <v>2.7169999999999987</v>
      </c>
      <c r="H124" s="61">
        <f t="shared" si="3"/>
        <v>7.4493460916294163E-2</v>
      </c>
    </row>
    <row r="125" spans="1:11" x14ac:dyDescent="0.25">
      <c r="A125" s="55" t="s">
        <v>151</v>
      </c>
      <c r="B125" s="56" t="s">
        <v>27</v>
      </c>
      <c r="C125" s="55">
        <v>2024</v>
      </c>
      <c r="D125" s="57">
        <v>45415</v>
      </c>
      <c r="E125" s="55">
        <v>36.509900000000002</v>
      </c>
      <c r="F125" s="55">
        <v>39.21</v>
      </c>
      <c r="G125" s="69">
        <f t="shared" si="2"/>
        <v>2.7000999999999991</v>
      </c>
      <c r="H125" s="61">
        <f t="shared" si="3"/>
        <v>7.3955283361499147E-2</v>
      </c>
    </row>
    <row r="126" spans="1:11" x14ac:dyDescent="0.25">
      <c r="A126" s="55" t="s">
        <v>152</v>
      </c>
      <c r="B126" s="56" t="s">
        <v>27</v>
      </c>
      <c r="C126" s="55">
        <v>2024</v>
      </c>
      <c r="D126" s="57">
        <v>45416</v>
      </c>
      <c r="E126" s="55">
        <v>36.509900000000002</v>
      </c>
      <c r="F126" s="55">
        <v>39.21</v>
      </c>
      <c r="G126" s="69">
        <f t="shared" si="2"/>
        <v>2.7000999999999991</v>
      </c>
      <c r="H126" s="61">
        <f t="shared" si="3"/>
        <v>7.3955283361499147E-2</v>
      </c>
    </row>
    <row r="127" spans="1:11" x14ac:dyDescent="0.25">
      <c r="A127" s="55" t="s">
        <v>153</v>
      </c>
      <c r="B127" s="56" t="s">
        <v>27</v>
      </c>
      <c r="C127" s="55">
        <v>2024</v>
      </c>
      <c r="D127" s="57">
        <v>45417</v>
      </c>
      <c r="E127" s="55">
        <v>36.509900000000002</v>
      </c>
      <c r="F127" s="55">
        <v>39.21</v>
      </c>
      <c r="G127" s="69">
        <f t="shared" si="2"/>
        <v>2.7000999999999991</v>
      </c>
      <c r="H127" s="61">
        <f t="shared" si="3"/>
        <v>7.3955283361499147E-2</v>
      </c>
    </row>
    <row r="128" spans="1:11" x14ac:dyDescent="0.25">
      <c r="A128" s="55" t="s">
        <v>147</v>
      </c>
      <c r="B128" s="56" t="s">
        <v>27</v>
      </c>
      <c r="C128" s="55">
        <v>2024</v>
      </c>
      <c r="D128" s="57">
        <v>45418</v>
      </c>
      <c r="E128" s="55">
        <v>36.584899999999998</v>
      </c>
      <c r="F128" s="55">
        <v>39.18</v>
      </c>
      <c r="G128" s="69">
        <f t="shared" si="2"/>
        <v>2.5951000000000022</v>
      </c>
      <c r="H128" s="61">
        <f t="shared" si="3"/>
        <v>7.0933636554972201E-2</v>
      </c>
    </row>
    <row r="129" spans="1:8" x14ac:dyDescent="0.25">
      <c r="A129" s="55" t="s">
        <v>148</v>
      </c>
      <c r="B129" s="56" t="s">
        <v>27</v>
      </c>
      <c r="C129" s="55">
        <v>2024</v>
      </c>
      <c r="D129" s="57">
        <v>45419</v>
      </c>
      <c r="E129" s="55">
        <v>36.576300000000003</v>
      </c>
      <c r="F129" s="55">
        <v>39.270000000000003</v>
      </c>
      <c r="G129" s="69">
        <f t="shared" si="2"/>
        <v>2.6936999999999998</v>
      </c>
      <c r="H129" s="61">
        <f t="shared" si="3"/>
        <v>7.3646049491063792E-2</v>
      </c>
    </row>
    <row r="130" spans="1:8" x14ac:dyDescent="0.25">
      <c r="A130" s="55" t="s">
        <v>149</v>
      </c>
      <c r="B130" s="56" t="s">
        <v>27</v>
      </c>
      <c r="C130" s="55">
        <v>2024</v>
      </c>
      <c r="D130" s="57">
        <v>45420</v>
      </c>
      <c r="E130" s="55">
        <v>36.562100000000001</v>
      </c>
      <c r="F130" s="55">
        <v>39.42</v>
      </c>
      <c r="G130" s="69">
        <f t="shared" si="2"/>
        <v>2.8579000000000008</v>
      </c>
      <c r="H130" s="61">
        <f t="shared" si="3"/>
        <v>7.8165641470265612E-2</v>
      </c>
    </row>
    <row r="131" spans="1:8" x14ac:dyDescent="0.25">
      <c r="A131" s="55" t="s">
        <v>150</v>
      </c>
      <c r="B131" s="56" t="s">
        <v>27</v>
      </c>
      <c r="C131" s="55">
        <v>2024</v>
      </c>
      <c r="D131" s="57">
        <v>45421</v>
      </c>
      <c r="E131" s="55">
        <v>36.582799999999999</v>
      </c>
      <c r="F131" s="55" t="s">
        <v>154</v>
      </c>
      <c r="G131" s="69" t="e">
        <f t="shared" ref="G131:G194" si="4">+F131-E131</f>
        <v>#VALUE!</v>
      </c>
      <c r="H131" s="61" t="e">
        <f t="shared" ref="H131:H194" si="5">+F131/E131-1</f>
        <v>#VALUE!</v>
      </c>
    </row>
    <row r="132" spans="1:8" x14ac:dyDescent="0.25">
      <c r="A132" s="55" t="s">
        <v>151</v>
      </c>
      <c r="B132" s="56" t="s">
        <v>27</v>
      </c>
      <c r="C132" s="55">
        <v>2024</v>
      </c>
      <c r="D132" s="57">
        <v>45422</v>
      </c>
      <c r="E132" s="55">
        <v>36.586500000000001</v>
      </c>
      <c r="F132" s="55">
        <v>39.590000000000003</v>
      </c>
      <c r="G132" s="69">
        <f t="shared" si="4"/>
        <v>3.0035000000000025</v>
      </c>
      <c r="H132" s="61">
        <f t="shared" si="5"/>
        <v>8.2093121779891476E-2</v>
      </c>
    </row>
    <row r="133" spans="1:8" x14ac:dyDescent="0.25">
      <c r="A133" s="55" t="s">
        <v>152</v>
      </c>
      <c r="B133" s="56" t="s">
        <v>27</v>
      </c>
      <c r="C133" s="55">
        <v>2024</v>
      </c>
      <c r="D133" s="57">
        <v>45423</v>
      </c>
      <c r="E133" s="55">
        <v>36.586500000000001</v>
      </c>
      <c r="F133" s="55">
        <v>39.590000000000003</v>
      </c>
      <c r="G133" s="69">
        <f t="shared" si="4"/>
        <v>3.0035000000000025</v>
      </c>
      <c r="H133" s="61">
        <f t="shared" si="5"/>
        <v>8.2093121779891476E-2</v>
      </c>
    </row>
    <row r="134" spans="1:8" x14ac:dyDescent="0.25">
      <c r="A134" s="55" t="s">
        <v>153</v>
      </c>
      <c r="B134" s="56" t="s">
        <v>27</v>
      </c>
      <c r="C134" s="55">
        <v>2024</v>
      </c>
      <c r="D134" s="57">
        <v>45424</v>
      </c>
      <c r="E134" s="55">
        <v>36.586500000000001</v>
      </c>
      <c r="F134" s="55">
        <v>39.590000000000003</v>
      </c>
      <c r="G134" s="69">
        <f t="shared" si="4"/>
        <v>3.0035000000000025</v>
      </c>
      <c r="H134" s="61">
        <f t="shared" si="5"/>
        <v>8.2093121779891476E-2</v>
      </c>
    </row>
    <row r="135" spans="1:8" x14ac:dyDescent="0.25">
      <c r="A135" s="55" t="s">
        <v>147</v>
      </c>
      <c r="B135" s="56" t="s">
        <v>27</v>
      </c>
      <c r="C135" s="55">
        <v>2024</v>
      </c>
      <c r="D135" s="57">
        <v>45425</v>
      </c>
      <c r="E135" s="55">
        <v>36.586500000000001</v>
      </c>
      <c r="F135" s="55">
        <v>39.200000000000003</v>
      </c>
      <c r="G135" s="69">
        <f t="shared" si="4"/>
        <v>2.6135000000000019</v>
      </c>
      <c r="H135" s="61">
        <f t="shared" si="5"/>
        <v>7.1433452229647587E-2</v>
      </c>
    </row>
    <row r="136" spans="1:8" x14ac:dyDescent="0.25">
      <c r="A136" s="55" t="s">
        <v>148</v>
      </c>
      <c r="B136" s="56" t="s">
        <v>27</v>
      </c>
      <c r="C136" s="55">
        <v>2024</v>
      </c>
      <c r="D136" s="57">
        <v>45426</v>
      </c>
      <c r="E136" s="55">
        <v>36.610100000000003</v>
      </c>
      <c r="F136" s="55">
        <v>39.26</v>
      </c>
      <c r="G136" s="69">
        <f t="shared" si="4"/>
        <v>2.6498999999999953</v>
      </c>
      <c r="H136" s="61">
        <f t="shared" si="5"/>
        <v>7.2381665168901321E-2</v>
      </c>
    </row>
    <row r="137" spans="1:8" x14ac:dyDescent="0.25">
      <c r="A137" s="55" t="s">
        <v>149</v>
      </c>
      <c r="B137" s="56" t="s">
        <v>27</v>
      </c>
      <c r="C137" s="55">
        <v>2024</v>
      </c>
      <c r="D137" s="57">
        <v>45427</v>
      </c>
      <c r="E137" s="55">
        <v>36.594900000000003</v>
      </c>
      <c r="F137" s="55">
        <v>39.61</v>
      </c>
      <c r="G137" s="69">
        <f t="shared" si="4"/>
        <v>3.0150999999999968</v>
      </c>
      <c r="H137" s="61">
        <f t="shared" si="5"/>
        <v>8.2391262170411705E-2</v>
      </c>
    </row>
    <row r="138" spans="1:8" x14ac:dyDescent="0.25">
      <c r="A138" s="55" t="s">
        <v>150</v>
      </c>
      <c r="B138" s="56" t="s">
        <v>27</v>
      </c>
      <c r="C138" s="55">
        <v>2024</v>
      </c>
      <c r="D138" s="57">
        <v>45428</v>
      </c>
      <c r="E138" s="55">
        <v>36.604199999999999</v>
      </c>
      <c r="F138" s="55">
        <v>39.68</v>
      </c>
      <c r="G138" s="69">
        <f t="shared" si="4"/>
        <v>3.075800000000001</v>
      </c>
      <c r="H138" s="61">
        <f t="shared" si="5"/>
        <v>8.4028608738887955E-2</v>
      </c>
    </row>
    <row r="139" spans="1:8" x14ac:dyDescent="0.25">
      <c r="A139" s="55" t="s">
        <v>151</v>
      </c>
      <c r="B139" s="56" t="s">
        <v>27</v>
      </c>
      <c r="C139" s="55">
        <v>2024</v>
      </c>
      <c r="D139" s="57">
        <v>45429</v>
      </c>
      <c r="E139" s="55">
        <v>36.6265</v>
      </c>
      <c r="F139" s="55">
        <v>39.76</v>
      </c>
      <c r="G139" s="69">
        <f t="shared" si="4"/>
        <v>3.133499999999998</v>
      </c>
      <c r="H139" s="61">
        <f t="shared" si="5"/>
        <v>8.5552810123817435E-2</v>
      </c>
    </row>
    <row r="140" spans="1:8" x14ac:dyDescent="0.25">
      <c r="A140" s="55" t="s">
        <v>152</v>
      </c>
      <c r="B140" s="56" t="s">
        <v>27</v>
      </c>
      <c r="C140" s="55">
        <v>2024</v>
      </c>
      <c r="D140" s="57">
        <v>45430</v>
      </c>
      <c r="E140" s="55">
        <v>36.6265</v>
      </c>
      <c r="F140" s="55">
        <v>39.76</v>
      </c>
      <c r="G140" s="69">
        <f t="shared" si="4"/>
        <v>3.133499999999998</v>
      </c>
      <c r="H140" s="61">
        <f t="shared" si="5"/>
        <v>8.5552810123817435E-2</v>
      </c>
    </row>
    <row r="141" spans="1:8" x14ac:dyDescent="0.25">
      <c r="A141" s="55" t="s">
        <v>153</v>
      </c>
      <c r="B141" s="56" t="s">
        <v>27</v>
      </c>
      <c r="C141" s="55">
        <v>2024</v>
      </c>
      <c r="D141" s="57">
        <v>45431</v>
      </c>
      <c r="E141" s="55">
        <v>36.6265</v>
      </c>
      <c r="F141" s="55">
        <v>39.76</v>
      </c>
      <c r="G141" s="69">
        <f t="shared" si="4"/>
        <v>3.133499999999998</v>
      </c>
      <c r="H141" s="61">
        <f t="shared" si="5"/>
        <v>8.5552810123817435E-2</v>
      </c>
    </row>
    <row r="142" spans="1:8" x14ac:dyDescent="0.25">
      <c r="A142" s="55" t="s">
        <v>147</v>
      </c>
      <c r="B142" s="56" t="s">
        <v>27</v>
      </c>
      <c r="C142" s="55">
        <v>2024</v>
      </c>
      <c r="D142" s="57">
        <v>45432</v>
      </c>
      <c r="E142" s="55">
        <v>36.5717</v>
      </c>
      <c r="F142" s="55">
        <v>39.81</v>
      </c>
      <c r="G142" s="69">
        <f t="shared" si="4"/>
        <v>3.2383000000000024</v>
      </c>
      <c r="H142" s="61">
        <f t="shared" si="5"/>
        <v>8.8546608443140551E-2</v>
      </c>
    </row>
    <row r="143" spans="1:8" x14ac:dyDescent="0.25">
      <c r="A143" s="55" t="s">
        <v>148</v>
      </c>
      <c r="B143" s="56" t="s">
        <v>27</v>
      </c>
      <c r="C143" s="55">
        <v>2024</v>
      </c>
      <c r="D143" s="57">
        <v>45433</v>
      </c>
      <c r="E143" s="55">
        <v>36.570300000000003</v>
      </c>
      <c r="F143" s="55">
        <v>40.03</v>
      </c>
      <c r="G143" s="69">
        <f t="shared" si="4"/>
        <v>3.459699999999998</v>
      </c>
      <c r="H143" s="61">
        <f t="shared" si="5"/>
        <v>9.4604091298129855E-2</v>
      </c>
    </row>
    <row r="144" spans="1:8" x14ac:dyDescent="0.25">
      <c r="A144" s="55" t="s">
        <v>149</v>
      </c>
      <c r="B144" s="56" t="s">
        <v>27</v>
      </c>
      <c r="C144" s="55">
        <v>2024</v>
      </c>
      <c r="D144" s="57">
        <v>45434</v>
      </c>
      <c r="E144" s="55">
        <v>36.558900000000001</v>
      </c>
      <c r="F144" s="55">
        <v>40.4</v>
      </c>
      <c r="G144" s="69">
        <f t="shared" si="4"/>
        <v>3.8410999999999973</v>
      </c>
      <c r="H144" s="61">
        <f t="shared" si="5"/>
        <v>0.1050660714627627</v>
      </c>
    </row>
    <row r="145" spans="1:11" x14ac:dyDescent="0.25">
      <c r="A145" s="55" t="s">
        <v>150</v>
      </c>
      <c r="B145" s="56" t="s">
        <v>27</v>
      </c>
      <c r="C145" s="55">
        <v>2024</v>
      </c>
      <c r="D145" s="57">
        <v>45435</v>
      </c>
      <c r="E145" s="55">
        <v>36.546399999999998</v>
      </c>
      <c r="F145" s="55">
        <v>40.74</v>
      </c>
      <c r="G145" s="69">
        <f t="shared" si="4"/>
        <v>4.1936000000000035</v>
      </c>
      <c r="H145" s="61">
        <f t="shared" si="5"/>
        <v>0.11474728016986635</v>
      </c>
    </row>
    <row r="146" spans="1:11" x14ac:dyDescent="0.25">
      <c r="A146" s="55" t="s">
        <v>151</v>
      </c>
      <c r="B146" s="56" t="s">
        <v>27</v>
      </c>
      <c r="C146" s="55">
        <v>2024</v>
      </c>
      <c r="D146" s="57">
        <v>45436</v>
      </c>
      <c r="E146" s="55">
        <v>36.521900000000002</v>
      </c>
      <c r="F146" s="55">
        <v>40.590000000000003</v>
      </c>
      <c r="G146" s="69">
        <f t="shared" si="4"/>
        <v>4.0681000000000012</v>
      </c>
      <c r="H146" s="61">
        <f t="shared" si="5"/>
        <v>0.11138796174350185</v>
      </c>
    </row>
    <row r="147" spans="1:11" x14ac:dyDescent="0.25">
      <c r="A147" s="55" t="s">
        <v>152</v>
      </c>
      <c r="B147" s="56" t="s">
        <v>27</v>
      </c>
      <c r="C147" s="55">
        <v>2024</v>
      </c>
      <c r="D147" s="57">
        <v>45437</v>
      </c>
      <c r="E147" s="55">
        <v>36.521900000000002</v>
      </c>
      <c r="F147" s="55">
        <v>40.590000000000003</v>
      </c>
      <c r="G147" s="69">
        <f t="shared" si="4"/>
        <v>4.0681000000000012</v>
      </c>
      <c r="H147" s="61">
        <f t="shared" si="5"/>
        <v>0.11138796174350185</v>
      </c>
    </row>
    <row r="148" spans="1:11" x14ac:dyDescent="0.25">
      <c r="A148" s="55" t="s">
        <v>153</v>
      </c>
      <c r="B148" s="56" t="s">
        <v>27</v>
      </c>
      <c r="C148" s="55">
        <v>2024</v>
      </c>
      <c r="D148" s="57">
        <v>45438</v>
      </c>
      <c r="E148" s="55">
        <v>36.521900000000002</v>
      </c>
      <c r="F148" s="55">
        <v>40.590000000000003</v>
      </c>
      <c r="G148" s="69">
        <f t="shared" si="4"/>
        <v>4.0681000000000012</v>
      </c>
      <c r="H148" s="61">
        <f t="shared" si="5"/>
        <v>0.11138796174350185</v>
      </c>
    </row>
    <row r="149" spans="1:11" x14ac:dyDescent="0.25">
      <c r="A149" s="55" t="s">
        <v>147</v>
      </c>
      <c r="B149" s="56" t="s">
        <v>27</v>
      </c>
      <c r="C149" s="55">
        <v>2024</v>
      </c>
      <c r="D149" s="57">
        <v>45439</v>
      </c>
      <c r="E149" s="55">
        <v>36.512900000000002</v>
      </c>
      <c r="F149" s="55">
        <v>40.36</v>
      </c>
      <c r="G149" s="69">
        <f t="shared" si="4"/>
        <v>3.8470999999999975</v>
      </c>
      <c r="H149" s="61">
        <f t="shared" si="5"/>
        <v>0.10536276220185181</v>
      </c>
    </row>
    <row r="150" spans="1:11" x14ac:dyDescent="0.25">
      <c r="A150" s="55" t="s">
        <v>148</v>
      </c>
      <c r="B150" s="56" t="s">
        <v>27</v>
      </c>
      <c r="C150" s="55">
        <v>2024</v>
      </c>
      <c r="D150" s="57">
        <v>45440</v>
      </c>
      <c r="E150" s="55">
        <v>36.511899999999997</v>
      </c>
      <c r="F150" s="55">
        <v>40.729999999999997</v>
      </c>
      <c r="G150" s="69">
        <f t="shared" si="4"/>
        <v>4.2180999999999997</v>
      </c>
      <c r="H150" s="61">
        <f t="shared" si="5"/>
        <v>0.11552671868623654</v>
      </c>
    </row>
    <row r="151" spans="1:11" x14ac:dyDescent="0.25">
      <c r="A151" s="55" t="s">
        <v>149</v>
      </c>
      <c r="B151" s="56" t="s">
        <v>27</v>
      </c>
      <c r="C151" s="55">
        <v>2024</v>
      </c>
      <c r="D151" s="57">
        <v>45441</v>
      </c>
      <c r="E151" s="55">
        <v>36.510300000000001</v>
      </c>
      <c r="F151" s="55">
        <v>41.1</v>
      </c>
      <c r="G151" s="69">
        <f t="shared" si="4"/>
        <v>4.5897000000000006</v>
      </c>
      <c r="H151" s="61">
        <f t="shared" si="5"/>
        <v>0.12570973122653051</v>
      </c>
    </row>
    <row r="152" spans="1:11" x14ac:dyDescent="0.25">
      <c r="A152" s="55" t="s">
        <v>150</v>
      </c>
      <c r="B152" s="56" t="s">
        <v>27</v>
      </c>
      <c r="C152" s="55">
        <v>2024</v>
      </c>
      <c r="D152" s="57">
        <v>45442</v>
      </c>
      <c r="E152" s="55">
        <v>36.511400000000002</v>
      </c>
      <c r="F152" s="55">
        <v>40.51</v>
      </c>
      <c r="G152" s="69">
        <f t="shared" si="4"/>
        <v>3.9985999999999962</v>
      </c>
      <c r="H152" s="61">
        <f t="shared" si="5"/>
        <v>0.10951647978439594</v>
      </c>
    </row>
    <row r="153" spans="1:11" x14ac:dyDescent="0.25">
      <c r="A153" s="55" t="s">
        <v>151</v>
      </c>
      <c r="B153" s="56" t="s">
        <v>27</v>
      </c>
      <c r="C153" s="55">
        <v>2024</v>
      </c>
      <c r="D153" s="57">
        <v>45443</v>
      </c>
      <c r="E153" s="55">
        <v>36.537199999999999</v>
      </c>
      <c r="F153" s="55">
        <v>40.18</v>
      </c>
      <c r="G153" s="69">
        <f t="shared" si="4"/>
        <v>3.6428000000000011</v>
      </c>
      <c r="H153" s="61">
        <f t="shared" si="5"/>
        <v>9.9701126523105144E-2</v>
      </c>
      <c r="I153" t="str">
        <f>+TRIM(B153&amp;C153)</f>
        <v>MAYO2024</v>
      </c>
      <c r="J153" s="53">
        <f>+AVERAGE(E123:E153)</f>
        <v>36.553754838709665</v>
      </c>
      <c r="K153" s="53">
        <f>+AVERAGE(F123:F153)</f>
        <v>39.845999999999997</v>
      </c>
    </row>
    <row r="154" spans="1:11" x14ac:dyDescent="0.25">
      <c r="A154" s="55" t="s">
        <v>152</v>
      </c>
      <c r="B154" s="56" t="s">
        <v>28</v>
      </c>
      <c r="C154" s="55">
        <v>2024</v>
      </c>
      <c r="D154" s="57">
        <v>45444</v>
      </c>
      <c r="E154" s="55">
        <v>36.537199999999999</v>
      </c>
      <c r="F154" s="55">
        <v>40.18</v>
      </c>
      <c r="G154" s="69">
        <f t="shared" si="4"/>
        <v>3.6428000000000011</v>
      </c>
      <c r="H154" s="61">
        <f t="shared" si="5"/>
        <v>9.9701126523105144E-2</v>
      </c>
    </row>
    <row r="155" spans="1:11" x14ac:dyDescent="0.25">
      <c r="A155" s="55" t="s">
        <v>153</v>
      </c>
      <c r="B155" s="56" t="s">
        <v>28</v>
      </c>
      <c r="C155" s="55">
        <v>2024</v>
      </c>
      <c r="D155" s="57">
        <v>45445</v>
      </c>
      <c r="E155" s="55">
        <v>36.537199999999999</v>
      </c>
      <c r="F155" s="55">
        <v>40.18</v>
      </c>
      <c r="G155" s="69">
        <f t="shared" si="4"/>
        <v>3.6428000000000011</v>
      </c>
      <c r="H155" s="61">
        <f t="shared" si="5"/>
        <v>9.9701126523105144E-2</v>
      </c>
    </row>
    <row r="156" spans="1:11" x14ac:dyDescent="0.25">
      <c r="A156" s="55" t="s">
        <v>147</v>
      </c>
      <c r="B156" s="56" t="s">
        <v>28</v>
      </c>
      <c r="C156" s="55">
        <v>2024</v>
      </c>
      <c r="D156" s="57">
        <v>45446</v>
      </c>
      <c r="E156" s="55">
        <v>36.537199999999999</v>
      </c>
      <c r="F156" s="55">
        <v>39.75</v>
      </c>
      <c r="G156" s="69">
        <f t="shared" si="4"/>
        <v>3.2128000000000014</v>
      </c>
      <c r="H156" s="61">
        <f t="shared" si="5"/>
        <v>8.7932299136222802E-2</v>
      </c>
    </row>
    <row r="157" spans="1:11" x14ac:dyDescent="0.25">
      <c r="A157" s="55" t="s">
        <v>148</v>
      </c>
      <c r="B157" s="56" t="s">
        <v>28</v>
      </c>
      <c r="C157" s="55">
        <v>2024</v>
      </c>
      <c r="D157" s="57">
        <v>45447</v>
      </c>
      <c r="E157" s="55">
        <v>36.534399999999998</v>
      </c>
      <c r="F157" s="55">
        <v>39.42</v>
      </c>
      <c r="G157" s="69">
        <f t="shared" si="4"/>
        <v>2.8856000000000037</v>
      </c>
      <c r="H157" s="61">
        <f t="shared" si="5"/>
        <v>7.898309538407644E-2</v>
      </c>
    </row>
    <row r="158" spans="1:11" x14ac:dyDescent="0.25">
      <c r="A158" s="55" t="s">
        <v>149</v>
      </c>
      <c r="B158" s="56" t="s">
        <v>28</v>
      </c>
      <c r="C158" s="55">
        <v>2024</v>
      </c>
      <c r="D158" s="57">
        <v>45448</v>
      </c>
      <c r="E158" s="55">
        <v>36.540799999999997</v>
      </c>
      <c r="F158" s="55">
        <v>39.96</v>
      </c>
      <c r="G158" s="69">
        <f t="shared" si="4"/>
        <v>3.4192000000000036</v>
      </c>
      <c r="H158" s="61">
        <f t="shared" si="5"/>
        <v>9.3572116647692605E-2</v>
      </c>
    </row>
    <row r="159" spans="1:11" x14ac:dyDescent="0.25">
      <c r="A159" s="55" t="s">
        <v>150</v>
      </c>
      <c r="B159" s="56" t="s">
        <v>28</v>
      </c>
      <c r="C159" s="55">
        <v>2024</v>
      </c>
      <c r="D159" s="57">
        <v>45449</v>
      </c>
      <c r="E159" s="55">
        <v>36.524000000000001</v>
      </c>
      <c r="F159" s="55">
        <v>40.22</v>
      </c>
      <c r="G159" s="69">
        <f t="shared" si="4"/>
        <v>3.695999999999998</v>
      </c>
      <c r="H159" s="61">
        <f t="shared" si="5"/>
        <v>0.10119373562588985</v>
      </c>
    </row>
    <row r="160" spans="1:11" x14ac:dyDescent="0.25">
      <c r="A160" s="55" t="s">
        <v>151</v>
      </c>
      <c r="B160" s="56" t="s">
        <v>28</v>
      </c>
      <c r="C160" s="55">
        <v>2024</v>
      </c>
      <c r="D160" s="57">
        <v>45450</v>
      </c>
      <c r="E160" s="55">
        <v>36.488199999999999</v>
      </c>
      <c r="F160" s="55">
        <v>39.79</v>
      </c>
      <c r="G160" s="69">
        <f t="shared" si="4"/>
        <v>3.3018000000000001</v>
      </c>
      <c r="H160" s="61">
        <f t="shared" si="5"/>
        <v>9.0489528121419971E-2</v>
      </c>
    </row>
    <row r="161" spans="1:8" x14ac:dyDescent="0.25">
      <c r="A161" s="55" t="s">
        <v>152</v>
      </c>
      <c r="B161" s="56" t="s">
        <v>28</v>
      </c>
      <c r="C161" s="55">
        <v>2024</v>
      </c>
      <c r="D161" s="57">
        <v>45451</v>
      </c>
      <c r="E161" s="55">
        <v>36.488199999999999</v>
      </c>
      <c r="F161" s="55">
        <v>39.79</v>
      </c>
      <c r="G161" s="69">
        <f t="shared" si="4"/>
        <v>3.3018000000000001</v>
      </c>
      <c r="H161" s="61">
        <f t="shared" si="5"/>
        <v>9.0489528121419971E-2</v>
      </c>
    </row>
    <row r="162" spans="1:8" x14ac:dyDescent="0.25">
      <c r="A162" s="55" t="s">
        <v>153</v>
      </c>
      <c r="B162" s="56" t="s">
        <v>28</v>
      </c>
      <c r="C162" s="55">
        <v>2024</v>
      </c>
      <c r="D162" s="57">
        <v>45452</v>
      </c>
      <c r="E162" s="55">
        <v>36.488199999999999</v>
      </c>
      <c r="F162" s="55">
        <v>39.79</v>
      </c>
      <c r="G162" s="69">
        <f t="shared" si="4"/>
        <v>3.3018000000000001</v>
      </c>
      <c r="H162" s="61">
        <f t="shared" si="5"/>
        <v>9.0489528121419971E-2</v>
      </c>
    </row>
    <row r="163" spans="1:8" x14ac:dyDescent="0.25">
      <c r="A163" s="55" t="s">
        <v>147</v>
      </c>
      <c r="B163" s="56" t="s">
        <v>28</v>
      </c>
      <c r="C163" s="55">
        <v>2024</v>
      </c>
      <c r="D163" s="57">
        <v>45453</v>
      </c>
      <c r="E163" s="55">
        <v>36.478700000000003</v>
      </c>
      <c r="F163" s="55">
        <v>39.6</v>
      </c>
      <c r="G163" s="69">
        <f t="shared" si="4"/>
        <v>3.121299999999998</v>
      </c>
      <c r="H163" s="61">
        <f t="shared" si="5"/>
        <v>8.5565000945757363E-2</v>
      </c>
    </row>
    <row r="164" spans="1:8" x14ac:dyDescent="0.25">
      <c r="A164" s="55" t="s">
        <v>148</v>
      </c>
      <c r="B164" s="56" t="s">
        <v>28</v>
      </c>
      <c r="C164" s="55">
        <v>2024</v>
      </c>
      <c r="D164" s="57">
        <v>45454</v>
      </c>
      <c r="E164" s="55">
        <v>36.450000000000003</v>
      </c>
      <c r="F164" s="55">
        <v>39.83</v>
      </c>
      <c r="G164" s="69">
        <f t="shared" si="4"/>
        <v>3.3799999999999955</v>
      </c>
      <c r="H164" s="61">
        <f t="shared" si="5"/>
        <v>9.2729766803840707E-2</v>
      </c>
    </row>
    <row r="165" spans="1:8" x14ac:dyDescent="0.25">
      <c r="A165" s="55" t="s">
        <v>149</v>
      </c>
      <c r="B165" s="56" t="s">
        <v>28</v>
      </c>
      <c r="C165" s="55">
        <v>2024</v>
      </c>
      <c r="D165" s="57">
        <v>45455</v>
      </c>
      <c r="E165" s="55">
        <v>36.438499999999998</v>
      </c>
      <c r="F165" s="55">
        <v>39.869999999999997</v>
      </c>
      <c r="G165" s="69">
        <f t="shared" si="4"/>
        <v>3.4314999999999998</v>
      </c>
      <c r="H165" s="61">
        <f t="shared" si="5"/>
        <v>9.4172372627852496E-2</v>
      </c>
    </row>
    <row r="166" spans="1:8" x14ac:dyDescent="0.25">
      <c r="A166" s="55" t="s">
        <v>150</v>
      </c>
      <c r="B166" s="56" t="s">
        <v>28</v>
      </c>
      <c r="C166" s="55">
        <v>2024</v>
      </c>
      <c r="D166" s="57">
        <v>45456</v>
      </c>
      <c r="E166" s="55">
        <v>36.4497</v>
      </c>
      <c r="F166" s="55">
        <v>39.94</v>
      </c>
      <c r="G166" s="69">
        <f t="shared" si="4"/>
        <v>3.4902999999999977</v>
      </c>
      <c r="H166" s="61">
        <f t="shared" si="5"/>
        <v>9.5756618024291029E-2</v>
      </c>
    </row>
    <row r="167" spans="1:8" x14ac:dyDescent="0.25">
      <c r="A167" s="55" t="s">
        <v>151</v>
      </c>
      <c r="B167" s="56" t="s">
        <v>28</v>
      </c>
      <c r="C167" s="55">
        <v>2024</v>
      </c>
      <c r="D167" s="57">
        <v>45457</v>
      </c>
      <c r="E167" s="55">
        <v>36.429600000000001</v>
      </c>
      <c r="F167" s="55">
        <v>39.799999999999997</v>
      </c>
      <c r="G167" s="69">
        <f t="shared" si="4"/>
        <v>3.3703999999999965</v>
      </c>
      <c r="H167" s="61">
        <f t="shared" si="5"/>
        <v>9.2518172035926716E-2</v>
      </c>
    </row>
    <row r="168" spans="1:8" x14ac:dyDescent="0.25">
      <c r="A168" s="55" t="s">
        <v>152</v>
      </c>
      <c r="B168" s="56" t="s">
        <v>28</v>
      </c>
      <c r="C168" s="55">
        <v>2024</v>
      </c>
      <c r="D168" s="57">
        <v>45458</v>
      </c>
      <c r="E168" s="55">
        <v>36.429600000000001</v>
      </c>
      <c r="F168" s="55">
        <v>39.799999999999997</v>
      </c>
      <c r="G168" s="69">
        <f t="shared" si="4"/>
        <v>3.3703999999999965</v>
      </c>
      <c r="H168" s="61">
        <f t="shared" si="5"/>
        <v>9.2518172035926716E-2</v>
      </c>
    </row>
    <row r="169" spans="1:8" x14ac:dyDescent="0.25">
      <c r="A169" s="55" t="s">
        <v>153</v>
      </c>
      <c r="B169" s="56" t="s">
        <v>28</v>
      </c>
      <c r="C169" s="55">
        <v>2024</v>
      </c>
      <c r="D169" s="57">
        <v>45459</v>
      </c>
      <c r="E169" s="55">
        <v>36.429600000000001</v>
      </c>
      <c r="F169" s="55">
        <v>39.799999999999997</v>
      </c>
      <c r="G169" s="69">
        <f t="shared" si="4"/>
        <v>3.3703999999999965</v>
      </c>
      <c r="H169" s="61">
        <f t="shared" si="5"/>
        <v>9.2518172035926716E-2</v>
      </c>
    </row>
    <row r="170" spans="1:8" x14ac:dyDescent="0.25">
      <c r="A170" s="55" t="s">
        <v>147</v>
      </c>
      <c r="B170" s="56" t="s">
        <v>28</v>
      </c>
      <c r="C170" s="55">
        <v>2024</v>
      </c>
      <c r="D170" s="57">
        <v>45460</v>
      </c>
      <c r="E170" s="55">
        <v>36.429600000000001</v>
      </c>
      <c r="F170" s="55">
        <v>39.76</v>
      </c>
      <c r="G170" s="69">
        <f t="shared" si="4"/>
        <v>3.3303999999999974</v>
      </c>
      <c r="H170" s="61">
        <f t="shared" si="5"/>
        <v>9.1420163822825362E-2</v>
      </c>
    </row>
    <row r="171" spans="1:8" x14ac:dyDescent="0.25">
      <c r="A171" s="55" t="s">
        <v>148</v>
      </c>
      <c r="B171" s="56" t="s">
        <v>28</v>
      </c>
      <c r="C171" s="55">
        <v>2024</v>
      </c>
      <c r="D171" s="57">
        <v>45461</v>
      </c>
      <c r="E171" s="55">
        <v>36.4176</v>
      </c>
      <c r="F171" s="55">
        <v>40.39</v>
      </c>
      <c r="G171" s="69">
        <f t="shared" si="4"/>
        <v>3.9724000000000004</v>
      </c>
      <c r="H171" s="61">
        <f t="shared" si="5"/>
        <v>0.10907912657616103</v>
      </c>
    </row>
    <row r="172" spans="1:8" x14ac:dyDescent="0.25">
      <c r="A172" s="55" t="s">
        <v>149</v>
      </c>
      <c r="B172" s="56" t="s">
        <v>28</v>
      </c>
      <c r="C172" s="55">
        <v>2024</v>
      </c>
      <c r="D172" s="57">
        <v>45462</v>
      </c>
      <c r="E172" s="55">
        <v>36.393900000000002</v>
      </c>
      <c r="F172" s="55">
        <v>41.42</v>
      </c>
      <c r="G172" s="69">
        <f t="shared" si="4"/>
        <v>5.0260999999999996</v>
      </c>
      <c r="H172" s="61">
        <f t="shared" si="5"/>
        <v>0.1381028139331042</v>
      </c>
    </row>
    <row r="173" spans="1:8" x14ac:dyDescent="0.25">
      <c r="A173" s="55" t="s">
        <v>150</v>
      </c>
      <c r="B173" s="56" t="s">
        <v>28</v>
      </c>
      <c r="C173" s="55">
        <v>2024</v>
      </c>
      <c r="D173" s="57">
        <v>45463</v>
      </c>
      <c r="E173" s="55">
        <v>36.383099999999999</v>
      </c>
      <c r="F173" s="55">
        <v>41.19</v>
      </c>
      <c r="G173" s="69">
        <f t="shared" si="4"/>
        <v>4.8068999999999988</v>
      </c>
      <c r="H173" s="61">
        <f t="shared" si="5"/>
        <v>0.13211903328743291</v>
      </c>
    </row>
    <row r="174" spans="1:8" x14ac:dyDescent="0.25">
      <c r="A174" s="55" t="s">
        <v>151</v>
      </c>
      <c r="B174" s="56" t="s">
        <v>28</v>
      </c>
      <c r="C174" s="55">
        <v>2024</v>
      </c>
      <c r="D174" s="57">
        <v>45464</v>
      </c>
      <c r="E174" s="55">
        <v>36.378900000000002</v>
      </c>
      <c r="F174" s="55">
        <v>40.6</v>
      </c>
      <c r="G174" s="69">
        <f t="shared" si="4"/>
        <v>4.2210999999999999</v>
      </c>
      <c r="H174" s="61">
        <f t="shared" si="5"/>
        <v>0.11603154575866781</v>
      </c>
    </row>
    <row r="175" spans="1:8" x14ac:dyDescent="0.25">
      <c r="A175" s="55" t="s">
        <v>152</v>
      </c>
      <c r="B175" s="56" t="s">
        <v>28</v>
      </c>
      <c r="C175" s="55">
        <v>2024</v>
      </c>
      <c r="D175" s="57">
        <v>45465</v>
      </c>
      <c r="E175" s="55">
        <v>36.378900000000002</v>
      </c>
      <c r="F175" s="55">
        <v>40.6</v>
      </c>
      <c r="G175" s="69">
        <f t="shared" si="4"/>
        <v>4.2210999999999999</v>
      </c>
      <c r="H175" s="61">
        <f t="shared" si="5"/>
        <v>0.11603154575866781</v>
      </c>
    </row>
    <row r="176" spans="1:8" x14ac:dyDescent="0.25">
      <c r="A176" s="55" t="s">
        <v>153</v>
      </c>
      <c r="B176" s="56" t="s">
        <v>28</v>
      </c>
      <c r="C176" s="55">
        <v>2024</v>
      </c>
      <c r="D176" s="57">
        <v>45466</v>
      </c>
      <c r="E176" s="55">
        <v>36.378900000000002</v>
      </c>
      <c r="F176" s="55">
        <v>40.6</v>
      </c>
      <c r="G176" s="69">
        <f t="shared" si="4"/>
        <v>4.2210999999999999</v>
      </c>
      <c r="H176" s="61">
        <f t="shared" si="5"/>
        <v>0.11603154575866781</v>
      </c>
    </row>
    <row r="177" spans="1:11" x14ac:dyDescent="0.25">
      <c r="A177" s="55" t="s">
        <v>147</v>
      </c>
      <c r="B177" s="56" t="s">
        <v>28</v>
      </c>
      <c r="C177" s="55">
        <v>2024</v>
      </c>
      <c r="D177" s="57">
        <v>45467</v>
      </c>
      <c r="E177" s="55">
        <v>36.378900000000002</v>
      </c>
      <c r="F177" s="55">
        <v>40.6</v>
      </c>
      <c r="G177" s="69">
        <f t="shared" si="4"/>
        <v>4.2210999999999999</v>
      </c>
      <c r="H177" s="61">
        <f t="shared" si="5"/>
        <v>0.11603154575866781</v>
      </c>
    </row>
    <row r="178" spans="1:11" x14ac:dyDescent="0.25">
      <c r="A178" s="55" t="s">
        <v>148</v>
      </c>
      <c r="B178" s="56" t="s">
        <v>28</v>
      </c>
      <c r="C178" s="55">
        <v>2024</v>
      </c>
      <c r="D178" s="57">
        <v>45468</v>
      </c>
      <c r="E178" s="55">
        <v>36.372500000000002</v>
      </c>
      <c r="F178" s="55">
        <v>40.1</v>
      </c>
      <c r="G178" s="69">
        <f t="shared" si="4"/>
        <v>3.7274999999999991</v>
      </c>
      <c r="H178" s="61">
        <f t="shared" si="5"/>
        <v>0.10248127019039099</v>
      </c>
    </row>
    <row r="179" spans="1:11" x14ac:dyDescent="0.25">
      <c r="A179" s="55" t="s">
        <v>149</v>
      </c>
      <c r="B179" s="56" t="s">
        <v>28</v>
      </c>
      <c r="C179" s="55">
        <v>2024</v>
      </c>
      <c r="D179" s="57">
        <v>45469</v>
      </c>
      <c r="E179" s="55">
        <v>36.365499999999997</v>
      </c>
      <c r="F179" s="55">
        <v>40.58</v>
      </c>
      <c r="G179" s="69">
        <f t="shared" si="4"/>
        <v>4.214500000000001</v>
      </c>
      <c r="H179" s="61">
        <f t="shared" si="5"/>
        <v>0.11589281049346223</v>
      </c>
    </row>
    <row r="180" spans="1:11" x14ac:dyDescent="0.25">
      <c r="A180" s="55" t="s">
        <v>150</v>
      </c>
      <c r="B180" s="56" t="s">
        <v>28</v>
      </c>
      <c r="C180" s="55">
        <v>2024</v>
      </c>
      <c r="D180" s="57">
        <v>45470</v>
      </c>
      <c r="E180" s="55">
        <v>36.382300000000001</v>
      </c>
      <c r="F180" s="55">
        <v>40.25</v>
      </c>
      <c r="G180" s="69">
        <f t="shared" si="4"/>
        <v>3.8676999999999992</v>
      </c>
      <c r="H180" s="61">
        <f t="shared" si="5"/>
        <v>0.10630718783584325</v>
      </c>
    </row>
    <row r="181" spans="1:11" x14ac:dyDescent="0.25">
      <c r="A181" s="55" t="s">
        <v>151</v>
      </c>
      <c r="B181" s="56" t="s">
        <v>28</v>
      </c>
      <c r="C181" s="55">
        <v>2024</v>
      </c>
      <c r="D181" s="57">
        <v>45471</v>
      </c>
      <c r="E181" s="55">
        <v>36.408499999999997</v>
      </c>
      <c r="F181" s="55">
        <v>40.19</v>
      </c>
      <c r="G181" s="69">
        <f t="shared" si="4"/>
        <v>3.7815000000000012</v>
      </c>
      <c r="H181" s="61">
        <f t="shared" si="5"/>
        <v>0.10386310888940775</v>
      </c>
    </row>
    <row r="182" spans="1:11" x14ac:dyDescent="0.25">
      <c r="A182" s="55" t="s">
        <v>152</v>
      </c>
      <c r="B182" s="56" t="s">
        <v>28</v>
      </c>
      <c r="C182" s="55">
        <v>2024</v>
      </c>
      <c r="D182" s="57">
        <v>45472</v>
      </c>
      <c r="E182" s="55">
        <v>36.408499999999997</v>
      </c>
      <c r="F182" s="55">
        <v>40.19</v>
      </c>
      <c r="G182" s="69">
        <f t="shared" si="4"/>
        <v>3.7815000000000012</v>
      </c>
      <c r="H182" s="61">
        <f t="shared" si="5"/>
        <v>0.10386310888940775</v>
      </c>
    </row>
    <row r="183" spans="1:11" x14ac:dyDescent="0.25">
      <c r="A183" s="55" t="s">
        <v>153</v>
      </c>
      <c r="B183" s="56" t="s">
        <v>28</v>
      </c>
      <c r="C183" s="55">
        <v>2024</v>
      </c>
      <c r="D183" s="57">
        <v>45473</v>
      </c>
      <c r="E183" s="55">
        <v>36.408499999999997</v>
      </c>
      <c r="F183" s="55">
        <v>40.19</v>
      </c>
      <c r="G183" s="69">
        <f t="shared" si="4"/>
        <v>3.7815000000000012</v>
      </c>
      <c r="H183" s="61">
        <f t="shared" si="5"/>
        <v>0.10386310888940775</v>
      </c>
      <c r="I183" t="str">
        <f>+TRIM(B183&amp;C183)</f>
        <v>JUNIO2024</v>
      </c>
      <c r="J183" s="53">
        <f>+AVERAGE(E154:E183)</f>
        <v>36.442223333333338</v>
      </c>
      <c r="K183" s="53">
        <f>+AVERAGE(F154:F183)</f>
        <v>40.146000000000001</v>
      </c>
    </row>
    <row r="184" spans="1:11" x14ac:dyDescent="0.25">
      <c r="A184" s="55" t="s">
        <v>147</v>
      </c>
      <c r="B184" s="56" t="s">
        <v>29</v>
      </c>
      <c r="C184" s="55">
        <v>2024</v>
      </c>
      <c r="D184" s="57">
        <v>45474</v>
      </c>
      <c r="E184" s="55">
        <v>36.408499999999997</v>
      </c>
      <c r="F184" s="55">
        <v>40.03</v>
      </c>
      <c r="G184" s="69">
        <f t="shared" si="4"/>
        <v>3.6215000000000046</v>
      </c>
      <c r="H184" s="61">
        <f t="shared" si="5"/>
        <v>9.9468530700248747E-2</v>
      </c>
    </row>
    <row r="185" spans="1:11" x14ac:dyDescent="0.25">
      <c r="A185" s="55" t="s">
        <v>148</v>
      </c>
      <c r="B185" s="56" t="s">
        <v>29</v>
      </c>
      <c r="C185" s="55">
        <v>2024</v>
      </c>
      <c r="D185" s="57">
        <v>45475</v>
      </c>
      <c r="E185" s="55">
        <v>36.455100000000002</v>
      </c>
      <c r="F185" s="55">
        <v>40.5</v>
      </c>
      <c r="G185" s="69">
        <f t="shared" si="4"/>
        <v>4.0448999999999984</v>
      </c>
      <c r="H185" s="61">
        <f t="shared" si="5"/>
        <v>0.11095566875416596</v>
      </c>
    </row>
    <row r="186" spans="1:11" x14ac:dyDescent="0.25">
      <c r="A186" s="55" t="s">
        <v>149</v>
      </c>
      <c r="B186" s="56" t="s">
        <v>29</v>
      </c>
      <c r="C186" s="55">
        <v>2024</v>
      </c>
      <c r="D186" s="57">
        <v>45476</v>
      </c>
      <c r="E186" s="55">
        <v>36.467199999999998</v>
      </c>
      <c r="F186" s="55">
        <v>40.880000000000003</v>
      </c>
      <c r="G186" s="69">
        <f t="shared" si="4"/>
        <v>4.4128000000000043</v>
      </c>
      <c r="H186" s="61">
        <f t="shared" si="5"/>
        <v>0.12100737100737113</v>
      </c>
    </row>
    <row r="187" spans="1:11" x14ac:dyDescent="0.25">
      <c r="A187" s="55" t="s">
        <v>150</v>
      </c>
      <c r="B187" s="56" t="s">
        <v>29</v>
      </c>
      <c r="C187" s="55">
        <v>2024</v>
      </c>
      <c r="D187" s="57">
        <v>45477</v>
      </c>
      <c r="E187" s="55">
        <v>36.477899999999998</v>
      </c>
      <c r="F187" s="55">
        <v>41.07</v>
      </c>
      <c r="G187" s="69">
        <f t="shared" si="4"/>
        <v>4.5921000000000021</v>
      </c>
      <c r="H187" s="61">
        <f t="shared" si="5"/>
        <v>0.12588718100548557</v>
      </c>
    </row>
    <row r="188" spans="1:11" x14ac:dyDescent="0.25">
      <c r="A188" s="55" t="s">
        <v>151</v>
      </c>
      <c r="B188" s="56" t="s">
        <v>29</v>
      </c>
      <c r="C188" s="55">
        <v>2024</v>
      </c>
      <c r="D188" s="57">
        <v>45478</v>
      </c>
      <c r="E188" s="55">
        <v>36.477899999999998</v>
      </c>
      <c r="F188" s="55">
        <v>41.07</v>
      </c>
      <c r="G188" s="69">
        <f t="shared" si="4"/>
        <v>4.5921000000000021</v>
      </c>
      <c r="H188" s="61">
        <f t="shared" si="5"/>
        <v>0.12588718100548557</v>
      </c>
    </row>
    <row r="189" spans="1:11" x14ac:dyDescent="0.25">
      <c r="A189" s="55" t="s">
        <v>152</v>
      </c>
      <c r="B189" s="56" t="s">
        <v>29</v>
      </c>
      <c r="C189" s="55">
        <v>2024</v>
      </c>
      <c r="D189" s="57">
        <v>45479</v>
      </c>
      <c r="E189" s="55">
        <v>36.477899999999998</v>
      </c>
      <c r="F189" s="55">
        <v>41.07</v>
      </c>
      <c r="G189" s="69">
        <f t="shared" si="4"/>
        <v>4.5921000000000021</v>
      </c>
      <c r="H189" s="61">
        <f t="shared" si="5"/>
        <v>0.12588718100548557</v>
      </c>
    </row>
    <row r="190" spans="1:11" x14ac:dyDescent="0.25">
      <c r="A190" s="55" t="s">
        <v>153</v>
      </c>
      <c r="B190" s="56" t="s">
        <v>29</v>
      </c>
      <c r="C190" s="55">
        <v>2024</v>
      </c>
      <c r="D190" s="57">
        <v>45480</v>
      </c>
      <c r="E190" s="55">
        <v>36.477899999999998</v>
      </c>
      <c r="F190" s="55">
        <v>41.07</v>
      </c>
      <c r="G190" s="69">
        <f t="shared" si="4"/>
        <v>4.5921000000000021</v>
      </c>
      <c r="H190" s="61">
        <f t="shared" si="5"/>
        <v>0.12588718100548557</v>
      </c>
    </row>
    <row r="191" spans="1:11" x14ac:dyDescent="0.25">
      <c r="A191" s="55" t="s">
        <v>147</v>
      </c>
      <c r="B191" s="56" t="s">
        <v>29</v>
      </c>
      <c r="C191" s="55">
        <v>2024</v>
      </c>
      <c r="D191" s="57">
        <v>45481</v>
      </c>
      <c r="E191" s="55">
        <v>36.512300000000003</v>
      </c>
      <c r="F191" s="55">
        <v>40.32</v>
      </c>
      <c r="G191" s="69">
        <f t="shared" si="4"/>
        <v>3.807699999999997</v>
      </c>
      <c r="H191" s="61">
        <f t="shared" si="5"/>
        <v>0.10428540519222285</v>
      </c>
    </row>
    <row r="192" spans="1:11" x14ac:dyDescent="0.25">
      <c r="A192" s="55" t="s">
        <v>148</v>
      </c>
      <c r="B192" s="56" t="s">
        <v>29</v>
      </c>
      <c r="C192" s="55">
        <v>2024</v>
      </c>
      <c r="D192" s="57">
        <v>45482</v>
      </c>
      <c r="E192" s="55">
        <v>36.488799999999998</v>
      </c>
      <c r="F192" s="55">
        <v>40.65</v>
      </c>
      <c r="G192" s="69">
        <f t="shared" si="4"/>
        <v>4.1612000000000009</v>
      </c>
      <c r="H192" s="61">
        <f t="shared" si="5"/>
        <v>0.11404047269299067</v>
      </c>
    </row>
    <row r="193" spans="1:8" x14ac:dyDescent="0.25">
      <c r="A193" s="55" t="s">
        <v>149</v>
      </c>
      <c r="B193" s="56" t="s">
        <v>29</v>
      </c>
      <c r="C193" s="55">
        <v>2024</v>
      </c>
      <c r="D193" s="57">
        <v>45483</v>
      </c>
      <c r="E193" s="55">
        <v>36.505600000000001</v>
      </c>
      <c r="F193" s="55">
        <v>40.630000000000003</v>
      </c>
      <c r="G193" s="69">
        <f t="shared" si="4"/>
        <v>4.1244000000000014</v>
      </c>
      <c r="H193" s="61">
        <f t="shared" si="5"/>
        <v>0.11297992636746157</v>
      </c>
    </row>
    <row r="194" spans="1:8" x14ac:dyDescent="0.25">
      <c r="A194" s="55" t="s">
        <v>150</v>
      </c>
      <c r="B194" s="56" t="s">
        <v>29</v>
      </c>
      <c r="C194" s="55">
        <v>2024</v>
      </c>
      <c r="D194" s="57">
        <v>45484</v>
      </c>
      <c r="E194" s="55">
        <v>36.513399999999997</v>
      </c>
      <c r="F194" s="55">
        <v>41.04</v>
      </c>
      <c r="G194" s="69">
        <f t="shared" si="4"/>
        <v>4.526600000000002</v>
      </c>
      <c r="H194" s="61">
        <f t="shared" si="5"/>
        <v>0.12397092574233026</v>
      </c>
    </row>
    <row r="195" spans="1:8" x14ac:dyDescent="0.25">
      <c r="A195" s="55" t="s">
        <v>151</v>
      </c>
      <c r="B195" s="56" t="s">
        <v>29</v>
      </c>
      <c r="C195" s="55">
        <v>2024</v>
      </c>
      <c r="D195" s="57">
        <v>45485</v>
      </c>
      <c r="E195" s="55">
        <v>36.530299999999997</v>
      </c>
      <c r="F195" s="55">
        <v>40.880000000000003</v>
      </c>
      <c r="G195" s="69">
        <f t="shared" ref="G195:G258" si="6">+F195-E195</f>
        <v>4.3497000000000057</v>
      </c>
      <c r="H195" s="61">
        <f t="shared" ref="H195:H258" si="7">+F195/E195-1</f>
        <v>0.11907101775786155</v>
      </c>
    </row>
    <row r="196" spans="1:8" x14ac:dyDescent="0.25">
      <c r="A196" s="55" t="s">
        <v>152</v>
      </c>
      <c r="B196" s="56" t="s">
        <v>29</v>
      </c>
      <c r="C196" s="55">
        <v>2024</v>
      </c>
      <c r="D196" s="57">
        <v>45486</v>
      </c>
      <c r="E196" s="55">
        <v>36.530299999999997</v>
      </c>
      <c r="F196" s="55">
        <v>40.880000000000003</v>
      </c>
      <c r="G196" s="69">
        <f t="shared" si="6"/>
        <v>4.3497000000000057</v>
      </c>
      <c r="H196" s="61">
        <f t="shared" si="7"/>
        <v>0.11907101775786155</v>
      </c>
    </row>
    <row r="197" spans="1:8" x14ac:dyDescent="0.25">
      <c r="A197" s="55" t="s">
        <v>153</v>
      </c>
      <c r="B197" s="56" t="s">
        <v>29</v>
      </c>
      <c r="C197" s="55">
        <v>2024</v>
      </c>
      <c r="D197" s="57">
        <v>45487</v>
      </c>
      <c r="E197" s="55">
        <v>36.530299999999997</v>
      </c>
      <c r="F197" s="55">
        <v>40.880000000000003</v>
      </c>
      <c r="G197" s="69">
        <f t="shared" si="6"/>
        <v>4.3497000000000057</v>
      </c>
      <c r="H197" s="61">
        <f t="shared" si="7"/>
        <v>0.11907101775786155</v>
      </c>
    </row>
    <row r="198" spans="1:8" x14ac:dyDescent="0.25">
      <c r="A198" s="55" t="s">
        <v>147</v>
      </c>
      <c r="B198" s="56" t="s">
        <v>29</v>
      </c>
      <c r="C198" s="55">
        <v>2024</v>
      </c>
      <c r="D198" s="57">
        <v>45488</v>
      </c>
      <c r="E198" s="55">
        <v>36.524299999999997</v>
      </c>
      <c r="F198" s="55">
        <v>40.68</v>
      </c>
      <c r="G198" s="69">
        <f t="shared" si="6"/>
        <v>4.1557000000000031</v>
      </c>
      <c r="H198" s="61">
        <f t="shared" si="7"/>
        <v>0.11377904573119824</v>
      </c>
    </row>
    <row r="199" spans="1:8" x14ac:dyDescent="0.25">
      <c r="A199" s="55" t="s">
        <v>148</v>
      </c>
      <c r="B199" s="56" t="s">
        <v>29</v>
      </c>
      <c r="C199" s="55">
        <v>2024</v>
      </c>
      <c r="D199" s="57">
        <v>45489</v>
      </c>
      <c r="E199" s="55">
        <v>36.500399999999999</v>
      </c>
      <c r="F199" s="55">
        <v>40.799999999999997</v>
      </c>
      <c r="G199" s="69">
        <f t="shared" si="6"/>
        <v>4.2995999999999981</v>
      </c>
      <c r="H199" s="61">
        <f t="shared" si="7"/>
        <v>0.11779596935923986</v>
      </c>
    </row>
    <row r="200" spans="1:8" x14ac:dyDescent="0.25">
      <c r="A200" s="55" t="s">
        <v>149</v>
      </c>
      <c r="B200" s="56" t="s">
        <v>29</v>
      </c>
      <c r="C200" s="55">
        <v>2024</v>
      </c>
      <c r="D200" s="57">
        <v>45490</v>
      </c>
      <c r="E200" s="55">
        <v>36.506</v>
      </c>
      <c r="F200" s="55">
        <v>40.92</v>
      </c>
      <c r="G200" s="69">
        <f t="shared" si="6"/>
        <v>4.4140000000000015</v>
      </c>
      <c r="H200" s="61">
        <f t="shared" si="7"/>
        <v>0.12091163096477286</v>
      </c>
    </row>
    <row r="201" spans="1:8" x14ac:dyDescent="0.25">
      <c r="A201" s="55" t="s">
        <v>150</v>
      </c>
      <c r="B201" s="56" t="s">
        <v>29</v>
      </c>
      <c r="C201" s="55">
        <v>2024</v>
      </c>
      <c r="D201" s="57">
        <v>45491</v>
      </c>
      <c r="E201" s="55">
        <v>36.540700000000001</v>
      </c>
      <c r="F201" s="55">
        <v>41.11</v>
      </c>
      <c r="G201" s="69">
        <f t="shared" si="6"/>
        <v>4.5692999999999984</v>
      </c>
      <c r="H201" s="61">
        <f t="shared" si="7"/>
        <v>0.12504686554992106</v>
      </c>
    </row>
    <row r="202" spans="1:8" x14ac:dyDescent="0.25">
      <c r="A202" s="55" t="s">
        <v>151</v>
      </c>
      <c r="B202" s="56" t="s">
        <v>29</v>
      </c>
      <c r="C202" s="55">
        <v>2024</v>
      </c>
      <c r="D202" s="57">
        <v>45492</v>
      </c>
      <c r="E202" s="55">
        <v>36.572400000000002</v>
      </c>
      <c r="F202" s="55">
        <v>41.31</v>
      </c>
      <c r="G202" s="69">
        <f t="shared" si="6"/>
        <v>4.7376000000000005</v>
      </c>
      <c r="H202" s="61">
        <f t="shared" si="7"/>
        <v>0.12954030908553982</v>
      </c>
    </row>
    <row r="203" spans="1:8" x14ac:dyDescent="0.25">
      <c r="A203" s="55" t="s">
        <v>152</v>
      </c>
      <c r="B203" s="56" t="s">
        <v>29</v>
      </c>
      <c r="C203" s="55">
        <v>2024</v>
      </c>
      <c r="D203" s="57">
        <v>45493</v>
      </c>
      <c r="E203" s="55">
        <v>36.572400000000002</v>
      </c>
      <c r="F203" s="55">
        <v>41.31</v>
      </c>
      <c r="G203" s="69">
        <f t="shared" si="6"/>
        <v>4.7376000000000005</v>
      </c>
      <c r="H203" s="61">
        <f t="shared" si="7"/>
        <v>0.12954030908553982</v>
      </c>
    </row>
    <row r="204" spans="1:8" x14ac:dyDescent="0.25">
      <c r="A204" s="55" t="s">
        <v>153</v>
      </c>
      <c r="B204" s="56" t="s">
        <v>29</v>
      </c>
      <c r="C204" s="55">
        <v>2024</v>
      </c>
      <c r="D204" s="57">
        <v>45494</v>
      </c>
      <c r="E204" s="55">
        <v>36.572400000000002</v>
      </c>
      <c r="F204" s="55">
        <v>41.31</v>
      </c>
      <c r="G204" s="69">
        <f t="shared" si="6"/>
        <v>4.7376000000000005</v>
      </c>
      <c r="H204" s="61">
        <f t="shared" si="7"/>
        <v>0.12954030908553982</v>
      </c>
    </row>
    <row r="205" spans="1:8" x14ac:dyDescent="0.25">
      <c r="A205" s="55" t="s">
        <v>147</v>
      </c>
      <c r="B205" s="56" t="s">
        <v>29</v>
      </c>
      <c r="C205" s="55">
        <v>2024</v>
      </c>
      <c r="D205" s="57">
        <v>45495</v>
      </c>
      <c r="E205" s="55">
        <v>36.6066</v>
      </c>
      <c r="F205" s="55">
        <v>41.08</v>
      </c>
      <c r="G205" s="69">
        <f t="shared" si="6"/>
        <v>4.473399999999998</v>
      </c>
      <c r="H205" s="61">
        <f t="shared" si="7"/>
        <v>0.12220200728830322</v>
      </c>
    </row>
    <row r="206" spans="1:8" x14ac:dyDescent="0.25">
      <c r="A206" s="55" t="s">
        <v>148</v>
      </c>
      <c r="B206" s="56" t="s">
        <v>29</v>
      </c>
      <c r="C206" s="55">
        <v>2024</v>
      </c>
      <c r="D206" s="57">
        <v>45496</v>
      </c>
      <c r="E206" s="55">
        <v>36.531399999999998</v>
      </c>
      <c r="F206" s="55">
        <v>41.38</v>
      </c>
      <c r="G206" s="69">
        <f t="shared" si="6"/>
        <v>4.8486000000000047</v>
      </c>
      <c r="H206" s="61">
        <f t="shared" si="7"/>
        <v>0.13272417700936745</v>
      </c>
    </row>
    <row r="207" spans="1:8" x14ac:dyDescent="0.25">
      <c r="A207" s="55" t="s">
        <v>149</v>
      </c>
      <c r="B207" s="56" t="s">
        <v>29</v>
      </c>
      <c r="C207" s="55">
        <v>2024</v>
      </c>
      <c r="D207" s="57">
        <v>45497</v>
      </c>
      <c r="E207" s="55">
        <v>36.531399999999998</v>
      </c>
      <c r="F207" s="55">
        <v>41.83</v>
      </c>
      <c r="G207" s="69">
        <f t="shared" si="6"/>
        <v>5.2986000000000004</v>
      </c>
      <c r="H207" s="61">
        <f t="shared" si="7"/>
        <v>0.14504234713150876</v>
      </c>
    </row>
    <row r="208" spans="1:8" x14ac:dyDescent="0.25">
      <c r="A208" s="55" t="s">
        <v>150</v>
      </c>
      <c r="B208" s="56" t="s">
        <v>29</v>
      </c>
      <c r="C208" s="55">
        <v>2024</v>
      </c>
      <c r="D208" s="57">
        <v>45498</v>
      </c>
      <c r="E208" s="55">
        <v>36.558999999999997</v>
      </c>
      <c r="F208" s="55">
        <v>41.91</v>
      </c>
      <c r="G208" s="69">
        <f t="shared" si="6"/>
        <v>5.3509999999999991</v>
      </c>
      <c r="H208" s="61">
        <f t="shared" si="7"/>
        <v>0.14636614787056534</v>
      </c>
    </row>
    <row r="209" spans="1:11" x14ac:dyDescent="0.25">
      <c r="A209" s="55" t="s">
        <v>151</v>
      </c>
      <c r="B209" s="56" t="s">
        <v>29</v>
      </c>
      <c r="C209" s="55">
        <v>2024</v>
      </c>
      <c r="D209" s="57">
        <v>45499</v>
      </c>
      <c r="E209" s="55">
        <v>36.579700000000003</v>
      </c>
      <c r="F209" s="55">
        <v>42.5</v>
      </c>
      <c r="G209" s="69">
        <f t="shared" si="6"/>
        <v>5.9202999999999975</v>
      </c>
      <c r="H209" s="61">
        <f t="shared" si="7"/>
        <v>0.16184659797647316</v>
      </c>
    </row>
    <row r="210" spans="1:11" x14ac:dyDescent="0.25">
      <c r="A210" s="55" t="s">
        <v>152</v>
      </c>
      <c r="B210" s="56" t="s">
        <v>29</v>
      </c>
      <c r="C210" s="55">
        <v>2024</v>
      </c>
      <c r="D210" s="57">
        <v>45500</v>
      </c>
      <c r="E210" s="55">
        <v>36.579700000000003</v>
      </c>
      <c r="F210" s="55">
        <v>42.5</v>
      </c>
      <c r="G210" s="69">
        <f t="shared" si="6"/>
        <v>5.9202999999999975</v>
      </c>
      <c r="H210" s="61">
        <f t="shared" si="7"/>
        <v>0.16184659797647316</v>
      </c>
    </row>
    <row r="211" spans="1:11" x14ac:dyDescent="0.25">
      <c r="A211" s="55" t="s">
        <v>153</v>
      </c>
      <c r="B211" s="56" t="s">
        <v>29</v>
      </c>
      <c r="C211" s="55">
        <v>2024</v>
      </c>
      <c r="D211" s="57">
        <v>45501</v>
      </c>
      <c r="E211" s="55">
        <v>36.579700000000003</v>
      </c>
      <c r="F211" s="55">
        <v>42.5</v>
      </c>
      <c r="G211" s="69">
        <f t="shared" si="6"/>
        <v>5.9202999999999975</v>
      </c>
      <c r="H211" s="61">
        <f t="shared" si="7"/>
        <v>0.16184659797647316</v>
      </c>
    </row>
    <row r="212" spans="1:11" x14ac:dyDescent="0.25">
      <c r="A212" s="55" t="s">
        <v>147</v>
      </c>
      <c r="B212" s="56" t="s">
        <v>29</v>
      </c>
      <c r="C212" s="55">
        <v>2024</v>
      </c>
      <c r="D212" s="57">
        <v>45502</v>
      </c>
      <c r="E212" s="55">
        <v>36.607399999999998</v>
      </c>
      <c r="F212" s="55">
        <v>42.98</v>
      </c>
      <c r="G212" s="69">
        <f t="shared" si="6"/>
        <v>6.3725999999999985</v>
      </c>
      <c r="H212" s="61">
        <f t="shared" si="7"/>
        <v>0.17407955768505823</v>
      </c>
    </row>
    <row r="213" spans="1:11" x14ac:dyDescent="0.25">
      <c r="A213" s="55" t="s">
        <v>148</v>
      </c>
      <c r="B213" s="56" t="s">
        <v>29</v>
      </c>
      <c r="C213" s="55">
        <v>2024</v>
      </c>
      <c r="D213" s="57">
        <v>45503</v>
      </c>
      <c r="E213" s="55">
        <v>36.609000000000002</v>
      </c>
      <c r="F213" s="55">
        <v>42.35</v>
      </c>
      <c r="G213" s="69">
        <f t="shared" si="6"/>
        <v>5.7409999999999997</v>
      </c>
      <c r="H213" s="61">
        <f t="shared" si="7"/>
        <v>0.15681936135922858</v>
      </c>
    </row>
    <row r="214" spans="1:11" x14ac:dyDescent="0.25">
      <c r="A214" s="55" t="s">
        <v>149</v>
      </c>
      <c r="B214" s="56" t="s">
        <v>29</v>
      </c>
      <c r="C214" s="55">
        <v>2024</v>
      </c>
      <c r="D214" s="57">
        <v>45504</v>
      </c>
      <c r="E214" s="55">
        <v>36.6128</v>
      </c>
      <c r="F214" s="55">
        <v>42.24</v>
      </c>
      <c r="G214" s="69">
        <f t="shared" si="6"/>
        <v>5.627200000000002</v>
      </c>
      <c r="H214" s="61">
        <f t="shared" si="7"/>
        <v>0.15369488266398634</v>
      </c>
      <c r="I214" t="str">
        <f>+TRIM(B214&amp;C214)</f>
        <v>JULIO2024</v>
      </c>
      <c r="J214" s="53">
        <f>+AVERAGE(E184:E214)</f>
        <v>36.530280645161298</v>
      </c>
      <c r="K214" s="53">
        <f>+AVERAGE(F184:F214)</f>
        <v>41.279999999999994</v>
      </c>
    </row>
    <row r="215" spans="1:11" x14ac:dyDescent="0.25">
      <c r="A215" s="55" t="s">
        <v>150</v>
      </c>
      <c r="B215" s="56" t="s">
        <v>30</v>
      </c>
      <c r="C215" s="55">
        <v>2024</v>
      </c>
      <c r="D215" s="57">
        <v>45505</v>
      </c>
      <c r="E215" s="55">
        <v>36.636800000000001</v>
      </c>
      <c r="F215" s="55">
        <v>41.98</v>
      </c>
      <c r="G215" s="69">
        <f t="shared" si="6"/>
        <v>5.343199999999996</v>
      </c>
      <c r="H215" s="61">
        <f t="shared" si="7"/>
        <v>0.14584243165341948</v>
      </c>
    </row>
    <row r="216" spans="1:11" x14ac:dyDescent="0.25">
      <c r="A216" s="55" t="s">
        <v>151</v>
      </c>
      <c r="B216" s="56" t="s">
        <v>30</v>
      </c>
      <c r="C216" s="55">
        <v>2024</v>
      </c>
      <c r="D216" s="57">
        <v>45506</v>
      </c>
      <c r="E216" s="55">
        <v>36.642299999999999</v>
      </c>
      <c r="F216" s="55">
        <v>41.85</v>
      </c>
      <c r="G216" s="69">
        <f t="shared" si="6"/>
        <v>5.2077000000000027</v>
      </c>
      <c r="H216" s="61">
        <f t="shared" si="7"/>
        <v>0.14212262876511583</v>
      </c>
    </row>
    <row r="217" spans="1:11" x14ac:dyDescent="0.25">
      <c r="A217" s="55" t="s">
        <v>152</v>
      </c>
      <c r="B217" s="56" t="s">
        <v>30</v>
      </c>
      <c r="C217" s="55">
        <v>2024</v>
      </c>
      <c r="D217" s="57">
        <v>45507</v>
      </c>
      <c r="E217" s="55">
        <v>36.642299999999999</v>
      </c>
      <c r="F217" s="55">
        <v>41.85</v>
      </c>
      <c r="G217" s="69">
        <f t="shared" si="6"/>
        <v>5.2077000000000027</v>
      </c>
      <c r="H217" s="61">
        <f t="shared" si="7"/>
        <v>0.14212262876511583</v>
      </c>
    </row>
    <row r="218" spans="1:11" x14ac:dyDescent="0.25">
      <c r="A218" s="55" t="s">
        <v>153</v>
      </c>
      <c r="B218" s="56" t="s">
        <v>30</v>
      </c>
      <c r="C218" s="55">
        <v>2024</v>
      </c>
      <c r="D218" s="57">
        <v>45508</v>
      </c>
      <c r="E218" s="55">
        <v>36.642299999999999</v>
      </c>
      <c r="F218" s="55">
        <v>41.85</v>
      </c>
      <c r="G218" s="69">
        <f t="shared" si="6"/>
        <v>5.2077000000000027</v>
      </c>
      <c r="H218" s="61">
        <f t="shared" si="7"/>
        <v>0.14212262876511583</v>
      </c>
    </row>
    <row r="219" spans="1:11" x14ac:dyDescent="0.25">
      <c r="A219" s="55" t="s">
        <v>147</v>
      </c>
      <c r="B219" s="56" t="s">
        <v>30</v>
      </c>
      <c r="C219" s="55">
        <v>2024</v>
      </c>
      <c r="D219" s="57">
        <v>45509</v>
      </c>
      <c r="E219" s="55">
        <v>36.655500000000004</v>
      </c>
      <c r="F219" s="55">
        <v>41.6</v>
      </c>
      <c r="G219" s="69">
        <f t="shared" si="6"/>
        <v>4.9444999999999979</v>
      </c>
      <c r="H219" s="61">
        <f t="shared" si="7"/>
        <v>0.13489108046541443</v>
      </c>
    </row>
    <row r="220" spans="1:11" x14ac:dyDescent="0.25">
      <c r="A220" s="55" t="s">
        <v>148</v>
      </c>
      <c r="B220" s="56" t="s">
        <v>30</v>
      </c>
      <c r="C220" s="55">
        <v>2024</v>
      </c>
      <c r="D220" s="57">
        <v>45510</v>
      </c>
      <c r="E220" s="55">
        <v>36.652700000000003</v>
      </c>
      <c r="F220" s="55">
        <v>41.76</v>
      </c>
      <c r="G220" s="69">
        <f t="shared" si="6"/>
        <v>5.1072999999999951</v>
      </c>
      <c r="H220" s="61">
        <f t="shared" si="7"/>
        <v>0.13934307704480142</v>
      </c>
    </row>
    <row r="221" spans="1:11" x14ac:dyDescent="0.25">
      <c r="A221" s="55" t="s">
        <v>149</v>
      </c>
      <c r="B221" s="56" t="s">
        <v>30</v>
      </c>
      <c r="C221" s="55">
        <v>2024</v>
      </c>
      <c r="D221" s="57">
        <v>45511</v>
      </c>
      <c r="E221" s="55">
        <v>36.664200000000001</v>
      </c>
      <c r="F221" s="55">
        <v>41.65</v>
      </c>
      <c r="G221" s="69">
        <f t="shared" si="6"/>
        <v>4.9857999999999976</v>
      </c>
      <c r="H221" s="61">
        <f t="shared" si="7"/>
        <v>0.13598551175260876</v>
      </c>
    </row>
    <row r="222" spans="1:11" x14ac:dyDescent="0.25">
      <c r="A222" s="55" t="s">
        <v>150</v>
      </c>
      <c r="B222" s="56" t="s">
        <v>30</v>
      </c>
      <c r="C222" s="55">
        <v>2024</v>
      </c>
      <c r="D222" s="57">
        <v>45512</v>
      </c>
      <c r="E222" s="55">
        <v>36.680599999999998</v>
      </c>
      <c r="F222" s="55">
        <v>41.57</v>
      </c>
      <c r="G222" s="69">
        <f t="shared" si="6"/>
        <v>4.889400000000002</v>
      </c>
      <c r="H222" s="61">
        <f t="shared" si="7"/>
        <v>0.13329662001166831</v>
      </c>
    </row>
    <row r="223" spans="1:11" x14ac:dyDescent="0.25">
      <c r="A223" s="55" t="s">
        <v>151</v>
      </c>
      <c r="B223" s="56" t="s">
        <v>30</v>
      </c>
      <c r="C223" s="55">
        <v>2024</v>
      </c>
      <c r="D223" s="57">
        <v>45513</v>
      </c>
      <c r="E223" s="55">
        <v>36.682699999999997</v>
      </c>
      <c r="F223" s="55">
        <v>41.77</v>
      </c>
      <c r="G223" s="69">
        <f t="shared" si="6"/>
        <v>5.0873000000000062</v>
      </c>
      <c r="H223" s="61">
        <f t="shared" si="7"/>
        <v>0.13868390276615417</v>
      </c>
    </row>
    <row r="224" spans="1:11" x14ac:dyDescent="0.25">
      <c r="A224" s="55" t="s">
        <v>152</v>
      </c>
      <c r="B224" s="56" t="s">
        <v>30</v>
      </c>
      <c r="C224" s="55">
        <v>2024</v>
      </c>
      <c r="D224" s="57">
        <v>45514</v>
      </c>
      <c r="E224" s="55">
        <v>36.682699999999997</v>
      </c>
      <c r="F224" s="55">
        <v>41.77</v>
      </c>
      <c r="G224" s="69">
        <f t="shared" si="6"/>
        <v>5.0873000000000062</v>
      </c>
      <c r="H224" s="61">
        <f t="shared" si="7"/>
        <v>0.13868390276615417</v>
      </c>
    </row>
    <row r="225" spans="1:8" x14ac:dyDescent="0.25">
      <c r="A225" s="55" t="s">
        <v>153</v>
      </c>
      <c r="B225" s="56" t="s">
        <v>30</v>
      </c>
      <c r="C225" s="55">
        <v>2024</v>
      </c>
      <c r="D225" s="57">
        <v>45515</v>
      </c>
      <c r="E225" s="55">
        <v>36.682699999999997</v>
      </c>
      <c r="F225" s="55">
        <v>41.77</v>
      </c>
      <c r="G225" s="69">
        <f t="shared" si="6"/>
        <v>5.0873000000000062</v>
      </c>
      <c r="H225" s="61">
        <f t="shared" si="7"/>
        <v>0.13868390276615417</v>
      </c>
    </row>
    <row r="226" spans="1:8" x14ac:dyDescent="0.25">
      <c r="A226" s="55" t="s">
        <v>147</v>
      </c>
      <c r="B226" s="56" t="s">
        <v>30</v>
      </c>
      <c r="C226" s="55">
        <v>2024</v>
      </c>
      <c r="D226" s="57">
        <v>45516</v>
      </c>
      <c r="E226" s="55">
        <v>36.665799999999997</v>
      </c>
      <c r="F226" s="55">
        <v>41.24</v>
      </c>
      <c r="G226" s="69">
        <f t="shared" si="6"/>
        <v>4.5742000000000047</v>
      </c>
      <c r="H226" s="61">
        <f t="shared" si="7"/>
        <v>0.12475385781845771</v>
      </c>
    </row>
    <row r="227" spans="1:8" x14ac:dyDescent="0.25">
      <c r="A227" s="55" t="s">
        <v>148</v>
      </c>
      <c r="B227" s="56" t="s">
        <v>30</v>
      </c>
      <c r="C227" s="55">
        <v>2024</v>
      </c>
      <c r="D227" s="57">
        <v>45517</v>
      </c>
      <c r="E227" s="55">
        <v>36.630499999999998</v>
      </c>
      <c r="F227" s="55">
        <v>41.56</v>
      </c>
      <c r="G227" s="69">
        <f t="shared" si="6"/>
        <v>4.9295000000000044</v>
      </c>
      <c r="H227" s="61">
        <f t="shared" si="7"/>
        <v>0.13457364764335744</v>
      </c>
    </row>
    <row r="228" spans="1:8" x14ac:dyDescent="0.25">
      <c r="A228" s="55" t="s">
        <v>149</v>
      </c>
      <c r="B228" s="56" t="s">
        <v>30</v>
      </c>
      <c r="C228" s="55">
        <v>2024</v>
      </c>
      <c r="D228" s="57">
        <v>45518</v>
      </c>
      <c r="E228" s="55">
        <v>36.656100000000002</v>
      </c>
      <c r="F228" s="55">
        <v>41.68</v>
      </c>
      <c r="G228" s="69">
        <f t="shared" si="6"/>
        <v>5.0238999999999976</v>
      </c>
      <c r="H228" s="61">
        <f t="shared" si="7"/>
        <v>0.13705495129050815</v>
      </c>
    </row>
    <row r="229" spans="1:8" x14ac:dyDescent="0.25">
      <c r="A229" s="55" t="s">
        <v>150</v>
      </c>
      <c r="B229" s="56" t="s">
        <v>30</v>
      </c>
      <c r="C229" s="55">
        <v>2024</v>
      </c>
      <c r="D229" s="57">
        <v>45519</v>
      </c>
      <c r="E229" s="55">
        <v>36.613199999999999</v>
      </c>
      <c r="F229" s="55">
        <v>41.67</v>
      </c>
      <c r="G229" s="69">
        <f t="shared" si="6"/>
        <v>5.0568000000000026</v>
      </c>
      <c r="H229" s="61">
        <f t="shared" si="7"/>
        <v>0.13811412277539259</v>
      </c>
    </row>
    <row r="230" spans="1:8" x14ac:dyDescent="0.25">
      <c r="A230" s="55" t="s">
        <v>151</v>
      </c>
      <c r="B230" s="56" t="s">
        <v>30</v>
      </c>
      <c r="C230" s="55">
        <v>2024</v>
      </c>
      <c r="D230" s="57">
        <v>45520</v>
      </c>
      <c r="E230" s="55">
        <v>36.6768</v>
      </c>
      <c r="F230" s="55">
        <v>41.94</v>
      </c>
      <c r="G230" s="69">
        <f t="shared" si="6"/>
        <v>5.2631999999999977</v>
      </c>
      <c r="H230" s="61">
        <f t="shared" si="7"/>
        <v>0.14350215940321931</v>
      </c>
    </row>
    <row r="231" spans="1:8" x14ac:dyDescent="0.25">
      <c r="A231" s="55" t="s">
        <v>152</v>
      </c>
      <c r="B231" s="56" t="s">
        <v>30</v>
      </c>
      <c r="C231" s="55">
        <v>2024</v>
      </c>
      <c r="D231" s="57">
        <v>45521</v>
      </c>
      <c r="E231" s="55">
        <v>36.6768</v>
      </c>
      <c r="F231" s="55">
        <v>41.94</v>
      </c>
      <c r="G231" s="69">
        <f t="shared" si="6"/>
        <v>5.2631999999999977</v>
      </c>
      <c r="H231" s="61">
        <f t="shared" si="7"/>
        <v>0.14350215940321931</v>
      </c>
    </row>
    <row r="232" spans="1:8" x14ac:dyDescent="0.25">
      <c r="A232" s="55" t="s">
        <v>153</v>
      </c>
      <c r="B232" s="56" t="s">
        <v>30</v>
      </c>
      <c r="C232" s="55">
        <v>2024</v>
      </c>
      <c r="D232" s="57">
        <v>45522</v>
      </c>
      <c r="E232" s="55">
        <v>36.6768</v>
      </c>
      <c r="F232" s="55">
        <v>41.94</v>
      </c>
      <c r="G232" s="69">
        <f t="shared" si="6"/>
        <v>5.2631999999999977</v>
      </c>
      <c r="H232" s="61">
        <f t="shared" si="7"/>
        <v>0.14350215940321931</v>
      </c>
    </row>
    <row r="233" spans="1:8" x14ac:dyDescent="0.25">
      <c r="A233" s="55" t="s">
        <v>147</v>
      </c>
      <c r="B233" s="56" t="s">
        <v>30</v>
      </c>
      <c r="C233" s="55">
        <v>2024</v>
      </c>
      <c r="D233" s="57">
        <v>45523</v>
      </c>
      <c r="E233" s="55">
        <v>36.6768</v>
      </c>
      <c r="F233" s="55">
        <v>42.1</v>
      </c>
      <c r="G233" s="69">
        <f t="shared" si="6"/>
        <v>5.4232000000000014</v>
      </c>
      <c r="H233" s="61">
        <f t="shared" si="7"/>
        <v>0.14786459014963138</v>
      </c>
    </row>
    <row r="234" spans="1:8" x14ac:dyDescent="0.25">
      <c r="A234" s="55" t="s">
        <v>148</v>
      </c>
      <c r="B234" s="56" t="s">
        <v>30</v>
      </c>
      <c r="C234" s="55">
        <v>2024</v>
      </c>
      <c r="D234" s="57">
        <v>45524</v>
      </c>
      <c r="E234" s="55">
        <v>36.684800000000003</v>
      </c>
      <c r="F234" s="55">
        <v>42.02</v>
      </c>
      <c r="G234" s="69">
        <f t="shared" si="6"/>
        <v>5.3352000000000004</v>
      </c>
      <c r="H234" s="61">
        <f t="shared" si="7"/>
        <v>0.14543353105373336</v>
      </c>
    </row>
    <row r="235" spans="1:8" x14ac:dyDescent="0.25">
      <c r="A235" s="55" t="s">
        <v>149</v>
      </c>
      <c r="B235" s="56" t="s">
        <v>30</v>
      </c>
      <c r="C235" s="55">
        <v>2024</v>
      </c>
      <c r="D235" s="57">
        <v>45525</v>
      </c>
      <c r="E235" s="55">
        <v>36.683</v>
      </c>
      <c r="F235" s="55">
        <v>42.45</v>
      </c>
      <c r="G235" s="69">
        <f t="shared" si="6"/>
        <v>5.767000000000003</v>
      </c>
      <c r="H235" s="61">
        <f t="shared" si="7"/>
        <v>0.15721178747648779</v>
      </c>
    </row>
    <row r="236" spans="1:8" x14ac:dyDescent="0.25">
      <c r="A236" s="55" t="s">
        <v>150</v>
      </c>
      <c r="B236" s="56" t="s">
        <v>30</v>
      </c>
      <c r="C236" s="55">
        <v>2024</v>
      </c>
      <c r="D236" s="57">
        <v>45526</v>
      </c>
      <c r="E236" s="55">
        <v>36.648400000000002</v>
      </c>
      <c r="F236" s="55">
        <v>43.11</v>
      </c>
      <c r="G236" s="69">
        <f t="shared" si="6"/>
        <v>6.4615999999999971</v>
      </c>
      <c r="H236" s="61">
        <f t="shared" si="7"/>
        <v>0.17631329062114576</v>
      </c>
    </row>
    <row r="237" spans="1:8" x14ac:dyDescent="0.25">
      <c r="A237" s="55" t="s">
        <v>151</v>
      </c>
      <c r="B237" s="56" t="s">
        <v>30</v>
      </c>
      <c r="C237" s="55">
        <v>2024</v>
      </c>
      <c r="D237" s="57">
        <v>45527</v>
      </c>
      <c r="E237" s="55">
        <v>36.6967</v>
      </c>
      <c r="F237" s="55">
        <v>43.42</v>
      </c>
      <c r="G237" s="69">
        <f t="shared" si="6"/>
        <v>6.7233000000000018</v>
      </c>
      <c r="H237" s="61">
        <f t="shared" si="7"/>
        <v>0.18321265944894227</v>
      </c>
    </row>
    <row r="238" spans="1:8" x14ac:dyDescent="0.25">
      <c r="A238" s="55" t="s">
        <v>152</v>
      </c>
      <c r="B238" s="56" t="s">
        <v>30</v>
      </c>
      <c r="C238" s="55">
        <v>2024</v>
      </c>
      <c r="D238" s="57">
        <v>45528</v>
      </c>
      <c r="E238" s="55">
        <v>36.6967</v>
      </c>
      <c r="F238" s="55">
        <v>43.42</v>
      </c>
      <c r="G238" s="69">
        <f t="shared" si="6"/>
        <v>6.7233000000000018</v>
      </c>
      <c r="H238" s="61">
        <f t="shared" si="7"/>
        <v>0.18321265944894227</v>
      </c>
    </row>
    <row r="239" spans="1:8" x14ac:dyDescent="0.25">
      <c r="A239" s="55" t="s">
        <v>153</v>
      </c>
      <c r="B239" s="56" t="s">
        <v>30</v>
      </c>
      <c r="C239" s="55">
        <v>2024</v>
      </c>
      <c r="D239" s="57">
        <v>45529</v>
      </c>
      <c r="E239" s="55">
        <v>36.6967</v>
      </c>
      <c r="F239" s="55">
        <v>43.42</v>
      </c>
      <c r="G239" s="69">
        <f t="shared" si="6"/>
        <v>6.7233000000000018</v>
      </c>
      <c r="H239" s="61">
        <f t="shared" si="7"/>
        <v>0.18321265944894227</v>
      </c>
    </row>
    <row r="240" spans="1:8" x14ac:dyDescent="0.25">
      <c r="A240" s="55" t="s">
        <v>147</v>
      </c>
      <c r="B240" s="56" t="s">
        <v>30</v>
      </c>
      <c r="C240" s="55">
        <v>2024</v>
      </c>
      <c r="D240" s="57">
        <v>45530</v>
      </c>
      <c r="E240" s="55">
        <v>36.588799999999999</v>
      </c>
      <c r="F240" s="55">
        <v>42.85</v>
      </c>
      <c r="G240" s="69">
        <f t="shared" si="6"/>
        <v>6.2612000000000023</v>
      </c>
      <c r="H240" s="61">
        <f t="shared" si="7"/>
        <v>0.1711234038831555</v>
      </c>
    </row>
    <row r="241" spans="1:11" x14ac:dyDescent="0.25">
      <c r="A241" s="55" t="s">
        <v>148</v>
      </c>
      <c r="B241" s="56" t="s">
        <v>30</v>
      </c>
      <c r="C241" s="55">
        <v>2024</v>
      </c>
      <c r="D241" s="57">
        <v>45531</v>
      </c>
      <c r="E241" s="55">
        <v>36.563299999999998</v>
      </c>
      <c r="F241" s="55">
        <v>43.79</v>
      </c>
      <c r="G241" s="69">
        <f t="shared" si="6"/>
        <v>7.226700000000001</v>
      </c>
      <c r="H241" s="61">
        <f t="shared" si="7"/>
        <v>0.19764900870545055</v>
      </c>
    </row>
    <row r="242" spans="1:11" x14ac:dyDescent="0.25">
      <c r="A242" s="55" t="s">
        <v>149</v>
      </c>
      <c r="B242" s="56" t="s">
        <v>30</v>
      </c>
      <c r="C242" s="55">
        <v>2024</v>
      </c>
      <c r="D242" s="57">
        <v>45532</v>
      </c>
      <c r="E242" s="55">
        <v>36.588299999999997</v>
      </c>
      <c r="F242" s="55">
        <v>44.5</v>
      </c>
      <c r="G242" s="69">
        <f t="shared" si="6"/>
        <v>7.9117000000000033</v>
      </c>
      <c r="H242" s="61">
        <f t="shared" si="7"/>
        <v>0.21623579122287739</v>
      </c>
    </row>
    <row r="243" spans="1:11" x14ac:dyDescent="0.25">
      <c r="A243" s="55" t="s">
        <v>150</v>
      </c>
      <c r="B243" s="56" t="s">
        <v>30</v>
      </c>
      <c r="C243" s="55">
        <v>2024</v>
      </c>
      <c r="D243" s="57">
        <v>45533</v>
      </c>
      <c r="E243" s="55">
        <v>36.591900000000003</v>
      </c>
      <c r="F243" s="55">
        <v>44.17</v>
      </c>
      <c r="G243" s="69">
        <f t="shared" si="6"/>
        <v>7.5780999999999992</v>
      </c>
      <c r="H243" s="61">
        <f t="shared" si="7"/>
        <v>0.20709774567595551</v>
      </c>
    </row>
    <row r="244" spans="1:11" x14ac:dyDescent="0.25">
      <c r="A244" s="55" t="s">
        <v>151</v>
      </c>
      <c r="B244" s="56" t="s">
        <v>30</v>
      </c>
      <c r="C244" s="55">
        <v>2024</v>
      </c>
      <c r="D244" s="57">
        <v>45534</v>
      </c>
      <c r="E244" s="55">
        <v>36.625900000000001</v>
      </c>
      <c r="F244" s="55">
        <v>42.5</v>
      </c>
      <c r="G244" s="69">
        <f t="shared" si="6"/>
        <v>5.8740999999999985</v>
      </c>
      <c r="H244" s="61">
        <f t="shared" si="7"/>
        <v>0.16038104183105384</v>
      </c>
    </row>
    <row r="245" spans="1:11" x14ac:dyDescent="0.25">
      <c r="A245" s="55" t="s">
        <v>152</v>
      </c>
      <c r="B245" s="56" t="s">
        <v>30</v>
      </c>
      <c r="C245" s="55">
        <v>2024</v>
      </c>
      <c r="D245" s="57">
        <v>45535</v>
      </c>
      <c r="E245" s="55">
        <v>36.625900000000001</v>
      </c>
      <c r="F245" s="55">
        <v>42.5</v>
      </c>
      <c r="G245" s="69">
        <f t="shared" si="6"/>
        <v>5.8740999999999985</v>
      </c>
      <c r="H245" s="61">
        <f t="shared" si="7"/>
        <v>0.16038104183105384</v>
      </c>
      <c r="I245" t="str">
        <f>+TRIM(B245&amp;C245)</f>
        <v>AGOSTO2024</v>
      </c>
      <c r="J245" s="53">
        <f>+AVERAGE(E215:E245)</f>
        <v>36.652516129032243</v>
      </c>
      <c r="K245" s="53">
        <f>+AVERAGE(F215:F245)</f>
        <v>42.310967741935478</v>
      </c>
    </row>
    <row r="246" spans="1:11" x14ac:dyDescent="0.25">
      <c r="A246" s="55" t="s">
        <v>153</v>
      </c>
      <c r="B246" s="56" t="s">
        <v>31</v>
      </c>
      <c r="C246" s="55">
        <v>2024</v>
      </c>
      <c r="D246" s="57">
        <v>45536</v>
      </c>
      <c r="E246" s="55">
        <v>36.625900000000001</v>
      </c>
      <c r="F246" s="55">
        <v>42.5</v>
      </c>
      <c r="G246" s="69">
        <f t="shared" si="6"/>
        <v>5.8740999999999985</v>
      </c>
      <c r="H246" s="61">
        <f t="shared" si="7"/>
        <v>0.16038104183105384</v>
      </c>
    </row>
    <row r="247" spans="1:11" x14ac:dyDescent="0.25">
      <c r="A247" s="55" t="s">
        <v>147</v>
      </c>
      <c r="B247" s="56" t="s">
        <v>31</v>
      </c>
      <c r="C247" s="55">
        <v>2024</v>
      </c>
      <c r="D247" s="57">
        <v>45537</v>
      </c>
      <c r="E247" s="55">
        <v>36.645400000000002</v>
      </c>
      <c r="F247" s="55">
        <v>42.06</v>
      </c>
      <c r="G247" s="69">
        <f t="shared" si="6"/>
        <v>5.4146000000000001</v>
      </c>
      <c r="H247" s="61">
        <f t="shared" si="7"/>
        <v>0.14775660792350465</v>
      </c>
    </row>
    <row r="248" spans="1:11" x14ac:dyDescent="0.25">
      <c r="A248" s="55" t="s">
        <v>148</v>
      </c>
      <c r="B248" s="56" t="s">
        <v>31</v>
      </c>
      <c r="C248" s="55">
        <v>2024</v>
      </c>
      <c r="D248" s="57">
        <v>45538</v>
      </c>
      <c r="E248" s="55">
        <v>36.638599999999997</v>
      </c>
      <c r="F248" s="55">
        <v>43.25</v>
      </c>
      <c r="G248" s="69">
        <f t="shared" si="6"/>
        <v>6.6114000000000033</v>
      </c>
      <c r="H248" s="61">
        <f t="shared" si="7"/>
        <v>0.18044903462468564</v>
      </c>
    </row>
    <row r="249" spans="1:11" x14ac:dyDescent="0.25">
      <c r="A249" s="55" t="s">
        <v>149</v>
      </c>
      <c r="B249" s="56" t="s">
        <v>31</v>
      </c>
      <c r="C249" s="55">
        <v>2024</v>
      </c>
      <c r="D249" s="57">
        <v>45539</v>
      </c>
      <c r="E249" s="55">
        <v>36.639099999999999</v>
      </c>
      <c r="F249" s="55">
        <v>44.02</v>
      </c>
      <c r="G249" s="69">
        <f t="shared" si="6"/>
        <v>7.380900000000004</v>
      </c>
      <c r="H249" s="61">
        <f t="shared" si="7"/>
        <v>0.20144872554183935</v>
      </c>
    </row>
    <row r="250" spans="1:11" x14ac:dyDescent="0.25">
      <c r="A250" s="55" t="s">
        <v>150</v>
      </c>
      <c r="B250" s="56" t="s">
        <v>31</v>
      </c>
      <c r="C250" s="55">
        <v>2024</v>
      </c>
      <c r="D250" s="57">
        <v>45540</v>
      </c>
      <c r="E250" s="55">
        <v>36.643599999999999</v>
      </c>
      <c r="F250" s="55">
        <v>43.57</v>
      </c>
      <c r="G250" s="69">
        <f t="shared" si="6"/>
        <v>6.926400000000001</v>
      </c>
      <c r="H250" s="61">
        <f t="shared" si="7"/>
        <v>0.18902072940431625</v>
      </c>
    </row>
    <row r="251" spans="1:11" x14ac:dyDescent="0.25">
      <c r="A251" s="55" t="s">
        <v>151</v>
      </c>
      <c r="B251" s="56" t="s">
        <v>31</v>
      </c>
      <c r="C251" s="55">
        <v>2024</v>
      </c>
      <c r="D251" s="57">
        <v>45541</v>
      </c>
      <c r="E251" s="55">
        <v>36.684600000000003</v>
      </c>
      <c r="F251" s="55">
        <v>42.86</v>
      </c>
      <c r="G251" s="69">
        <f t="shared" si="6"/>
        <v>6.1753999999999962</v>
      </c>
      <c r="H251" s="61">
        <f t="shared" si="7"/>
        <v>0.16833766757713042</v>
      </c>
    </row>
    <row r="252" spans="1:11" x14ac:dyDescent="0.25">
      <c r="A252" s="55" t="s">
        <v>152</v>
      </c>
      <c r="B252" s="56" t="s">
        <v>31</v>
      </c>
      <c r="C252" s="55">
        <v>2024</v>
      </c>
      <c r="D252" s="57">
        <v>45542</v>
      </c>
      <c r="E252" s="55">
        <v>36.684600000000003</v>
      </c>
      <c r="F252" s="55">
        <v>42.86</v>
      </c>
      <c r="G252" s="69">
        <f t="shared" si="6"/>
        <v>6.1753999999999962</v>
      </c>
      <c r="H252" s="61">
        <f t="shared" si="7"/>
        <v>0.16833766757713042</v>
      </c>
    </row>
    <row r="253" spans="1:11" x14ac:dyDescent="0.25">
      <c r="A253" s="55" t="s">
        <v>153</v>
      </c>
      <c r="B253" s="56" t="s">
        <v>31</v>
      </c>
      <c r="C253" s="55">
        <v>2024</v>
      </c>
      <c r="D253" s="57">
        <v>45543</v>
      </c>
      <c r="E253" s="55">
        <v>36.684600000000003</v>
      </c>
      <c r="F253" s="55">
        <v>42.86</v>
      </c>
      <c r="G253" s="69">
        <f t="shared" si="6"/>
        <v>6.1753999999999962</v>
      </c>
      <c r="H253" s="61">
        <f t="shared" si="7"/>
        <v>0.16833766757713042</v>
      </c>
    </row>
    <row r="254" spans="1:11" x14ac:dyDescent="0.25">
      <c r="A254" s="55" t="s">
        <v>147</v>
      </c>
      <c r="B254" s="56" t="s">
        <v>31</v>
      </c>
      <c r="C254" s="55">
        <v>2024</v>
      </c>
      <c r="D254" s="57">
        <v>45544</v>
      </c>
      <c r="E254" s="55">
        <v>36.695799999999998</v>
      </c>
      <c r="F254" s="55">
        <v>43.15</v>
      </c>
      <c r="G254" s="69">
        <f t="shared" si="6"/>
        <v>6.4542000000000002</v>
      </c>
      <c r="H254" s="61">
        <f t="shared" si="7"/>
        <v>0.17588388861940607</v>
      </c>
    </row>
    <row r="255" spans="1:11" x14ac:dyDescent="0.25">
      <c r="A255" s="55" t="s">
        <v>148</v>
      </c>
      <c r="B255" s="56" t="s">
        <v>31</v>
      </c>
      <c r="C255" s="55">
        <v>2024</v>
      </c>
      <c r="D255" s="57">
        <v>45545</v>
      </c>
      <c r="E255" s="55">
        <v>36.685400000000001</v>
      </c>
      <c r="F255" s="55">
        <v>43.8</v>
      </c>
      <c r="G255" s="69">
        <f t="shared" si="6"/>
        <v>7.1145999999999958</v>
      </c>
      <c r="H255" s="61">
        <f t="shared" si="7"/>
        <v>0.19393546206392731</v>
      </c>
    </row>
    <row r="256" spans="1:11" x14ac:dyDescent="0.25">
      <c r="A256" s="55" t="s">
        <v>149</v>
      </c>
      <c r="B256" s="56" t="s">
        <v>31</v>
      </c>
      <c r="C256" s="55">
        <v>2024</v>
      </c>
      <c r="D256" s="57">
        <v>45546</v>
      </c>
      <c r="E256" s="55">
        <v>36.706200000000003</v>
      </c>
      <c r="F256" s="55">
        <v>44.08</v>
      </c>
      <c r="G256" s="69">
        <f t="shared" si="6"/>
        <v>7.3737999999999957</v>
      </c>
      <c r="H256" s="61">
        <f t="shared" si="7"/>
        <v>0.20088704360571219</v>
      </c>
    </row>
    <row r="257" spans="1:8" x14ac:dyDescent="0.25">
      <c r="A257" s="55" t="s">
        <v>150</v>
      </c>
      <c r="B257" s="56" t="s">
        <v>31</v>
      </c>
      <c r="C257" s="55">
        <v>2024</v>
      </c>
      <c r="D257" s="57">
        <v>45547</v>
      </c>
      <c r="E257" s="55">
        <v>36.732300000000002</v>
      </c>
      <c r="F257" s="55">
        <v>43.75</v>
      </c>
      <c r="G257" s="69">
        <f t="shared" si="6"/>
        <v>7.0176999999999978</v>
      </c>
      <c r="H257" s="61">
        <f t="shared" si="7"/>
        <v>0.19104983897006167</v>
      </c>
    </row>
    <row r="258" spans="1:8" x14ac:dyDescent="0.25">
      <c r="A258" s="55" t="s">
        <v>151</v>
      </c>
      <c r="B258" s="56" t="s">
        <v>31</v>
      </c>
      <c r="C258" s="55">
        <v>2024</v>
      </c>
      <c r="D258" s="57">
        <v>45548</v>
      </c>
      <c r="E258" s="55">
        <v>36.741</v>
      </c>
      <c r="F258" s="55">
        <v>43.14</v>
      </c>
      <c r="G258" s="69">
        <f t="shared" si="6"/>
        <v>6.3990000000000009</v>
      </c>
      <c r="H258" s="61">
        <f t="shared" si="7"/>
        <v>0.17416510165754873</v>
      </c>
    </row>
    <row r="259" spans="1:8" x14ac:dyDescent="0.25">
      <c r="A259" s="55" t="s">
        <v>152</v>
      </c>
      <c r="B259" s="56" t="s">
        <v>31</v>
      </c>
      <c r="C259" s="55">
        <v>2024</v>
      </c>
      <c r="D259" s="57">
        <v>45549</v>
      </c>
      <c r="E259" s="55">
        <v>36.741</v>
      </c>
      <c r="F259" s="55">
        <v>43.14</v>
      </c>
      <c r="G259" s="69">
        <f t="shared" ref="G259:G322" si="8">+F259-E259</f>
        <v>6.3990000000000009</v>
      </c>
      <c r="H259" s="61">
        <f t="shared" ref="H259:H322" si="9">+F259/E259-1</f>
        <v>0.17416510165754873</v>
      </c>
    </row>
    <row r="260" spans="1:8" x14ac:dyDescent="0.25">
      <c r="A260" s="55" t="s">
        <v>153</v>
      </c>
      <c r="B260" s="56" t="s">
        <v>31</v>
      </c>
      <c r="C260" s="55">
        <v>2024</v>
      </c>
      <c r="D260" s="57">
        <v>45550</v>
      </c>
      <c r="E260" s="55">
        <v>36.741</v>
      </c>
      <c r="F260" s="55">
        <v>43.14</v>
      </c>
      <c r="G260" s="69">
        <f t="shared" si="8"/>
        <v>6.3990000000000009</v>
      </c>
      <c r="H260" s="61">
        <f t="shared" si="9"/>
        <v>0.17416510165754873</v>
      </c>
    </row>
    <row r="261" spans="1:8" x14ac:dyDescent="0.25">
      <c r="A261" s="55" t="s">
        <v>147</v>
      </c>
      <c r="B261" s="56" t="s">
        <v>31</v>
      </c>
      <c r="C261" s="55">
        <v>2024</v>
      </c>
      <c r="D261" s="57">
        <v>45551</v>
      </c>
      <c r="E261" s="55">
        <v>36.741</v>
      </c>
      <c r="F261" s="55">
        <v>42.83</v>
      </c>
      <c r="G261" s="69">
        <f t="shared" si="8"/>
        <v>6.0889999999999986</v>
      </c>
      <c r="H261" s="61">
        <f t="shared" si="9"/>
        <v>0.16572766119593907</v>
      </c>
    </row>
    <row r="262" spans="1:8" x14ac:dyDescent="0.25">
      <c r="A262" s="55" t="s">
        <v>148</v>
      </c>
      <c r="B262" s="56" t="s">
        <v>31</v>
      </c>
      <c r="C262" s="55">
        <v>2024</v>
      </c>
      <c r="D262" s="57">
        <v>45552</v>
      </c>
      <c r="E262" s="55">
        <v>36.775100000000002</v>
      </c>
      <c r="F262" s="55">
        <v>42.75</v>
      </c>
      <c r="G262" s="69">
        <f t="shared" si="8"/>
        <v>5.9748999999999981</v>
      </c>
      <c r="H262" s="61">
        <f t="shared" si="9"/>
        <v>0.16247134610103031</v>
      </c>
    </row>
    <row r="263" spans="1:8" x14ac:dyDescent="0.25">
      <c r="A263" s="55" t="s">
        <v>149</v>
      </c>
      <c r="B263" s="56" t="s">
        <v>31</v>
      </c>
      <c r="C263" s="55">
        <v>2024</v>
      </c>
      <c r="D263" s="57">
        <v>45553</v>
      </c>
      <c r="E263" s="55">
        <v>36.770200000000003</v>
      </c>
      <c r="F263" s="55">
        <v>43.84</v>
      </c>
      <c r="G263" s="69">
        <f t="shared" si="8"/>
        <v>7.0698000000000008</v>
      </c>
      <c r="H263" s="61">
        <f t="shared" si="9"/>
        <v>0.19226982719702379</v>
      </c>
    </row>
    <row r="264" spans="1:8" x14ac:dyDescent="0.25">
      <c r="A264" s="55" t="s">
        <v>150</v>
      </c>
      <c r="B264" s="56" t="s">
        <v>31</v>
      </c>
      <c r="C264" s="55">
        <v>2024</v>
      </c>
      <c r="D264" s="57">
        <v>45554</v>
      </c>
      <c r="E264" s="55">
        <v>36.7789</v>
      </c>
      <c r="F264" s="55">
        <v>44.17</v>
      </c>
      <c r="G264" s="69">
        <f t="shared" si="8"/>
        <v>7.3911000000000016</v>
      </c>
      <c r="H264" s="61">
        <f t="shared" si="9"/>
        <v>0.20096033323454487</v>
      </c>
    </row>
    <row r="265" spans="1:8" x14ac:dyDescent="0.25">
      <c r="A265" s="55" t="s">
        <v>151</v>
      </c>
      <c r="B265" s="56" t="s">
        <v>31</v>
      </c>
      <c r="C265" s="55">
        <v>2024</v>
      </c>
      <c r="D265" s="57">
        <v>45555</v>
      </c>
      <c r="E265" s="55">
        <v>36.801299999999998</v>
      </c>
      <c r="F265" s="55">
        <v>43.9</v>
      </c>
      <c r="G265" s="69">
        <f t="shared" si="8"/>
        <v>7.0987000000000009</v>
      </c>
      <c r="H265" s="61">
        <f t="shared" si="9"/>
        <v>0.19289264237948123</v>
      </c>
    </row>
    <row r="266" spans="1:8" x14ac:dyDescent="0.25">
      <c r="A266" s="55" t="s">
        <v>152</v>
      </c>
      <c r="B266" s="56" t="s">
        <v>31</v>
      </c>
      <c r="C266" s="55">
        <v>2024</v>
      </c>
      <c r="D266" s="57">
        <v>45556</v>
      </c>
      <c r="E266" s="55">
        <v>36.801299999999998</v>
      </c>
      <c r="F266" s="55">
        <v>43.9</v>
      </c>
      <c r="G266" s="69">
        <f t="shared" si="8"/>
        <v>7.0987000000000009</v>
      </c>
      <c r="H266" s="61">
        <f t="shared" si="9"/>
        <v>0.19289264237948123</v>
      </c>
    </row>
    <row r="267" spans="1:8" x14ac:dyDescent="0.25">
      <c r="A267" s="55" t="s">
        <v>153</v>
      </c>
      <c r="B267" s="56" t="s">
        <v>31</v>
      </c>
      <c r="C267" s="55">
        <v>2024</v>
      </c>
      <c r="D267" s="57">
        <v>45557</v>
      </c>
      <c r="E267" s="55">
        <v>36.801299999999998</v>
      </c>
      <c r="F267" s="55">
        <v>43.9</v>
      </c>
      <c r="G267" s="69">
        <f t="shared" si="8"/>
        <v>7.0987000000000009</v>
      </c>
      <c r="H267" s="61">
        <f t="shared" si="9"/>
        <v>0.19289264237948123</v>
      </c>
    </row>
    <row r="268" spans="1:8" x14ac:dyDescent="0.25">
      <c r="A268" s="55" t="s">
        <v>147</v>
      </c>
      <c r="B268" s="56" t="s">
        <v>31</v>
      </c>
      <c r="C268" s="55">
        <v>2024</v>
      </c>
      <c r="D268" s="57">
        <v>45558</v>
      </c>
      <c r="E268" s="55">
        <v>36.823</v>
      </c>
      <c r="F268" s="55">
        <v>43.6</v>
      </c>
      <c r="G268" s="69">
        <f t="shared" si="8"/>
        <v>6.777000000000001</v>
      </c>
      <c r="H268" s="61">
        <f t="shared" si="9"/>
        <v>0.18404258208185098</v>
      </c>
    </row>
    <row r="269" spans="1:8" x14ac:dyDescent="0.25">
      <c r="A269" s="55" t="s">
        <v>148</v>
      </c>
      <c r="B269" s="56" t="s">
        <v>31</v>
      </c>
      <c r="C269" s="55">
        <v>2024</v>
      </c>
      <c r="D269" s="57">
        <v>45559</v>
      </c>
      <c r="E269" s="55">
        <v>36.813000000000002</v>
      </c>
      <c r="F269" s="55">
        <v>44.3</v>
      </c>
      <c r="G269" s="69">
        <f t="shared" si="8"/>
        <v>7.4869999999999948</v>
      </c>
      <c r="H269" s="61">
        <f t="shared" si="9"/>
        <v>0.20337924102898408</v>
      </c>
    </row>
    <row r="270" spans="1:8" x14ac:dyDescent="0.25">
      <c r="A270" s="55" t="s">
        <v>149</v>
      </c>
      <c r="B270" s="56" t="s">
        <v>31</v>
      </c>
      <c r="C270" s="55">
        <v>2024</v>
      </c>
      <c r="D270" s="57">
        <v>45560</v>
      </c>
      <c r="E270" s="55">
        <v>36.810499999999998</v>
      </c>
      <c r="F270" s="55">
        <v>44.45</v>
      </c>
      <c r="G270" s="69">
        <f t="shared" si="8"/>
        <v>7.6395000000000053</v>
      </c>
      <c r="H270" s="61">
        <f t="shared" si="9"/>
        <v>0.2075358932913165</v>
      </c>
    </row>
    <row r="271" spans="1:8" x14ac:dyDescent="0.25">
      <c r="A271" s="55" t="s">
        <v>150</v>
      </c>
      <c r="B271" s="56" t="s">
        <v>31</v>
      </c>
      <c r="C271" s="55">
        <v>2024</v>
      </c>
      <c r="D271" s="57">
        <v>45561</v>
      </c>
      <c r="E271" s="55">
        <v>36.850700000000003</v>
      </c>
      <c r="F271" s="55">
        <v>44.18</v>
      </c>
      <c r="G271" s="69">
        <f t="shared" si="8"/>
        <v>7.3292999999999964</v>
      </c>
      <c r="H271" s="61">
        <f t="shared" si="9"/>
        <v>0.19889174425451883</v>
      </c>
    </row>
    <row r="272" spans="1:8" x14ac:dyDescent="0.25">
      <c r="A272" s="55" t="s">
        <v>151</v>
      </c>
      <c r="B272" s="56" t="s">
        <v>31</v>
      </c>
      <c r="C272" s="55">
        <v>2024</v>
      </c>
      <c r="D272" s="57">
        <v>45562</v>
      </c>
      <c r="E272" s="55">
        <v>36.865499999999997</v>
      </c>
      <c r="F272" s="55">
        <v>44.05</v>
      </c>
      <c r="G272" s="69">
        <f t="shared" si="8"/>
        <v>7.1844999999999999</v>
      </c>
      <c r="H272" s="61">
        <f t="shared" si="9"/>
        <v>0.19488410573571491</v>
      </c>
    </row>
    <row r="273" spans="1:11" x14ac:dyDescent="0.25">
      <c r="A273" s="55" t="s">
        <v>152</v>
      </c>
      <c r="B273" s="56" t="s">
        <v>31</v>
      </c>
      <c r="C273" s="55">
        <v>2024</v>
      </c>
      <c r="D273" s="57">
        <v>45563</v>
      </c>
      <c r="E273" s="55">
        <v>36.865499999999997</v>
      </c>
      <c r="F273" s="55">
        <v>44.05</v>
      </c>
      <c r="G273" s="69">
        <f t="shared" si="8"/>
        <v>7.1844999999999999</v>
      </c>
      <c r="H273" s="61">
        <f t="shared" si="9"/>
        <v>0.19488410573571491</v>
      </c>
    </row>
    <row r="274" spans="1:11" x14ac:dyDescent="0.25">
      <c r="A274" s="55" t="s">
        <v>153</v>
      </c>
      <c r="B274" s="56" t="s">
        <v>31</v>
      </c>
      <c r="C274" s="55">
        <v>2024</v>
      </c>
      <c r="D274" s="57">
        <v>45564</v>
      </c>
      <c r="E274" s="55">
        <v>36.865499999999997</v>
      </c>
      <c r="F274" s="55">
        <v>44.05</v>
      </c>
      <c r="G274" s="69">
        <f t="shared" si="8"/>
        <v>7.1844999999999999</v>
      </c>
      <c r="H274" s="61">
        <f t="shared" si="9"/>
        <v>0.19488410573571491</v>
      </c>
    </row>
    <row r="275" spans="1:11" x14ac:dyDescent="0.25">
      <c r="A275" s="55" t="s">
        <v>147</v>
      </c>
      <c r="B275" s="56" t="s">
        <v>31</v>
      </c>
      <c r="C275" s="55">
        <v>2024</v>
      </c>
      <c r="D275" s="57">
        <v>45565</v>
      </c>
      <c r="E275" s="55">
        <v>36.9086</v>
      </c>
      <c r="F275" s="55">
        <v>43.78</v>
      </c>
      <c r="G275" s="69">
        <f t="shared" si="8"/>
        <v>6.8714000000000013</v>
      </c>
      <c r="H275" s="61">
        <f t="shared" si="9"/>
        <v>0.18617341215868399</v>
      </c>
      <c r="I275" t="str">
        <f>+TRIM(B275&amp;C275)</f>
        <v>SEPTIEMBRE2024</v>
      </c>
      <c r="J275" s="53">
        <f>+AVERAGE(E246:E275)</f>
        <v>36.752016666666663</v>
      </c>
      <c r="K275" s="53">
        <f>+AVERAGE(F246:F275)</f>
        <v>43.530999999999992</v>
      </c>
    </row>
    <row r="276" spans="1:11" x14ac:dyDescent="0.25">
      <c r="A276" s="55" t="s">
        <v>148</v>
      </c>
      <c r="B276" s="56" t="s">
        <v>32</v>
      </c>
      <c r="C276" s="55">
        <v>2024</v>
      </c>
      <c r="D276" s="57">
        <v>45566</v>
      </c>
      <c r="E276" s="55">
        <v>36.922699999999999</v>
      </c>
      <c r="F276" s="55">
        <v>43.98</v>
      </c>
      <c r="G276" s="69">
        <f t="shared" si="8"/>
        <v>7.0572999999999979</v>
      </c>
      <c r="H276" s="61">
        <f t="shared" si="9"/>
        <v>0.19113715952517008</v>
      </c>
    </row>
    <row r="277" spans="1:11" x14ac:dyDescent="0.25">
      <c r="A277" s="55" t="s">
        <v>149</v>
      </c>
      <c r="B277" s="56" t="s">
        <v>32</v>
      </c>
      <c r="C277" s="55">
        <v>2024</v>
      </c>
      <c r="D277" s="57">
        <v>45567</v>
      </c>
      <c r="E277" s="55">
        <v>36.918700000000001</v>
      </c>
      <c r="F277" s="55">
        <v>44.65</v>
      </c>
      <c r="G277" s="69">
        <f t="shared" si="8"/>
        <v>7.7312999999999974</v>
      </c>
      <c r="H277" s="61">
        <f t="shared" si="9"/>
        <v>0.20941419930820948</v>
      </c>
    </row>
    <row r="278" spans="1:11" x14ac:dyDescent="0.25">
      <c r="A278" s="55" t="s">
        <v>150</v>
      </c>
      <c r="B278" s="56" t="s">
        <v>32</v>
      </c>
      <c r="C278" s="55">
        <v>2024</v>
      </c>
      <c r="D278" s="57">
        <v>45568</v>
      </c>
      <c r="E278" s="55">
        <v>36.981200000000001</v>
      </c>
      <c r="F278" s="55">
        <v>45.29</v>
      </c>
      <c r="G278" s="69">
        <f t="shared" si="8"/>
        <v>8.308799999999998</v>
      </c>
      <c r="H278" s="61">
        <f t="shared" si="9"/>
        <v>0.22467632202308185</v>
      </c>
    </row>
    <row r="279" spans="1:11" x14ac:dyDescent="0.25">
      <c r="A279" s="55" t="s">
        <v>151</v>
      </c>
      <c r="B279" s="56" t="s">
        <v>32</v>
      </c>
      <c r="C279" s="55">
        <v>2024</v>
      </c>
      <c r="D279" s="57">
        <v>45569</v>
      </c>
      <c r="E279" s="55">
        <v>36.985500000000002</v>
      </c>
      <c r="F279" s="55">
        <v>44.73</v>
      </c>
      <c r="G279" s="69">
        <f t="shared" si="8"/>
        <v>7.7444999999999951</v>
      </c>
      <c r="H279" s="61">
        <f t="shared" si="9"/>
        <v>0.20939287017885366</v>
      </c>
    </row>
    <row r="280" spans="1:11" x14ac:dyDescent="0.25">
      <c r="A280" s="55" t="s">
        <v>152</v>
      </c>
      <c r="B280" s="56" t="s">
        <v>32</v>
      </c>
      <c r="C280" s="55">
        <v>2024</v>
      </c>
      <c r="D280" s="57">
        <v>45570</v>
      </c>
      <c r="E280" s="55">
        <v>36.985500000000002</v>
      </c>
      <c r="F280" s="55">
        <v>44.73</v>
      </c>
      <c r="G280" s="69">
        <f t="shared" si="8"/>
        <v>7.7444999999999951</v>
      </c>
      <c r="H280" s="61">
        <f t="shared" si="9"/>
        <v>0.20939287017885366</v>
      </c>
    </row>
    <row r="281" spans="1:11" x14ac:dyDescent="0.25">
      <c r="A281" s="55" t="s">
        <v>153</v>
      </c>
      <c r="B281" s="56" t="s">
        <v>32</v>
      </c>
      <c r="C281" s="55">
        <v>2024</v>
      </c>
      <c r="D281" s="57">
        <v>45571</v>
      </c>
      <c r="E281" s="55">
        <v>36.985500000000002</v>
      </c>
      <c r="F281" s="55">
        <v>44.73</v>
      </c>
      <c r="G281" s="69">
        <f t="shared" si="8"/>
        <v>7.7444999999999951</v>
      </c>
      <c r="H281" s="61">
        <f t="shared" si="9"/>
        <v>0.20939287017885366</v>
      </c>
    </row>
    <row r="282" spans="1:11" x14ac:dyDescent="0.25">
      <c r="A282" s="55" t="s">
        <v>147</v>
      </c>
      <c r="B282" s="56" t="s">
        <v>32</v>
      </c>
      <c r="C282" s="55">
        <v>2024</v>
      </c>
      <c r="D282" s="57">
        <v>45572</v>
      </c>
      <c r="E282" s="55">
        <v>37.035800000000002</v>
      </c>
      <c r="F282" s="55">
        <v>45.09</v>
      </c>
      <c r="G282" s="69">
        <f t="shared" si="8"/>
        <v>8.0542000000000016</v>
      </c>
      <c r="H282" s="61">
        <f t="shared" si="9"/>
        <v>0.21747066352016153</v>
      </c>
    </row>
    <row r="283" spans="1:11" x14ac:dyDescent="0.25">
      <c r="A283" s="55" t="s">
        <v>148</v>
      </c>
      <c r="B283" s="56" t="s">
        <v>32</v>
      </c>
      <c r="C283" s="55">
        <v>2024</v>
      </c>
      <c r="D283" s="57">
        <v>45573</v>
      </c>
      <c r="E283" s="55">
        <v>37.039700000000003</v>
      </c>
      <c r="F283" s="55">
        <v>45.84</v>
      </c>
      <c r="G283" s="69">
        <f t="shared" si="8"/>
        <v>8.8003</v>
      </c>
      <c r="H283" s="61">
        <f t="shared" si="9"/>
        <v>0.23759101720586284</v>
      </c>
    </row>
    <row r="284" spans="1:11" x14ac:dyDescent="0.25">
      <c r="A284" s="55" t="s">
        <v>149</v>
      </c>
      <c r="B284" s="56" t="s">
        <v>32</v>
      </c>
      <c r="C284" s="55">
        <v>2024</v>
      </c>
      <c r="D284" s="57">
        <v>45574</v>
      </c>
      <c r="E284" s="55">
        <v>37.073999999999998</v>
      </c>
      <c r="F284" s="55">
        <v>46.96</v>
      </c>
      <c r="G284" s="69">
        <f t="shared" si="8"/>
        <v>9.8860000000000028</v>
      </c>
      <c r="H284" s="61">
        <f t="shared" si="9"/>
        <v>0.26665587743432062</v>
      </c>
    </row>
    <row r="285" spans="1:11" x14ac:dyDescent="0.25">
      <c r="A285" s="55" t="s">
        <v>150</v>
      </c>
      <c r="B285" s="56" t="s">
        <v>32</v>
      </c>
      <c r="C285" s="55">
        <v>2024</v>
      </c>
      <c r="D285" s="57">
        <v>45575</v>
      </c>
      <c r="E285" s="55">
        <v>37.529499999999999</v>
      </c>
      <c r="F285" s="55">
        <v>47.53</v>
      </c>
      <c r="G285" s="69">
        <f t="shared" si="8"/>
        <v>10.000500000000002</v>
      </c>
      <c r="H285" s="61">
        <f t="shared" si="9"/>
        <v>0.26647037663704554</v>
      </c>
    </row>
    <row r="286" spans="1:11" x14ac:dyDescent="0.25">
      <c r="A286" s="55" t="s">
        <v>151</v>
      </c>
      <c r="B286" s="56" t="s">
        <v>32</v>
      </c>
      <c r="C286" s="55">
        <v>2024</v>
      </c>
      <c r="D286" s="57">
        <v>45576</v>
      </c>
      <c r="E286" s="55">
        <v>37.650199999999998</v>
      </c>
      <c r="F286" s="55">
        <v>47.55</v>
      </c>
      <c r="G286" s="69">
        <f t="shared" si="8"/>
        <v>9.899799999999999</v>
      </c>
      <c r="H286" s="61">
        <f t="shared" si="9"/>
        <v>0.26294149831873392</v>
      </c>
    </row>
    <row r="287" spans="1:11" x14ac:dyDescent="0.25">
      <c r="A287" s="55" t="s">
        <v>152</v>
      </c>
      <c r="B287" s="56" t="s">
        <v>32</v>
      </c>
      <c r="C287" s="55">
        <v>2024</v>
      </c>
      <c r="D287" s="57">
        <v>45577</v>
      </c>
      <c r="E287" s="55">
        <v>37.650199999999998</v>
      </c>
      <c r="F287" s="55">
        <v>47.55</v>
      </c>
      <c r="G287" s="69">
        <f t="shared" si="8"/>
        <v>9.899799999999999</v>
      </c>
      <c r="H287" s="61">
        <f t="shared" si="9"/>
        <v>0.26294149831873392</v>
      </c>
    </row>
    <row r="288" spans="1:11" x14ac:dyDescent="0.25">
      <c r="A288" s="55" t="s">
        <v>153</v>
      </c>
      <c r="B288" s="56" t="s">
        <v>32</v>
      </c>
      <c r="C288" s="55">
        <v>2024</v>
      </c>
      <c r="D288" s="57">
        <v>45578</v>
      </c>
      <c r="E288" s="55">
        <v>37.650199999999998</v>
      </c>
      <c r="F288" s="55">
        <v>47.55</v>
      </c>
      <c r="G288" s="69">
        <f t="shared" si="8"/>
        <v>9.899799999999999</v>
      </c>
      <c r="H288" s="61">
        <f t="shared" si="9"/>
        <v>0.26294149831873392</v>
      </c>
    </row>
    <row r="289" spans="1:8" x14ac:dyDescent="0.25">
      <c r="A289" s="55" t="s">
        <v>147</v>
      </c>
      <c r="B289" s="56" t="s">
        <v>32</v>
      </c>
      <c r="C289" s="55">
        <v>2024</v>
      </c>
      <c r="D289" s="57">
        <v>45579</v>
      </c>
      <c r="E289" s="55">
        <v>38.8857</v>
      </c>
      <c r="F289" s="55">
        <v>46.17</v>
      </c>
      <c r="G289" s="69">
        <f t="shared" si="8"/>
        <v>7.2843000000000018</v>
      </c>
      <c r="H289" s="61">
        <f t="shared" si="9"/>
        <v>0.18732593215500826</v>
      </c>
    </row>
    <row r="290" spans="1:8" x14ac:dyDescent="0.25">
      <c r="A290" s="55" t="s">
        <v>148</v>
      </c>
      <c r="B290" s="56" t="s">
        <v>32</v>
      </c>
      <c r="C290" s="55">
        <v>2024</v>
      </c>
      <c r="D290" s="57">
        <v>45580</v>
      </c>
      <c r="E290" s="55">
        <v>38.887999999999998</v>
      </c>
      <c r="F290" s="55">
        <v>46.81</v>
      </c>
      <c r="G290" s="69">
        <f t="shared" si="8"/>
        <v>7.9220000000000041</v>
      </c>
      <c r="H290" s="61">
        <f t="shared" si="9"/>
        <v>0.20371322773091971</v>
      </c>
    </row>
    <row r="291" spans="1:8" x14ac:dyDescent="0.25">
      <c r="A291" s="55" t="s">
        <v>149</v>
      </c>
      <c r="B291" s="56" t="s">
        <v>32</v>
      </c>
      <c r="C291" s="55">
        <v>2024</v>
      </c>
      <c r="D291" s="57">
        <v>45581</v>
      </c>
      <c r="E291" s="55">
        <v>38.917900000000003</v>
      </c>
      <c r="F291" s="55">
        <v>46.71</v>
      </c>
      <c r="G291" s="69">
        <f t="shared" si="8"/>
        <v>7.7920999999999978</v>
      </c>
      <c r="H291" s="61">
        <f t="shared" si="9"/>
        <v>0.20021892239817651</v>
      </c>
    </row>
    <row r="292" spans="1:8" x14ac:dyDescent="0.25">
      <c r="A292" s="55" t="s">
        <v>150</v>
      </c>
      <c r="B292" s="56" t="s">
        <v>32</v>
      </c>
      <c r="C292" s="55">
        <v>2024</v>
      </c>
      <c r="D292" s="57">
        <v>45582</v>
      </c>
      <c r="E292" s="55">
        <v>39.011600000000001</v>
      </c>
      <c r="F292" s="55">
        <v>47.05</v>
      </c>
      <c r="G292" s="69">
        <f t="shared" si="8"/>
        <v>8.0383999999999958</v>
      </c>
      <c r="H292" s="61">
        <f t="shared" si="9"/>
        <v>0.20605153339006854</v>
      </c>
    </row>
    <row r="293" spans="1:8" x14ac:dyDescent="0.25">
      <c r="A293" s="55" t="s">
        <v>151</v>
      </c>
      <c r="B293" s="56" t="s">
        <v>32</v>
      </c>
      <c r="C293" s="55">
        <v>2024</v>
      </c>
      <c r="D293" s="57">
        <v>45583</v>
      </c>
      <c r="E293" s="55">
        <v>39.134399999999999</v>
      </c>
      <c r="F293" s="55">
        <v>47.21</v>
      </c>
      <c r="G293" s="69">
        <f t="shared" si="8"/>
        <v>8.0756000000000014</v>
      </c>
      <c r="H293" s="61">
        <f t="shared" si="9"/>
        <v>0.20635553375035776</v>
      </c>
    </row>
    <row r="294" spans="1:8" x14ac:dyDescent="0.25">
      <c r="A294" s="55" t="s">
        <v>152</v>
      </c>
      <c r="B294" s="56" t="s">
        <v>32</v>
      </c>
      <c r="C294" s="55">
        <v>2024</v>
      </c>
      <c r="D294" s="57">
        <v>45584</v>
      </c>
      <c r="E294" s="55">
        <v>39.134399999999999</v>
      </c>
      <c r="F294" s="55">
        <v>47.21</v>
      </c>
      <c r="G294" s="69">
        <f t="shared" si="8"/>
        <v>8.0756000000000014</v>
      </c>
      <c r="H294" s="61">
        <f t="shared" si="9"/>
        <v>0.20635553375035776</v>
      </c>
    </row>
    <row r="295" spans="1:8" x14ac:dyDescent="0.25">
      <c r="A295" s="55" t="s">
        <v>153</v>
      </c>
      <c r="B295" s="56" t="s">
        <v>32</v>
      </c>
      <c r="C295" s="55">
        <v>2024</v>
      </c>
      <c r="D295" s="57">
        <v>45585</v>
      </c>
      <c r="E295" s="55">
        <v>39.134399999999999</v>
      </c>
      <c r="F295" s="55">
        <v>47.21</v>
      </c>
      <c r="G295" s="69">
        <f t="shared" si="8"/>
        <v>8.0756000000000014</v>
      </c>
      <c r="H295" s="61">
        <f t="shared" si="9"/>
        <v>0.20635553375035776</v>
      </c>
    </row>
    <row r="296" spans="1:8" x14ac:dyDescent="0.25">
      <c r="A296" s="55" t="s">
        <v>147</v>
      </c>
      <c r="B296" s="56" t="s">
        <v>32</v>
      </c>
      <c r="C296" s="55">
        <v>2024</v>
      </c>
      <c r="D296" s="57">
        <v>45586</v>
      </c>
      <c r="E296" s="55">
        <v>39.169899999999998</v>
      </c>
      <c r="F296" s="55">
        <v>47.35</v>
      </c>
      <c r="G296" s="69">
        <f t="shared" si="8"/>
        <v>8.180100000000003</v>
      </c>
      <c r="H296" s="61">
        <f t="shared" si="9"/>
        <v>0.20883637691186352</v>
      </c>
    </row>
    <row r="297" spans="1:8" x14ac:dyDescent="0.25">
      <c r="A297" s="55" t="s">
        <v>148</v>
      </c>
      <c r="B297" s="56" t="s">
        <v>32</v>
      </c>
      <c r="C297" s="55">
        <v>2024</v>
      </c>
      <c r="D297" s="57">
        <v>45587</v>
      </c>
      <c r="E297" s="55">
        <v>39.1813</v>
      </c>
      <c r="F297" s="55">
        <v>48.26</v>
      </c>
      <c r="G297" s="69">
        <f t="shared" si="8"/>
        <v>9.0786999999999978</v>
      </c>
      <c r="H297" s="61">
        <f t="shared" si="9"/>
        <v>0.23171002493536452</v>
      </c>
    </row>
    <row r="298" spans="1:8" x14ac:dyDescent="0.25">
      <c r="A298" s="55" t="s">
        <v>149</v>
      </c>
      <c r="B298" s="56" t="s">
        <v>32</v>
      </c>
      <c r="C298" s="55">
        <v>2024</v>
      </c>
      <c r="D298" s="57">
        <v>45588</v>
      </c>
      <c r="E298" s="55">
        <v>39.323</v>
      </c>
      <c r="F298" s="55">
        <v>49.2</v>
      </c>
      <c r="G298" s="69">
        <f t="shared" si="8"/>
        <v>9.8770000000000024</v>
      </c>
      <c r="H298" s="61">
        <f t="shared" si="9"/>
        <v>0.25117615644788049</v>
      </c>
    </row>
    <row r="299" spans="1:8" x14ac:dyDescent="0.25">
      <c r="A299" s="55" t="s">
        <v>150</v>
      </c>
      <c r="B299" s="56" t="s">
        <v>32</v>
      </c>
      <c r="C299" s="55">
        <v>2024</v>
      </c>
      <c r="D299" s="57">
        <v>45589</v>
      </c>
      <c r="E299" s="55">
        <v>39.4617</v>
      </c>
      <c r="F299" s="55">
        <v>49.58</v>
      </c>
      <c r="G299" s="69">
        <f t="shared" si="8"/>
        <v>10.118299999999998</v>
      </c>
      <c r="H299" s="61">
        <f t="shared" si="9"/>
        <v>0.2564081121695212</v>
      </c>
    </row>
    <row r="300" spans="1:8" x14ac:dyDescent="0.25">
      <c r="A300" s="55" t="s">
        <v>151</v>
      </c>
      <c r="B300" s="56" t="s">
        <v>32</v>
      </c>
      <c r="C300" s="55">
        <v>2024</v>
      </c>
      <c r="D300" s="57">
        <v>45590</v>
      </c>
      <c r="E300" s="55">
        <v>40.880299999999998</v>
      </c>
      <c r="F300" s="55">
        <v>49.12</v>
      </c>
      <c r="G300" s="69">
        <f t="shared" si="8"/>
        <v>8.2396999999999991</v>
      </c>
      <c r="H300" s="61">
        <f t="shared" si="9"/>
        <v>0.20155674004349278</v>
      </c>
    </row>
    <row r="301" spans="1:8" x14ac:dyDescent="0.25">
      <c r="A301" s="55" t="s">
        <v>152</v>
      </c>
      <c r="B301" s="56" t="s">
        <v>32</v>
      </c>
      <c r="C301" s="55">
        <v>2024</v>
      </c>
      <c r="D301" s="57">
        <v>45591</v>
      </c>
      <c r="E301" s="55">
        <v>40.880299999999998</v>
      </c>
      <c r="F301" s="55">
        <v>49.12</v>
      </c>
      <c r="G301" s="69">
        <f t="shared" si="8"/>
        <v>8.2396999999999991</v>
      </c>
      <c r="H301" s="61">
        <f t="shared" si="9"/>
        <v>0.20155674004349278</v>
      </c>
    </row>
    <row r="302" spans="1:8" x14ac:dyDescent="0.25">
      <c r="A302" s="55" t="s">
        <v>153</v>
      </c>
      <c r="B302" s="56" t="s">
        <v>32</v>
      </c>
      <c r="C302" s="55">
        <v>2024</v>
      </c>
      <c r="D302" s="57">
        <v>45592</v>
      </c>
      <c r="E302" s="55">
        <v>40.880299999999998</v>
      </c>
      <c r="F302" s="55">
        <v>49.12</v>
      </c>
      <c r="G302" s="69">
        <f t="shared" si="8"/>
        <v>8.2396999999999991</v>
      </c>
      <c r="H302" s="61">
        <f t="shared" si="9"/>
        <v>0.20155674004349278</v>
      </c>
    </row>
    <row r="303" spans="1:8" x14ac:dyDescent="0.25">
      <c r="A303" s="55" t="s">
        <v>147</v>
      </c>
      <c r="B303" s="56" t="s">
        <v>32</v>
      </c>
      <c r="C303" s="55">
        <v>2024</v>
      </c>
      <c r="D303" s="57">
        <v>45593</v>
      </c>
      <c r="E303" s="55">
        <v>41.042900000000003</v>
      </c>
      <c r="F303" s="55">
        <v>49.34</v>
      </c>
      <c r="G303" s="69">
        <f t="shared" si="8"/>
        <v>8.2971000000000004</v>
      </c>
      <c r="H303" s="61">
        <f t="shared" si="9"/>
        <v>0.20215676767479884</v>
      </c>
    </row>
    <row r="304" spans="1:8" x14ac:dyDescent="0.25">
      <c r="A304" s="55" t="s">
        <v>148</v>
      </c>
      <c r="B304" s="56" t="s">
        <v>32</v>
      </c>
      <c r="C304" s="55">
        <v>2024</v>
      </c>
      <c r="D304" s="57">
        <v>45594</v>
      </c>
      <c r="E304" s="55">
        <v>41.7361</v>
      </c>
      <c r="F304" s="55">
        <v>51.1</v>
      </c>
      <c r="G304" s="69">
        <f t="shared" si="8"/>
        <v>9.363900000000001</v>
      </c>
      <c r="H304" s="61">
        <f t="shared" si="9"/>
        <v>0.22435972695100892</v>
      </c>
    </row>
    <row r="305" spans="1:11" x14ac:dyDescent="0.25">
      <c r="A305" s="55" t="s">
        <v>149</v>
      </c>
      <c r="B305" s="56" t="s">
        <v>32</v>
      </c>
      <c r="C305" s="55">
        <v>2024</v>
      </c>
      <c r="D305" s="57">
        <v>45595</v>
      </c>
      <c r="E305" s="55">
        <v>42.2256</v>
      </c>
      <c r="F305" s="55">
        <v>52.3</v>
      </c>
      <c r="G305" s="69">
        <f t="shared" si="8"/>
        <v>10.074399999999997</v>
      </c>
      <c r="H305" s="61">
        <f t="shared" si="9"/>
        <v>0.23858512371641849</v>
      </c>
    </row>
    <row r="306" spans="1:11" x14ac:dyDescent="0.25">
      <c r="A306" s="55" t="s">
        <v>150</v>
      </c>
      <c r="B306" s="56" t="s">
        <v>32</v>
      </c>
      <c r="C306" s="55">
        <v>2024</v>
      </c>
      <c r="D306" s="57">
        <v>45596</v>
      </c>
      <c r="E306" s="55">
        <v>42.562199999999997</v>
      </c>
      <c r="F306" s="55">
        <v>51.61</v>
      </c>
      <c r="G306" s="69">
        <f t="shared" si="8"/>
        <v>9.0478000000000023</v>
      </c>
      <c r="H306" s="61">
        <f t="shared" si="9"/>
        <v>0.21257829717448828</v>
      </c>
      <c r="I306" t="str">
        <f>+TRIM(B306&amp;C306)</f>
        <v>OCTUBRE2024</v>
      </c>
      <c r="J306" s="53">
        <f>+AVERAGE(E276:E306)</f>
        <v>38.834151612903234</v>
      </c>
      <c r="K306" s="53">
        <f>+AVERAGE(F276:F306)</f>
        <v>47.440322580645137</v>
      </c>
    </row>
    <row r="307" spans="1:11" x14ac:dyDescent="0.25">
      <c r="A307" s="55" t="s">
        <v>151</v>
      </c>
      <c r="B307" s="56" t="s">
        <v>33</v>
      </c>
      <c r="C307" s="55">
        <v>2024</v>
      </c>
      <c r="D307" s="57">
        <v>45597</v>
      </c>
      <c r="E307" s="55">
        <v>42.710099999999997</v>
      </c>
      <c r="F307" s="55">
        <v>50.85</v>
      </c>
      <c r="G307" s="69">
        <f t="shared" si="8"/>
        <v>8.1399000000000044</v>
      </c>
      <c r="H307" s="61">
        <f t="shared" si="9"/>
        <v>0.19058489678085522</v>
      </c>
    </row>
    <row r="308" spans="1:11" x14ac:dyDescent="0.25">
      <c r="A308" s="55" t="s">
        <v>152</v>
      </c>
      <c r="B308" s="56" t="s">
        <v>33</v>
      </c>
      <c r="C308" s="55">
        <v>2024</v>
      </c>
      <c r="D308" s="57">
        <v>45598</v>
      </c>
      <c r="E308" s="55">
        <v>42.710099999999997</v>
      </c>
      <c r="F308" s="55">
        <v>50.85</v>
      </c>
      <c r="G308" s="69">
        <f t="shared" si="8"/>
        <v>8.1399000000000044</v>
      </c>
      <c r="H308" s="61">
        <f t="shared" si="9"/>
        <v>0.19058489678085522</v>
      </c>
    </row>
    <row r="309" spans="1:11" x14ac:dyDescent="0.25">
      <c r="A309" s="55" t="s">
        <v>153</v>
      </c>
      <c r="B309" s="56" t="s">
        <v>33</v>
      </c>
      <c r="C309" s="55">
        <v>2024</v>
      </c>
      <c r="D309" s="57">
        <v>45599</v>
      </c>
      <c r="E309" s="55">
        <v>42.710099999999997</v>
      </c>
      <c r="F309" s="55">
        <v>50.85</v>
      </c>
      <c r="G309" s="69">
        <f t="shared" si="8"/>
        <v>8.1399000000000044</v>
      </c>
      <c r="H309" s="61">
        <f t="shared" si="9"/>
        <v>0.19058489678085522</v>
      </c>
    </row>
    <row r="310" spans="1:11" x14ac:dyDescent="0.25">
      <c r="A310" s="55" t="s">
        <v>147</v>
      </c>
      <c r="B310" s="56" t="s">
        <v>33</v>
      </c>
      <c r="C310" s="55">
        <v>2024</v>
      </c>
      <c r="D310" s="57">
        <v>45600</v>
      </c>
      <c r="E310" s="55">
        <v>42.710099999999997</v>
      </c>
      <c r="F310" s="55">
        <v>51.25</v>
      </c>
      <c r="G310" s="69">
        <f t="shared" si="8"/>
        <v>8.5399000000000029</v>
      </c>
      <c r="H310" s="61">
        <f t="shared" si="9"/>
        <v>0.19995036302888547</v>
      </c>
    </row>
    <row r="311" spans="1:11" x14ac:dyDescent="0.25">
      <c r="A311" s="55" t="s">
        <v>148</v>
      </c>
      <c r="B311" s="56" t="s">
        <v>33</v>
      </c>
      <c r="C311" s="55">
        <v>2024</v>
      </c>
      <c r="D311" s="57">
        <v>45601</v>
      </c>
      <c r="E311" s="55">
        <v>42.856900000000003</v>
      </c>
      <c r="F311" s="55">
        <v>51.18</v>
      </c>
      <c r="G311" s="69">
        <f t="shared" si="8"/>
        <v>8.3230999999999966</v>
      </c>
      <c r="H311" s="61">
        <f t="shared" si="9"/>
        <v>0.19420676717168051</v>
      </c>
    </row>
    <row r="312" spans="1:11" x14ac:dyDescent="0.25">
      <c r="A312" s="55" t="s">
        <v>149</v>
      </c>
      <c r="B312" s="56" t="s">
        <v>33</v>
      </c>
      <c r="C312" s="55">
        <v>2024</v>
      </c>
      <c r="D312" s="57">
        <v>45602</v>
      </c>
      <c r="E312" s="55">
        <v>43.457599999999999</v>
      </c>
      <c r="F312" s="55">
        <v>52.4</v>
      </c>
      <c r="G312" s="69">
        <f t="shared" si="8"/>
        <v>8.9423999999999992</v>
      </c>
      <c r="H312" s="61">
        <f t="shared" si="9"/>
        <v>0.20577298332167437</v>
      </c>
    </row>
    <row r="313" spans="1:11" x14ac:dyDescent="0.25">
      <c r="A313" s="55" t="s">
        <v>150</v>
      </c>
      <c r="B313" s="56" t="s">
        <v>33</v>
      </c>
      <c r="C313" s="55">
        <v>2024</v>
      </c>
      <c r="D313" s="57">
        <v>45603</v>
      </c>
      <c r="E313" s="55">
        <v>43.782200000000003</v>
      </c>
      <c r="F313" s="55">
        <v>52.41</v>
      </c>
      <c r="G313" s="69">
        <f t="shared" si="8"/>
        <v>8.6277999999999935</v>
      </c>
      <c r="H313" s="61">
        <f t="shared" si="9"/>
        <v>0.19706181964359937</v>
      </c>
    </row>
    <row r="314" spans="1:11" x14ac:dyDescent="0.25">
      <c r="A314" s="55" t="s">
        <v>151</v>
      </c>
      <c r="B314" s="56" t="s">
        <v>33</v>
      </c>
      <c r="C314" s="55">
        <v>2024</v>
      </c>
      <c r="D314" s="57">
        <v>45604</v>
      </c>
      <c r="E314" s="55">
        <v>44.186100000000003</v>
      </c>
      <c r="F314" s="55">
        <v>52.2</v>
      </c>
      <c r="G314" s="69">
        <f t="shared" si="8"/>
        <v>8.0138999999999996</v>
      </c>
      <c r="H314" s="61">
        <f t="shared" si="9"/>
        <v>0.18136699097680031</v>
      </c>
    </row>
    <row r="315" spans="1:11" x14ac:dyDescent="0.25">
      <c r="A315" s="55" t="s">
        <v>152</v>
      </c>
      <c r="B315" s="56" t="s">
        <v>33</v>
      </c>
      <c r="C315" s="55">
        <v>2024</v>
      </c>
      <c r="D315" s="57">
        <v>45605</v>
      </c>
      <c r="E315" s="55">
        <v>44.186100000000003</v>
      </c>
      <c r="F315" s="55">
        <v>52.2</v>
      </c>
      <c r="G315" s="69">
        <f t="shared" si="8"/>
        <v>8.0138999999999996</v>
      </c>
      <c r="H315" s="61">
        <f t="shared" si="9"/>
        <v>0.18136699097680031</v>
      </c>
    </row>
    <row r="316" spans="1:11" x14ac:dyDescent="0.25">
      <c r="A316" s="55" t="s">
        <v>153</v>
      </c>
      <c r="B316" s="56" t="s">
        <v>33</v>
      </c>
      <c r="C316" s="55">
        <v>2024</v>
      </c>
      <c r="D316" s="57">
        <v>45606</v>
      </c>
      <c r="E316" s="55">
        <v>44.186100000000003</v>
      </c>
      <c r="F316" s="55">
        <v>52.2</v>
      </c>
      <c r="G316" s="69">
        <f t="shared" si="8"/>
        <v>8.0138999999999996</v>
      </c>
      <c r="H316" s="61">
        <f t="shared" si="9"/>
        <v>0.18136699097680031</v>
      </c>
    </row>
    <row r="317" spans="1:11" x14ac:dyDescent="0.25">
      <c r="A317" s="55" t="s">
        <v>147</v>
      </c>
      <c r="B317" s="56" t="s">
        <v>33</v>
      </c>
      <c r="C317" s="55">
        <v>2024</v>
      </c>
      <c r="D317" s="57">
        <v>45607</v>
      </c>
      <c r="E317" s="55">
        <v>44.703499999999998</v>
      </c>
      <c r="F317" s="55">
        <v>51.71</v>
      </c>
      <c r="G317" s="69">
        <f t="shared" si="8"/>
        <v>7.0065000000000026</v>
      </c>
      <c r="H317" s="61">
        <f t="shared" si="9"/>
        <v>0.15673269430805203</v>
      </c>
    </row>
    <row r="318" spans="1:11" x14ac:dyDescent="0.25">
      <c r="A318" s="55" t="s">
        <v>148</v>
      </c>
      <c r="B318" s="56" t="s">
        <v>33</v>
      </c>
      <c r="C318" s="55">
        <v>2024</v>
      </c>
      <c r="D318" s="57">
        <v>45608</v>
      </c>
      <c r="E318" s="55">
        <v>44.754399999999997</v>
      </c>
      <c r="F318" s="55">
        <v>52.54</v>
      </c>
      <c r="G318" s="69">
        <f t="shared" si="8"/>
        <v>7.7856000000000023</v>
      </c>
      <c r="H318" s="61">
        <f t="shared" si="9"/>
        <v>0.17396278354753947</v>
      </c>
    </row>
    <row r="319" spans="1:11" x14ac:dyDescent="0.25">
      <c r="A319" s="55" t="s">
        <v>149</v>
      </c>
      <c r="B319" s="56" t="s">
        <v>33</v>
      </c>
      <c r="C319" s="55">
        <v>2024</v>
      </c>
      <c r="D319" s="57">
        <v>45609</v>
      </c>
      <c r="E319" s="55">
        <v>44.928899999999999</v>
      </c>
      <c r="F319" s="55">
        <v>53.22</v>
      </c>
      <c r="G319" s="69">
        <f t="shared" si="8"/>
        <v>8.2911000000000001</v>
      </c>
      <c r="H319" s="61">
        <f t="shared" si="9"/>
        <v>0.18453823708125516</v>
      </c>
    </row>
    <row r="320" spans="1:11" x14ac:dyDescent="0.25">
      <c r="A320" s="55" t="s">
        <v>150</v>
      </c>
      <c r="B320" s="56" t="s">
        <v>33</v>
      </c>
      <c r="C320" s="55">
        <v>2024</v>
      </c>
      <c r="D320" s="57">
        <v>45610</v>
      </c>
      <c r="E320" s="55">
        <v>45.052999999999997</v>
      </c>
      <c r="F320" s="55">
        <v>53.37</v>
      </c>
      <c r="G320" s="69">
        <f t="shared" si="8"/>
        <v>8.3170000000000002</v>
      </c>
      <c r="H320" s="61">
        <f t="shared" si="9"/>
        <v>0.18460479879253322</v>
      </c>
    </row>
    <row r="321" spans="1:11" x14ac:dyDescent="0.25">
      <c r="A321" s="55" t="s">
        <v>151</v>
      </c>
      <c r="B321" s="56" t="s">
        <v>33</v>
      </c>
      <c r="C321" s="55">
        <v>2024</v>
      </c>
      <c r="D321" s="57">
        <v>45611</v>
      </c>
      <c r="E321" s="55">
        <v>45.506999999999998</v>
      </c>
      <c r="F321" s="55">
        <v>53.19</v>
      </c>
      <c r="G321" s="69">
        <f t="shared" si="8"/>
        <v>7.6829999999999998</v>
      </c>
      <c r="H321" s="61">
        <f t="shared" si="9"/>
        <v>0.16883116883116878</v>
      </c>
    </row>
    <row r="322" spans="1:11" x14ac:dyDescent="0.25">
      <c r="A322" s="55" t="s">
        <v>152</v>
      </c>
      <c r="B322" s="56" t="s">
        <v>33</v>
      </c>
      <c r="C322" s="55">
        <v>2024</v>
      </c>
      <c r="D322" s="57">
        <v>45612</v>
      </c>
      <c r="E322" s="55">
        <v>45.506999999999998</v>
      </c>
      <c r="F322" s="55">
        <v>53.19</v>
      </c>
      <c r="G322" s="69">
        <f t="shared" si="8"/>
        <v>7.6829999999999998</v>
      </c>
      <c r="H322" s="61">
        <f t="shared" si="9"/>
        <v>0.16883116883116878</v>
      </c>
    </row>
    <row r="323" spans="1:11" x14ac:dyDescent="0.25">
      <c r="A323" s="55" t="s">
        <v>153</v>
      </c>
      <c r="B323" s="56" t="s">
        <v>33</v>
      </c>
      <c r="C323" s="55">
        <v>2024</v>
      </c>
      <c r="D323" s="57">
        <v>45613</v>
      </c>
      <c r="E323" s="55">
        <v>45.506999999999998</v>
      </c>
      <c r="F323" s="55">
        <v>53.19</v>
      </c>
      <c r="G323" s="69">
        <f t="shared" ref="G323:G386" si="10">+F323-E323</f>
        <v>7.6829999999999998</v>
      </c>
      <c r="H323" s="61">
        <f t="shared" ref="H323:H386" si="11">+F323/E323-1</f>
        <v>0.16883116883116878</v>
      </c>
    </row>
    <row r="324" spans="1:11" x14ac:dyDescent="0.25">
      <c r="A324" s="55" t="s">
        <v>147</v>
      </c>
      <c r="B324" s="56" t="s">
        <v>33</v>
      </c>
      <c r="C324" s="55">
        <v>2024</v>
      </c>
      <c r="D324" s="57">
        <v>45614</v>
      </c>
      <c r="E324" s="55">
        <v>45.506999999999998</v>
      </c>
      <c r="F324" s="55">
        <v>54.41</v>
      </c>
      <c r="G324" s="69">
        <f t="shared" si="10"/>
        <v>8.9029999999999987</v>
      </c>
      <c r="H324" s="61">
        <f t="shared" si="11"/>
        <v>0.19564023117322615</v>
      </c>
    </row>
    <row r="325" spans="1:11" x14ac:dyDescent="0.25">
      <c r="A325" s="55" t="s">
        <v>148</v>
      </c>
      <c r="B325" s="56" t="s">
        <v>33</v>
      </c>
      <c r="C325" s="55">
        <v>2024</v>
      </c>
      <c r="D325" s="57">
        <v>45615</v>
      </c>
      <c r="E325" s="55">
        <v>45.789400000000001</v>
      </c>
      <c r="F325" s="55">
        <v>55.2</v>
      </c>
      <c r="G325" s="69">
        <f t="shared" si="10"/>
        <v>9.4106000000000023</v>
      </c>
      <c r="H325" s="61">
        <f t="shared" si="11"/>
        <v>0.20551918129523439</v>
      </c>
    </row>
    <row r="326" spans="1:11" x14ac:dyDescent="0.25">
      <c r="A326" s="55" t="s">
        <v>149</v>
      </c>
      <c r="B326" s="56" t="s">
        <v>33</v>
      </c>
      <c r="C326" s="55">
        <v>2024</v>
      </c>
      <c r="D326" s="57">
        <v>45616</v>
      </c>
      <c r="E326" s="55">
        <v>45.841000000000001</v>
      </c>
      <c r="F326" s="55">
        <v>56.96</v>
      </c>
      <c r="G326" s="69">
        <f t="shared" si="10"/>
        <v>11.119</v>
      </c>
      <c r="H326" s="61">
        <f t="shared" si="11"/>
        <v>0.24255579066774291</v>
      </c>
    </row>
    <row r="327" spans="1:11" x14ac:dyDescent="0.25">
      <c r="A327" s="55" t="s">
        <v>150</v>
      </c>
      <c r="B327" s="56" t="s">
        <v>33</v>
      </c>
      <c r="C327" s="55">
        <v>2024</v>
      </c>
      <c r="D327" s="57">
        <v>45617</v>
      </c>
      <c r="E327" s="55">
        <v>46.058799999999998</v>
      </c>
      <c r="F327" s="55">
        <v>56.82</v>
      </c>
      <c r="G327" s="69">
        <f t="shared" si="10"/>
        <v>10.761200000000002</v>
      </c>
      <c r="H327" s="61">
        <f t="shared" si="11"/>
        <v>0.2336404769555438</v>
      </c>
    </row>
    <row r="328" spans="1:11" x14ac:dyDescent="0.25">
      <c r="A328" s="55" t="s">
        <v>151</v>
      </c>
      <c r="B328" s="56" t="s">
        <v>33</v>
      </c>
      <c r="C328" s="55">
        <v>2024</v>
      </c>
      <c r="D328" s="57">
        <v>45618</v>
      </c>
      <c r="E328" s="55">
        <v>46.327300000000001</v>
      </c>
      <c r="F328" s="55">
        <v>56.71</v>
      </c>
      <c r="G328" s="69">
        <f t="shared" si="10"/>
        <v>10.3827</v>
      </c>
      <c r="H328" s="61">
        <f t="shared" si="11"/>
        <v>0.22411623384052159</v>
      </c>
    </row>
    <row r="329" spans="1:11" x14ac:dyDescent="0.25">
      <c r="A329" s="55" t="s">
        <v>152</v>
      </c>
      <c r="B329" s="56" t="s">
        <v>33</v>
      </c>
      <c r="C329" s="55">
        <v>2024</v>
      </c>
      <c r="D329" s="57">
        <v>45619</v>
      </c>
      <c r="E329" s="55">
        <v>46.327300000000001</v>
      </c>
      <c r="F329" s="55">
        <v>56.71</v>
      </c>
      <c r="G329" s="69">
        <f t="shared" si="10"/>
        <v>10.3827</v>
      </c>
      <c r="H329" s="61">
        <f t="shared" si="11"/>
        <v>0.22411623384052159</v>
      </c>
    </row>
    <row r="330" spans="1:11" x14ac:dyDescent="0.25">
      <c r="A330" s="55" t="s">
        <v>153</v>
      </c>
      <c r="B330" s="56" t="s">
        <v>33</v>
      </c>
      <c r="C330" s="55">
        <v>2024</v>
      </c>
      <c r="D330" s="57">
        <v>45620</v>
      </c>
      <c r="E330" s="55">
        <v>46.327300000000001</v>
      </c>
      <c r="F330" s="55">
        <v>56.71</v>
      </c>
      <c r="G330" s="69">
        <f t="shared" si="10"/>
        <v>10.3827</v>
      </c>
      <c r="H330" s="61">
        <f t="shared" si="11"/>
        <v>0.22411623384052159</v>
      </c>
    </row>
    <row r="331" spans="1:11" x14ac:dyDescent="0.25">
      <c r="A331" s="55" t="s">
        <v>147</v>
      </c>
      <c r="B331" s="56" t="s">
        <v>33</v>
      </c>
      <c r="C331" s="55">
        <v>2024</v>
      </c>
      <c r="D331" s="57">
        <v>45621</v>
      </c>
      <c r="E331" s="55">
        <v>46.617600000000003</v>
      </c>
      <c r="F331" s="55">
        <v>56.71</v>
      </c>
      <c r="G331" s="69">
        <f t="shared" si="10"/>
        <v>10.092399999999998</v>
      </c>
      <c r="H331" s="61">
        <f t="shared" si="11"/>
        <v>0.21649334157056566</v>
      </c>
    </row>
    <row r="332" spans="1:11" x14ac:dyDescent="0.25">
      <c r="A332" s="55" t="s">
        <v>148</v>
      </c>
      <c r="B332" s="56" t="s">
        <v>33</v>
      </c>
      <c r="C332" s="55">
        <v>2024</v>
      </c>
      <c r="D332" s="57">
        <v>45622</v>
      </c>
      <c r="E332" s="55">
        <v>46.642699999999998</v>
      </c>
      <c r="F332" s="55">
        <v>57.83</v>
      </c>
      <c r="G332" s="69">
        <f t="shared" si="10"/>
        <v>11.1873</v>
      </c>
      <c r="H332" s="61">
        <f t="shared" si="11"/>
        <v>0.23985103778297567</v>
      </c>
    </row>
    <row r="333" spans="1:11" x14ac:dyDescent="0.25">
      <c r="A333" s="55" t="s">
        <v>149</v>
      </c>
      <c r="B333" s="56" t="s">
        <v>33</v>
      </c>
      <c r="C333" s="55">
        <v>2024</v>
      </c>
      <c r="D333" s="57">
        <v>45623</v>
      </c>
      <c r="E333" s="55">
        <v>46.753700000000002</v>
      </c>
      <c r="F333" s="55">
        <v>58.32</v>
      </c>
      <c r="G333" s="69">
        <f t="shared" si="10"/>
        <v>11.566299999999998</v>
      </c>
      <c r="H333" s="61">
        <f t="shared" si="11"/>
        <v>0.24738790726723225</v>
      </c>
    </row>
    <row r="334" spans="1:11" x14ac:dyDescent="0.25">
      <c r="A334" s="55" t="s">
        <v>150</v>
      </c>
      <c r="B334" s="56" t="s">
        <v>33</v>
      </c>
      <c r="C334" s="55">
        <v>2024</v>
      </c>
      <c r="D334" s="57">
        <v>45624</v>
      </c>
      <c r="E334" s="55">
        <v>46.855400000000003</v>
      </c>
      <c r="F334" s="55">
        <v>57.66</v>
      </c>
      <c r="G334" s="69">
        <f t="shared" si="10"/>
        <v>10.804599999999994</v>
      </c>
      <c r="H334" s="61">
        <f t="shared" si="11"/>
        <v>0.23059455260226125</v>
      </c>
    </row>
    <row r="335" spans="1:11" x14ac:dyDescent="0.25">
      <c r="A335" s="55" t="s">
        <v>151</v>
      </c>
      <c r="B335" s="56" t="s">
        <v>33</v>
      </c>
      <c r="C335" s="55">
        <v>2024</v>
      </c>
      <c r="D335" s="57">
        <v>45625</v>
      </c>
      <c r="E335" s="55">
        <v>47.313800000000001</v>
      </c>
      <c r="F335" s="55">
        <v>56.59</v>
      </c>
      <c r="G335" s="69">
        <f t="shared" si="10"/>
        <v>9.2762000000000029</v>
      </c>
      <c r="H335" s="61">
        <f t="shared" si="11"/>
        <v>0.19605696435289488</v>
      </c>
    </row>
    <row r="336" spans="1:11" x14ac:dyDescent="0.25">
      <c r="A336" s="55" t="s">
        <v>152</v>
      </c>
      <c r="B336" s="56" t="s">
        <v>33</v>
      </c>
      <c r="C336" s="55">
        <v>2024</v>
      </c>
      <c r="D336" s="57">
        <v>45626</v>
      </c>
      <c r="E336" s="55">
        <v>47.313800000000001</v>
      </c>
      <c r="F336" s="55">
        <v>56.59</v>
      </c>
      <c r="G336" s="69">
        <f t="shared" si="10"/>
        <v>9.2762000000000029</v>
      </c>
      <c r="H336" s="61">
        <f t="shared" si="11"/>
        <v>0.19605696435289488</v>
      </c>
      <c r="I336" t="str">
        <f>+TRIM(B336&amp;C336)</f>
        <v>NOVIEMBRE2024</v>
      </c>
      <c r="J336" s="53">
        <f>+AVERAGE(E307:E336)</f>
        <v>45.104376666666653</v>
      </c>
      <c r="K336" s="53">
        <f>+AVERAGE(F307:F336)</f>
        <v>54.134</v>
      </c>
    </row>
    <row r="337" spans="1:8" x14ac:dyDescent="0.25">
      <c r="A337" s="55" t="s">
        <v>153</v>
      </c>
      <c r="B337" s="56" t="s">
        <v>34</v>
      </c>
      <c r="C337" s="55">
        <v>2024</v>
      </c>
      <c r="D337" s="57">
        <v>45627</v>
      </c>
      <c r="E337" s="55">
        <v>47.313800000000001</v>
      </c>
      <c r="F337" s="55">
        <v>47.313800000000001</v>
      </c>
      <c r="G337" s="69">
        <f t="shared" si="10"/>
        <v>0</v>
      </c>
      <c r="H337" s="61">
        <f t="shared" si="11"/>
        <v>0</v>
      </c>
    </row>
    <row r="338" spans="1:8" x14ac:dyDescent="0.25">
      <c r="A338" s="55" t="s">
        <v>147</v>
      </c>
      <c r="B338" s="56" t="s">
        <v>34</v>
      </c>
      <c r="C338" s="55">
        <v>2024</v>
      </c>
      <c r="D338" s="57">
        <v>45628</v>
      </c>
      <c r="E338" s="55">
        <v>47.607399999999998</v>
      </c>
      <c r="F338" s="55">
        <v>56.2</v>
      </c>
      <c r="G338" s="69">
        <f t="shared" si="10"/>
        <v>8.5926000000000045</v>
      </c>
      <c r="H338" s="61">
        <f t="shared" si="11"/>
        <v>0.18048874754765021</v>
      </c>
    </row>
    <row r="339" spans="1:8" x14ac:dyDescent="0.25">
      <c r="A339" s="55" t="s">
        <v>148</v>
      </c>
      <c r="B339" s="56" t="s">
        <v>34</v>
      </c>
      <c r="C339" s="55">
        <v>2024</v>
      </c>
      <c r="D339" s="57">
        <v>45629</v>
      </c>
      <c r="E339" s="55">
        <v>47.729300000000002</v>
      </c>
      <c r="F339" s="55">
        <v>57.3</v>
      </c>
      <c r="G339" s="69">
        <f t="shared" si="10"/>
        <v>9.5706999999999951</v>
      </c>
      <c r="H339" s="61">
        <f t="shared" si="11"/>
        <v>0.20052043503675931</v>
      </c>
    </row>
    <row r="340" spans="1:8" x14ac:dyDescent="0.25">
      <c r="A340" s="55" t="s">
        <v>149</v>
      </c>
      <c r="B340" s="56" t="s">
        <v>34</v>
      </c>
      <c r="C340" s="55">
        <v>2024</v>
      </c>
      <c r="D340" s="57">
        <v>45630</v>
      </c>
      <c r="E340" s="55">
        <v>47.855200000000004</v>
      </c>
      <c r="F340" s="55">
        <v>57.62</v>
      </c>
      <c r="G340" s="69">
        <f t="shared" si="10"/>
        <v>9.7647999999999939</v>
      </c>
      <c r="H340" s="61">
        <f t="shared" si="11"/>
        <v>0.20404888079038419</v>
      </c>
    </row>
    <row r="341" spans="1:8" x14ac:dyDescent="0.25">
      <c r="A341" s="55" t="s">
        <v>150</v>
      </c>
      <c r="B341" s="56" t="s">
        <v>34</v>
      </c>
      <c r="C341" s="55">
        <v>2024</v>
      </c>
      <c r="D341" s="57">
        <v>45631</v>
      </c>
      <c r="E341" s="55">
        <v>48.118299999999998</v>
      </c>
      <c r="F341" s="55">
        <v>57.71</v>
      </c>
      <c r="G341" s="69">
        <f t="shared" si="10"/>
        <v>9.591700000000003</v>
      </c>
      <c r="H341" s="61">
        <f t="shared" si="11"/>
        <v>0.19933580363396053</v>
      </c>
    </row>
    <row r="342" spans="1:8" x14ac:dyDescent="0.25">
      <c r="A342" s="55" t="s">
        <v>151</v>
      </c>
      <c r="B342" s="56" t="s">
        <v>34</v>
      </c>
      <c r="C342" s="55">
        <v>2024</v>
      </c>
      <c r="D342" s="57">
        <v>45632</v>
      </c>
      <c r="E342" s="55">
        <v>48.326500000000003</v>
      </c>
      <c r="F342" s="55">
        <v>56.84</v>
      </c>
      <c r="G342" s="69">
        <f t="shared" si="10"/>
        <v>8.5135000000000005</v>
      </c>
      <c r="H342" s="61">
        <f t="shared" si="11"/>
        <v>0.17616628557830594</v>
      </c>
    </row>
    <row r="343" spans="1:8" x14ac:dyDescent="0.25">
      <c r="A343" s="55" t="s">
        <v>152</v>
      </c>
      <c r="B343" s="56" t="s">
        <v>34</v>
      </c>
      <c r="C343" s="55">
        <v>2024</v>
      </c>
      <c r="D343" s="57">
        <v>45633</v>
      </c>
      <c r="E343" s="55">
        <v>48.326500000000003</v>
      </c>
      <c r="F343" s="55">
        <v>56.84</v>
      </c>
      <c r="G343" s="69">
        <f t="shared" si="10"/>
        <v>8.5135000000000005</v>
      </c>
      <c r="H343" s="61">
        <f t="shared" si="11"/>
        <v>0.17616628557830594</v>
      </c>
    </row>
    <row r="344" spans="1:8" x14ac:dyDescent="0.25">
      <c r="A344" s="55" t="s">
        <v>153</v>
      </c>
      <c r="B344" s="56" t="s">
        <v>34</v>
      </c>
      <c r="C344" s="55">
        <v>2024</v>
      </c>
      <c r="D344" s="57">
        <v>45634</v>
      </c>
      <c r="E344" s="55">
        <v>48.326500000000003</v>
      </c>
      <c r="F344" s="55">
        <v>56.84</v>
      </c>
      <c r="G344" s="69">
        <f t="shared" si="10"/>
        <v>8.5135000000000005</v>
      </c>
      <c r="H344" s="61">
        <f t="shared" si="11"/>
        <v>0.17616628557830594</v>
      </c>
    </row>
    <row r="345" spans="1:8" x14ac:dyDescent="0.25">
      <c r="A345" s="55" t="s">
        <v>147</v>
      </c>
      <c r="B345" s="56" t="s">
        <v>34</v>
      </c>
      <c r="C345" s="55">
        <v>2024</v>
      </c>
      <c r="D345" s="57">
        <v>45635</v>
      </c>
      <c r="E345" s="55">
        <v>48.790300000000002</v>
      </c>
      <c r="F345" s="55">
        <v>56.77</v>
      </c>
      <c r="G345" s="69">
        <f t="shared" si="10"/>
        <v>7.9797000000000011</v>
      </c>
      <c r="H345" s="61">
        <f t="shared" si="11"/>
        <v>0.16355095172606027</v>
      </c>
    </row>
    <row r="346" spans="1:8" x14ac:dyDescent="0.25">
      <c r="A346" s="55" t="s">
        <v>148</v>
      </c>
      <c r="B346" s="56" t="s">
        <v>34</v>
      </c>
      <c r="C346" s="55">
        <v>2024</v>
      </c>
      <c r="D346" s="57">
        <v>45636</v>
      </c>
      <c r="E346" s="55">
        <v>48.869500000000002</v>
      </c>
      <c r="F346" s="55">
        <v>56.94</v>
      </c>
      <c r="G346" s="69">
        <f t="shared" si="10"/>
        <v>8.0704999999999956</v>
      </c>
      <c r="H346" s="61">
        <f t="shared" si="11"/>
        <v>0.16514390366179299</v>
      </c>
    </row>
    <row r="347" spans="1:8" x14ac:dyDescent="0.25">
      <c r="A347" s="55" t="s">
        <v>149</v>
      </c>
      <c r="B347" s="56" t="s">
        <v>34</v>
      </c>
      <c r="C347" s="55">
        <v>2024</v>
      </c>
      <c r="D347" s="57">
        <v>45637</v>
      </c>
      <c r="E347" s="55">
        <v>49.1111</v>
      </c>
      <c r="F347" s="55">
        <v>57.87</v>
      </c>
      <c r="G347" s="69">
        <f t="shared" si="10"/>
        <v>8.758899999999997</v>
      </c>
      <c r="H347" s="61">
        <f t="shared" si="11"/>
        <v>0.17834868288431727</v>
      </c>
    </row>
    <row r="348" spans="1:8" x14ac:dyDescent="0.25">
      <c r="A348" s="55" t="s">
        <v>150</v>
      </c>
      <c r="B348" s="56" t="s">
        <v>34</v>
      </c>
      <c r="C348" s="55">
        <v>2024</v>
      </c>
      <c r="D348" s="57">
        <v>45638</v>
      </c>
      <c r="E348" s="55">
        <v>49.475700000000003</v>
      </c>
      <c r="F348" s="55">
        <v>57.95</v>
      </c>
      <c r="G348" s="69">
        <f t="shared" si="10"/>
        <v>8.4742999999999995</v>
      </c>
      <c r="H348" s="61">
        <f t="shared" si="11"/>
        <v>0.17128206372016974</v>
      </c>
    </row>
    <row r="349" spans="1:8" x14ac:dyDescent="0.25">
      <c r="A349" s="55" t="s">
        <v>151</v>
      </c>
      <c r="B349" s="56" t="s">
        <v>34</v>
      </c>
      <c r="C349" s="55">
        <v>2024</v>
      </c>
      <c r="D349" s="57">
        <v>45639</v>
      </c>
      <c r="E349" s="55">
        <v>49.906799999999997</v>
      </c>
      <c r="F349" s="55">
        <v>58</v>
      </c>
      <c r="G349" s="69">
        <f t="shared" si="10"/>
        <v>8.0932000000000031</v>
      </c>
      <c r="H349" s="61">
        <f t="shared" si="11"/>
        <v>0.16216627794208405</v>
      </c>
    </row>
    <row r="350" spans="1:8" x14ac:dyDescent="0.25">
      <c r="A350" s="55" t="s">
        <v>152</v>
      </c>
      <c r="B350" s="56" t="s">
        <v>34</v>
      </c>
      <c r="C350" s="55">
        <v>2024</v>
      </c>
      <c r="D350" s="57">
        <v>45640</v>
      </c>
      <c r="E350" s="55">
        <v>49.906799999999997</v>
      </c>
      <c r="F350" s="55">
        <v>58</v>
      </c>
      <c r="G350" s="69">
        <f t="shared" si="10"/>
        <v>8.0932000000000031</v>
      </c>
      <c r="H350" s="61">
        <f t="shared" si="11"/>
        <v>0.16216627794208405</v>
      </c>
    </row>
    <row r="351" spans="1:8" x14ac:dyDescent="0.25">
      <c r="A351" s="55" t="s">
        <v>153</v>
      </c>
      <c r="B351" s="56" t="s">
        <v>34</v>
      </c>
      <c r="C351" s="55">
        <v>2024</v>
      </c>
      <c r="D351" s="57">
        <v>45641</v>
      </c>
      <c r="E351" s="55">
        <v>49.906799999999997</v>
      </c>
      <c r="F351" s="55">
        <v>58</v>
      </c>
      <c r="G351" s="69">
        <f t="shared" si="10"/>
        <v>8.0932000000000031</v>
      </c>
      <c r="H351" s="61">
        <f t="shared" si="11"/>
        <v>0.16216627794208405</v>
      </c>
    </row>
    <row r="352" spans="1:8" x14ac:dyDescent="0.25">
      <c r="A352" s="55" t="s">
        <v>147</v>
      </c>
      <c r="B352" s="56" t="s">
        <v>34</v>
      </c>
      <c r="C352" s="55">
        <v>2024</v>
      </c>
      <c r="D352" s="57">
        <v>45642</v>
      </c>
      <c r="E352" s="55">
        <v>50.331899999999997</v>
      </c>
      <c r="F352" s="55">
        <v>59.2</v>
      </c>
      <c r="G352" s="69">
        <f t="shared" si="10"/>
        <v>8.8681000000000054</v>
      </c>
      <c r="H352" s="61">
        <f t="shared" si="11"/>
        <v>0.17619243461899914</v>
      </c>
    </row>
    <row r="353" spans="1:11" x14ac:dyDescent="0.25">
      <c r="A353" s="55" t="s">
        <v>148</v>
      </c>
      <c r="B353" s="56" t="s">
        <v>34</v>
      </c>
      <c r="C353" s="55">
        <v>2024</v>
      </c>
      <c r="D353" s="57">
        <v>45643</v>
      </c>
      <c r="E353" s="55">
        <v>50.371000000000002</v>
      </c>
      <c r="F353" s="55">
        <v>61.25</v>
      </c>
      <c r="G353" s="69">
        <f t="shared" si="10"/>
        <v>10.878999999999998</v>
      </c>
      <c r="H353" s="61">
        <f t="shared" si="11"/>
        <v>0.21597744734073165</v>
      </c>
    </row>
    <row r="354" spans="1:11" x14ac:dyDescent="0.25">
      <c r="A354" s="55" t="s">
        <v>149</v>
      </c>
      <c r="B354" s="56" t="s">
        <v>34</v>
      </c>
      <c r="C354" s="55">
        <v>2024</v>
      </c>
      <c r="D354" s="57">
        <v>45644</v>
      </c>
      <c r="E354" s="55">
        <v>50.541899999999998</v>
      </c>
      <c r="F354" s="55">
        <v>62.55</v>
      </c>
      <c r="G354" s="69">
        <f t="shared" si="10"/>
        <v>12.008099999999999</v>
      </c>
      <c r="H354" s="61">
        <f t="shared" si="11"/>
        <v>0.23758703174989471</v>
      </c>
    </row>
    <row r="355" spans="1:11" x14ac:dyDescent="0.25">
      <c r="A355" s="55" t="s">
        <v>150</v>
      </c>
      <c r="B355" s="56" t="s">
        <v>34</v>
      </c>
      <c r="C355" s="55">
        <v>2024</v>
      </c>
      <c r="D355" s="57">
        <v>45645</v>
      </c>
      <c r="E355" s="55">
        <v>50.954500000000003</v>
      </c>
      <c r="F355" s="55">
        <v>64.760000000000005</v>
      </c>
      <c r="G355" s="69">
        <f t="shared" si="10"/>
        <v>13.805500000000002</v>
      </c>
      <c r="H355" s="61">
        <f t="shared" si="11"/>
        <v>0.27093779744674173</v>
      </c>
    </row>
    <row r="356" spans="1:11" x14ac:dyDescent="0.25">
      <c r="A356" s="55" t="s">
        <v>151</v>
      </c>
      <c r="B356" s="56" t="s">
        <v>34</v>
      </c>
      <c r="C356" s="55">
        <v>2024</v>
      </c>
      <c r="D356" s="57">
        <v>45646</v>
      </c>
      <c r="E356" s="55">
        <v>51.3504</v>
      </c>
      <c r="F356" s="55">
        <v>64.900000000000006</v>
      </c>
      <c r="G356" s="69">
        <f t="shared" si="10"/>
        <v>13.549600000000005</v>
      </c>
      <c r="H356" s="61">
        <f t="shared" si="11"/>
        <v>0.2638655200348976</v>
      </c>
    </row>
    <row r="357" spans="1:11" x14ac:dyDescent="0.25">
      <c r="A357" s="55" t="s">
        <v>152</v>
      </c>
      <c r="B357" s="56" t="s">
        <v>34</v>
      </c>
      <c r="C357" s="55">
        <v>2024</v>
      </c>
      <c r="D357" s="57">
        <v>45647</v>
      </c>
      <c r="E357" s="55">
        <v>51.3504</v>
      </c>
      <c r="F357" s="55">
        <v>64.900000000000006</v>
      </c>
      <c r="G357" s="69">
        <f t="shared" si="10"/>
        <v>13.549600000000005</v>
      </c>
      <c r="H357" s="61">
        <f t="shared" si="11"/>
        <v>0.2638655200348976</v>
      </c>
    </row>
    <row r="358" spans="1:11" x14ac:dyDescent="0.25">
      <c r="A358" s="55" t="s">
        <v>153</v>
      </c>
      <c r="B358" s="56" t="s">
        <v>34</v>
      </c>
      <c r="C358" s="55">
        <v>2024</v>
      </c>
      <c r="D358" s="57">
        <v>45648</v>
      </c>
      <c r="E358" s="55">
        <v>51.3504</v>
      </c>
      <c r="F358" s="55">
        <v>64.900000000000006</v>
      </c>
      <c r="G358" s="69">
        <f t="shared" si="10"/>
        <v>13.549600000000005</v>
      </c>
      <c r="H358" s="61">
        <f t="shared" si="11"/>
        <v>0.2638655200348976</v>
      </c>
    </row>
    <row r="359" spans="1:11" x14ac:dyDescent="0.25">
      <c r="A359" s="55" t="s">
        <v>147</v>
      </c>
      <c r="B359" s="56" t="s">
        <v>34</v>
      </c>
      <c r="C359" s="55">
        <v>2024</v>
      </c>
      <c r="D359" s="57">
        <v>45649</v>
      </c>
      <c r="E359" s="55">
        <v>51.5398</v>
      </c>
      <c r="F359" s="55">
        <v>63.4</v>
      </c>
      <c r="G359" s="69">
        <f t="shared" si="10"/>
        <v>11.860199999999999</v>
      </c>
      <c r="H359" s="61">
        <f t="shared" si="11"/>
        <v>0.23011730740127057</v>
      </c>
    </row>
    <row r="360" spans="1:11" x14ac:dyDescent="0.25">
      <c r="A360" s="55" t="s">
        <v>148</v>
      </c>
      <c r="B360" s="56" t="s">
        <v>34</v>
      </c>
      <c r="C360" s="55">
        <v>2024</v>
      </c>
      <c r="D360" s="57">
        <v>45650</v>
      </c>
      <c r="E360" s="55">
        <v>51.5398</v>
      </c>
      <c r="F360" s="55">
        <v>63.4</v>
      </c>
      <c r="G360" s="69">
        <f t="shared" si="10"/>
        <v>11.860199999999999</v>
      </c>
      <c r="H360" s="61">
        <f t="shared" si="11"/>
        <v>0.23011730740127057</v>
      </c>
    </row>
    <row r="361" spans="1:11" x14ac:dyDescent="0.25">
      <c r="A361" s="55" t="s">
        <v>149</v>
      </c>
      <c r="B361" s="56" t="s">
        <v>34</v>
      </c>
      <c r="C361" s="55">
        <v>2024</v>
      </c>
      <c r="D361" s="57">
        <v>45651</v>
      </c>
      <c r="E361" s="55">
        <v>51.5398</v>
      </c>
      <c r="F361" s="55">
        <v>63.4</v>
      </c>
      <c r="G361" s="69">
        <f t="shared" si="10"/>
        <v>11.860199999999999</v>
      </c>
      <c r="H361" s="61">
        <f t="shared" si="11"/>
        <v>0.23011730740127057</v>
      </c>
    </row>
    <row r="362" spans="1:11" x14ac:dyDescent="0.25">
      <c r="A362" s="55" t="s">
        <v>150</v>
      </c>
      <c r="B362" s="56" t="s">
        <v>34</v>
      </c>
      <c r="C362" s="55">
        <v>2024</v>
      </c>
      <c r="D362" s="57">
        <v>45652</v>
      </c>
      <c r="E362" s="55">
        <v>51.64</v>
      </c>
      <c r="F362" s="55">
        <v>66.989999999999995</v>
      </c>
      <c r="G362" s="69">
        <f t="shared" si="10"/>
        <v>15.349999999999994</v>
      </c>
      <c r="H362" s="61">
        <f t="shared" si="11"/>
        <v>0.29725019364833449</v>
      </c>
    </row>
    <row r="363" spans="1:11" x14ac:dyDescent="0.25">
      <c r="A363" s="55" t="s">
        <v>151</v>
      </c>
      <c r="B363" s="56" t="s">
        <v>34</v>
      </c>
      <c r="C363" s="55">
        <v>2024</v>
      </c>
      <c r="D363" s="57">
        <v>45653</v>
      </c>
      <c r="E363" s="55">
        <v>51.765900000000002</v>
      </c>
      <c r="F363" s="55">
        <v>69.13</v>
      </c>
      <c r="G363" s="69">
        <f t="shared" si="10"/>
        <v>17.364099999999993</v>
      </c>
      <c r="H363" s="61">
        <f t="shared" si="11"/>
        <v>0.33543510303114576</v>
      </c>
    </row>
    <row r="364" spans="1:11" x14ac:dyDescent="0.25">
      <c r="A364" s="55" t="s">
        <v>152</v>
      </c>
      <c r="B364" s="56" t="s">
        <v>34</v>
      </c>
      <c r="C364" s="55">
        <v>2024</v>
      </c>
      <c r="D364" s="57">
        <v>45654</v>
      </c>
      <c r="E364" s="55">
        <v>51.765900000000002</v>
      </c>
      <c r="F364" s="55">
        <v>69.13</v>
      </c>
      <c r="G364" s="69">
        <f t="shared" si="10"/>
        <v>17.364099999999993</v>
      </c>
      <c r="H364" s="61">
        <f t="shared" si="11"/>
        <v>0.33543510303114576</v>
      </c>
    </row>
    <row r="365" spans="1:11" x14ac:dyDescent="0.25">
      <c r="A365" s="55" t="s">
        <v>153</v>
      </c>
      <c r="B365" s="56" t="s">
        <v>34</v>
      </c>
      <c r="C365" s="55">
        <v>2024</v>
      </c>
      <c r="D365" s="57">
        <v>45655</v>
      </c>
      <c r="E365" s="55">
        <v>51.765900000000002</v>
      </c>
      <c r="F365" s="55">
        <v>69.13</v>
      </c>
      <c r="G365" s="69">
        <f t="shared" si="10"/>
        <v>17.364099999999993</v>
      </c>
      <c r="H365" s="61">
        <f t="shared" si="11"/>
        <v>0.33543510303114576</v>
      </c>
    </row>
    <row r="366" spans="1:11" x14ac:dyDescent="0.25">
      <c r="A366" s="55" t="s">
        <v>147</v>
      </c>
      <c r="B366" s="56" t="s">
        <v>34</v>
      </c>
      <c r="C366" s="55">
        <v>2024</v>
      </c>
      <c r="D366" s="57">
        <v>45656</v>
      </c>
      <c r="E366" s="55">
        <v>51.9345</v>
      </c>
      <c r="F366" s="55">
        <v>66.25</v>
      </c>
      <c r="G366" s="69">
        <f t="shared" si="10"/>
        <v>14.3155</v>
      </c>
      <c r="H366" s="61">
        <f t="shared" si="11"/>
        <v>0.275645283963454</v>
      </c>
    </row>
    <row r="367" spans="1:11" x14ac:dyDescent="0.25">
      <c r="A367" s="55" t="s">
        <v>148</v>
      </c>
      <c r="B367" s="56" t="s">
        <v>34</v>
      </c>
      <c r="C367" s="55">
        <v>2024</v>
      </c>
      <c r="D367" s="57">
        <v>45657</v>
      </c>
      <c r="E367" s="55">
        <v>51.9345</v>
      </c>
      <c r="F367" s="55">
        <v>66.25</v>
      </c>
      <c r="G367" s="69">
        <f t="shared" si="10"/>
        <v>14.3155</v>
      </c>
      <c r="H367" s="61">
        <f t="shared" si="11"/>
        <v>0.275645283963454</v>
      </c>
      <c r="I367" t="str">
        <f>+TRIM(B367&amp;C367)</f>
        <v>DICIEMBRE2024</v>
      </c>
      <c r="J367" s="53">
        <f>+AVERAGE(E337:E367)</f>
        <v>50.04022903225809</v>
      </c>
      <c r="K367" s="53">
        <f>+AVERAGE(F337:F367)</f>
        <v>60.959154838709708</v>
      </c>
    </row>
    <row r="368" spans="1:11" x14ac:dyDescent="0.25">
      <c r="A368" s="55" t="s">
        <v>149</v>
      </c>
      <c r="B368" s="56" t="s">
        <v>23</v>
      </c>
      <c r="C368" s="55">
        <v>2025</v>
      </c>
      <c r="D368" s="57">
        <v>45658</v>
      </c>
      <c r="E368" s="63">
        <v>51.9345</v>
      </c>
      <c r="F368" s="55">
        <v>66.25</v>
      </c>
      <c r="G368" s="69">
        <f t="shared" si="10"/>
        <v>14.3155</v>
      </c>
      <c r="H368" s="61">
        <f t="shared" si="11"/>
        <v>0.275645283963454</v>
      </c>
    </row>
    <row r="369" spans="1:9" x14ac:dyDescent="0.25">
      <c r="A369" s="55" t="s">
        <v>150</v>
      </c>
      <c r="B369" s="56" t="s">
        <v>23</v>
      </c>
      <c r="C369" s="55">
        <v>2025</v>
      </c>
      <c r="D369" s="57">
        <v>45659</v>
      </c>
      <c r="E369" s="55">
        <v>52.027099999999997</v>
      </c>
      <c r="F369" s="55">
        <v>66.59</v>
      </c>
      <c r="G369" s="69">
        <f t="shared" si="10"/>
        <v>14.562900000000006</v>
      </c>
      <c r="H369" s="61">
        <f t="shared" si="11"/>
        <v>0.27990989311339676</v>
      </c>
    </row>
    <row r="370" spans="1:9" x14ac:dyDescent="0.25">
      <c r="A370" s="55" t="s">
        <v>151</v>
      </c>
      <c r="B370" s="56" t="s">
        <v>23</v>
      </c>
      <c r="C370" s="55">
        <v>2025</v>
      </c>
      <c r="D370" s="57">
        <v>45660</v>
      </c>
      <c r="E370" s="55">
        <v>52.572299999999998</v>
      </c>
      <c r="F370" s="55">
        <v>67.08</v>
      </c>
      <c r="G370" s="69">
        <f t="shared" si="10"/>
        <v>14.5077</v>
      </c>
      <c r="H370" s="61">
        <f t="shared" si="11"/>
        <v>0.27595711049354898</v>
      </c>
    </row>
    <row r="371" spans="1:9" x14ac:dyDescent="0.25">
      <c r="A371" s="55" t="s">
        <v>152</v>
      </c>
      <c r="B371" s="56" t="s">
        <v>23</v>
      </c>
      <c r="C371" s="55">
        <v>2025</v>
      </c>
      <c r="D371" s="57">
        <v>45661</v>
      </c>
      <c r="E371" s="55">
        <v>52.572299999999998</v>
      </c>
      <c r="F371" s="55">
        <v>67.08</v>
      </c>
      <c r="G371" s="69">
        <f t="shared" si="10"/>
        <v>14.5077</v>
      </c>
      <c r="H371" s="61">
        <f t="shared" si="11"/>
        <v>0.27595711049354898</v>
      </c>
    </row>
    <row r="372" spans="1:9" x14ac:dyDescent="0.25">
      <c r="A372" s="55" t="s">
        <v>153</v>
      </c>
      <c r="B372" s="56" t="s">
        <v>23</v>
      </c>
      <c r="C372" s="55">
        <v>2025</v>
      </c>
      <c r="D372" s="57">
        <v>45662</v>
      </c>
      <c r="E372" s="55">
        <v>52.572299999999998</v>
      </c>
      <c r="F372" s="55">
        <v>67.08</v>
      </c>
      <c r="G372" s="69">
        <f t="shared" si="10"/>
        <v>14.5077</v>
      </c>
      <c r="H372" s="61">
        <f t="shared" si="11"/>
        <v>0.27595711049354898</v>
      </c>
    </row>
    <row r="373" spans="1:9" x14ac:dyDescent="0.25">
      <c r="A373" s="55" t="s">
        <v>147</v>
      </c>
      <c r="B373" s="56" t="s">
        <v>23</v>
      </c>
      <c r="C373" s="55">
        <v>2025</v>
      </c>
      <c r="D373" s="57">
        <v>45663</v>
      </c>
      <c r="E373" s="55">
        <v>52.572299999999998</v>
      </c>
      <c r="F373" s="55">
        <v>65.77</v>
      </c>
      <c r="G373" s="69">
        <f t="shared" si="10"/>
        <v>13.197699999999998</v>
      </c>
      <c r="H373" s="61">
        <f t="shared" si="11"/>
        <v>0.25103904527669507</v>
      </c>
    </row>
    <row r="374" spans="1:9" x14ac:dyDescent="0.25">
      <c r="A374" s="55" t="s">
        <v>148</v>
      </c>
      <c r="B374" s="56" t="s">
        <v>23</v>
      </c>
      <c r="C374" s="55">
        <v>2025</v>
      </c>
      <c r="D374" s="57">
        <v>45664</v>
      </c>
      <c r="E374" s="55">
        <v>53.012</v>
      </c>
      <c r="F374" s="55">
        <v>65.099999999999994</v>
      </c>
      <c r="G374" s="69">
        <f t="shared" si="10"/>
        <v>12.087999999999994</v>
      </c>
      <c r="H374" s="61">
        <f t="shared" si="11"/>
        <v>0.22802384365803952</v>
      </c>
    </row>
    <row r="375" spans="1:9" x14ac:dyDescent="0.25">
      <c r="A375" s="55" t="s">
        <v>149</v>
      </c>
      <c r="B375" s="56" t="s">
        <v>23</v>
      </c>
      <c r="C375" s="55">
        <v>2025</v>
      </c>
      <c r="D375" s="57">
        <v>45665</v>
      </c>
      <c r="E375" s="55">
        <v>53.070399999999999</v>
      </c>
      <c r="F375" s="55">
        <v>66.89</v>
      </c>
      <c r="G375" s="69">
        <f t="shared" si="10"/>
        <v>13.819600000000001</v>
      </c>
      <c r="H375" s="61">
        <f t="shared" si="11"/>
        <v>0.26040127830202908</v>
      </c>
    </row>
    <row r="376" spans="1:9" x14ac:dyDescent="0.25">
      <c r="A376" s="55" t="s">
        <v>150</v>
      </c>
      <c r="B376" s="56" t="s">
        <v>23</v>
      </c>
      <c r="C376" s="55">
        <v>2025</v>
      </c>
      <c r="D376" s="57">
        <v>45666</v>
      </c>
      <c r="E376" s="55">
        <v>53.282699999999998</v>
      </c>
      <c r="F376" s="55">
        <v>67.569999999999993</v>
      </c>
      <c r="G376" s="69">
        <f t="shared" si="10"/>
        <v>14.287299999999995</v>
      </c>
      <c r="H376" s="61">
        <f t="shared" si="11"/>
        <v>0.26814144178129107</v>
      </c>
    </row>
    <row r="377" spans="1:9" x14ac:dyDescent="0.25">
      <c r="A377" s="55" t="s">
        <v>151</v>
      </c>
      <c r="B377" s="56" t="s">
        <v>23</v>
      </c>
      <c r="C377" s="55">
        <v>2025</v>
      </c>
      <c r="D377" s="57">
        <v>45667</v>
      </c>
      <c r="E377" s="55">
        <v>53.852200000000003</v>
      </c>
      <c r="F377" s="55">
        <v>68.23</v>
      </c>
      <c r="G377" s="69">
        <f t="shared" si="10"/>
        <v>14.377800000000001</v>
      </c>
      <c r="H377" s="61">
        <f t="shared" si="11"/>
        <v>0.26698630696610359</v>
      </c>
    </row>
    <row r="378" spans="1:9" x14ac:dyDescent="0.25">
      <c r="A378" s="55" t="s">
        <v>152</v>
      </c>
      <c r="B378" s="56" t="s">
        <v>23</v>
      </c>
      <c r="C378" s="55">
        <v>2025</v>
      </c>
      <c r="D378" s="57">
        <v>45668</v>
      </c>
      <c r="E378" s="55">
        <v>53.852200000000003</v>
      </c>
      <c r="F378" s="55">
        <v>68.23</v>
      </c>
      <c r="G378" s="69">
        <f t="shared" si="10"/>
        <v>14.377800000000001</v>
      </c>
      <c r="H378" s="61">
        <f t="shared" si="11"/>
        <v>0.26698630696610359</v>
      </c>
    </row>
    <row r="379" spans="1:9" x14ac:dyDescent="0.25">
      <c r="A379" s="55" t="s">
        <v>153</v>
      </c>
      <c r="B379" s="56" t="s">
        <v>23</v>
      </c>
      <c r="C379" s="55">
        <v>2025</v>
      </c>
      <c r="D379" s="57">
        <v>45669</v>
      </c>
      <c r="E379" s="55">
        <v>53.852200000000003</v>
      </c>
      <c r="F379" s="55">
        <v>68.23</v>
      </c>
      <c r="G379" s="69">
        <f t="shared" si="10"/>
        <v>14.377800000000001</v>
      </c>
      <c r="H379" s="61">
        <f t="shared" si="11"/>
        <v>0.26698630696610359</v>
      </c>
    </row>
    <row r="380" spans="1:9" x14ac:dyDescent="0.25">
      <c r="A380" s="55" t="s">
        <v>147</v>
      </c>
      <c r="B380" s="56" t="s">
        <v>23</v>
      </c>
      <c r="C380" s="55">
        <v>2025</v>
      </c>
      <c r="D380" s="57">
        <v>45670</v>
      </c>
      <c r="E380" s="55">
        <v>53.852200000000003</v>
      </c>
      <c r="F380" s="55">
        <v>65.97</v>
      </c>
      <c r="G380" s="69">
        <f t="shared" si="10"/>
        <v>12.117799999999995</v>
      </c>
      <c r="H380" s="61">
        <f t="shared" si="11"/>
        <v>0.22501959065739174</v>
      </c>
    </row>
    <row r="381" spans="1:9" x14ac:dyDescent="0.25">
      <c r="A381" s="55" t="s">
        <v>148</v>
      </c>
      <c r="B381" s="56" t="s">
        <v>23</v>
      </c>
      <c r="C381" s="55">
        <v>2025</v>
      </c>
      <c r="D381" s="57">
        <v>45671</v>
      </c>
      <c r="E381" s="55">
        <v>53.879100000000001</v>
      </c>
      <c r="F381" s="55">
        <v>65.099999999999994</v>
      </c>
      <c r="G381" s="69">
        <f t="shared" si="10"/>
        <v>11.220899999999993</v>
      </c>
      <c r="H381" s="61">
        <f t="shared" si="11"/>
        <v>0.20826071704983917</v>
      </c>
    </row>
    <row r="382" spans="1:9" x14ac:dyDescent="0.25">
      <c r="A382" s="55" t="s">
        <v>149</v>
      </c>
      <c r="B382" s="56" t="s">
        <v>23</v>
      </c>
      <c r="C382" s="55">
        <v>2025</v>
      </c>
      <c r="D382" s="57">
        <v>45672</v>
      </c>
      <c r="E382" s="63">
        <v>53.964199999999998</v>
      </c>
      <c r="F382" s="55">
        <v>65.2</v>
      </c>
      <c r="G382" s="69">
        <f t="shared" si="10"/>
        <v>11.235800000000005</v>
      </c>
      <c r="H382" s="61">
        <f t="shared" si="11"/>
        <v>0.20820840483135128</v>
      </c>
      <c r="I382" s="1">
        <f>+E382/E368-1</f>
        <v>3.9081920496009337E-2</v>
      </c>
    </row>
    <row r="383" spans="1:9" x14ac:dyDescent="0.25">
      <c r="A383" s="55" t="s">
        <v>150</v>
      </c>
      <c r="B383" s="56" t="s">
        <v>23</v>
      </c>
      <c r="C383" s="55">
        <v>2025</v>
      </c>
      <c r="D383" s="57">
        <v>45673</v>
      </c>
      <c r="E383" s="55">
        <v>54.369399999999999</v>
      </c>
      <c r="F383" s="55">
        <v>64.72</v>
      </c>
      <c r="G383" s="69">
        <f t="shared" si="10"/>
        <v>10.3506</v>
      </c>
      <c r="H383" s="61">
        <f t="shared" si="11"/>
        <v>0.19037546855400289</v>
      </c>
      <c r="I383" s="1">
        <f>+F382/F368-1</f>
        <v>-1.5849056603773559E-2</v>
      </c>
    </row>
    <row r="384" spans="1:9" x14ac:dyDescent="0.25">
      <c r="A384" s="55" t="s">
        <v>151</v>
      </c>
      <c r="B384" s="56" t="s">
        <v>23</v>
      </c>
      <c r="C384" s="55">
        <v>2025</v>
      </c>
      <c r="D384" s="57">
        <v>45674</v>
      </c>
      <c r="E384" s="55">
        <v>54.76</v>
      </c>
      <c r="F384" s="55">
        <v>64.709999999999994</v>
      </c>
      <c r="G384" s="69">
        <f t="shared" si="10"/>
        <v>9.9499999999999957</v>
      </c>
      <c r="H384" s="61">
        <f t="shared" si="11"/>
        <v>0.18170197224251261</v>
      </c>
    </row>
    <row r="385" spans="1:11" x14ac:dyDescent="0.25">
      <c r="A385" s="55" t="s">
        <v>152</v>
      </c>
      <c r="B385" s="56" t="s">
        <v>23</v>
      </c>
      <c r="C385" s="55">
        <v>2025</v>
      </c>
      <c r="D385" s="57">
        <v>45675</v>
      </c>
      <c r="E385" s="55">
        <v>54.76</v>
      </c>
      <c r="F385" s="55">
        <v>64.709999999999994</v>
      </c>
      <c r="G385" s="69">
        <f t="shared" si="10"/>
        <v>9.9499999999999957</v>
      </c>
      <c r="H385" s="61">
        <f t="shared" si="11"/>
        <v>0.18170197224251261</v>
      </c>
    </row>
    <row r="386" spans="1:11" x14ac:dyDescent="0.25">
      <c r="A386" s="55" t="s">
        <v>153</v>
      </c>
      <c r="B386" s="56" t="s">
        <v>23</v>
      </c>
      <c r="C386" s="55">
        <v>2025</v>
      </c>
      <c r="D386" s="57">
        <v>45676</v>
      </c>
      <c r="E386" s="55">
        <v>54.76</v>
      </c>
      <c r="F386" s="55">
        <v>64.709999999999994</v>
      </c>
      <c r="G386" s="69">
        <f t="shared" si="10"/>
        <v>9.9499999999999957</v>
      </c>
      <c r="H386" s="61">
        <f t="shared" si="11"/>
        <v>0.18170197224251261</v>
      </c>
    </row>
    <row r="387" spans="1:11" x14ac:dyDescent="0.25">
      <c r="A387" s="55" t="s">
        <v>147</v>
      </c>
      <c r="B387" s="56" t="s">
        <v>23</v>
      </c>
      <c r="C387" s="55">
        <v>2025</v>
      </c>
      <c r="D387" s="57">
        <v>45677</v>
      </c>
      <c r="E387" s="55">
        <v>54.911299999999997</v>
      </c>
      <c r="F387" s="55">
        <v>64.27</v>
      </c>
      <c r="G387" s="69">
        <f t="shared" ref="G387:G421" si="12">+F387-E387</f>
        <v>9.3586999999999989</v>
      </c>
      <c r="H387" s="61">
        <f t="shared" ref="H387:H421" si="13">+F387/E387-1</f>
        <v>0.17043304383615032</v>
      </c>
    </row>
    <row r="388" spans="1:11" x14ac:dyDescent="0.25">
      <c r="A388" s="55" t="s">
        <v>148</v>
      </c>
      <c r="B388" s="56" t="s">
        <v>23</v>
      </c>
      <c r="C388" s="55">
        <v>2025</v>
      </c>
      <c r="D388" s="57">
        <v>45678</v>
      </c>
      <c r="E388" s="55">
        <v>54.985199999999999</v>
      </c>
      <c r="F388" s="55">
        <v>65.48</v>
      </c>
      <c r="G388" s="69">
        <f t="shared" si="12"/>
        <v>10.494800000000005</v>
      </c>
      <c r="H388" s="61">
        <f t="shared" si="13"/>
        <v>0.19086590573463424</v>
      </c>
    </row>
    <row r="389" spans="1:11" x14ac:dyDescent="0.25">
      <c r="A389" s="55" t="s">
        <v>149</v>
      </c>
      <c r="B389" s="56" t="s">
        <v>23</v>
      </c>
      <c r="C389" s="55">
        <v>2025</v>
      </c>
      <c r="D389" s="57">
        <v>45679</v>
      </c>
      <c r="E389" s="55">
        <v>55.299900000000001</v>
      </c>
      <c r="F389" s="55">
        <v>66.81</v>
      </c>
      <c r="G389" s="69">
        <f t="shared" si="12"/>
        <v>11.510100000000001</v>
      </c>
      <c r="H389" s="61">
        <f t="shared" si="13"/>
        <v>0.20813961688899973</v>
      </c>
    </row>
    <row r="390" spans="1:11" x14ac:dyDescent="0.25">
      <c r="A390" s="55" t="s">
        <v>150</v>
      </c>
      <c r="B390" s="56" t="s">
        <v>23</v>
      </c>
      <c r="C390" s="55">
        <v>2025</v>
      </c>
      <c r="D390" s="57">
        <v>45680</v>
      </c>
      <c r="E390" s="55">
        <v>55.761099999999999</v>
      </c>
      <c r="F390" s="55">
        <v>67</v>
      </c>
      <c r="G390" s="69">
        <f t="shared" si="12"/>
        <v>11.238900000000001</v>
      </c>
      <c r="H390" s="61">
        <f t="shared" si="13"/>
        <v>0.20155448870269788</v>
      </c>
    </row>
    <row r="391" spans="1:11" x14ac:dyDescent="0.25">
      <c r="A391" s="55" t="s">
        <v>151</v>
      </c>
      <c r="B391" s="56" t="s">
        <v>23</v>
      </c>
      <c r="C391" s="55">
        <v>2025</v>
      </c>
      <c r="D391" s="57">
        <v>45681</v>
      </c>
      <c r="E391" s="55">
        <v>56.283000000000001</v>
      </c>
      <c r="F391" s="55">
        <v>65.739999999999995</v>
      </c>
      <c r="G391" s="69">
        <f t="shared" si="12"/>
        <v>9.4569999999999936</v>
      </c>
      <c r="H391" s="61">
        <f t="shared" si="13"/>
        <v>0.16802586926780716</v>
      </c>
    </row>
    <row r="392" spans="1:11" x14ac:dyDescent="0.25">
      <c r="A392" s="55" t="s">
        <v>152</v>
      </c>
      <c r="B392" s="56" t="s">
        <v>23</v>
      </c>
      <c r="C392" s="55">
        <v>2025</v>
      </c>
      <c r="D392" s="57">
        <v>45682</v>
      </c>
      <c r="E392" s="55">
        <v>56.283000000000001</v>
      </c>
      <c r="F392" s="55">
        <v>65.739999999999995</v>
      </c>
      <c r="G392" s="69">
        <f t="shared" si="12"/>
        <v>9.4569999999999936</v>
      </c>
      <c r="H392" s="61">
        <f t="shared" si="13"/>
        <v>0.16802586926780716</v>
      </c>
    </row>
    <row r="393" spans="1:11" x14ac:dyDescent="0.25">
      <c r="A393" s="55" t="s">
        <v>153</v>
      </c>
      <c r="B393" s="56" t="s">
        <v>23</v>
      </c>
      <c r="C393" s="55">
        <v>2025</v>
      </c>
      <c r="D393" s="57">
        <v>45683</v>
      </c>
      <c r="E393" s="55">
        <v>56.283000000000001</v>
      </c>
      <c r="F393" s="55">
        <v>65.739999999999995</v>
      </c>
      <c r="G393" s="69">
        <f t="shared" si="12"/>
        <v>9.4569999999999936</v>
      </c>
      <c r="H393" s="61">
        <f t="shared" si="13"/>
        <v>0.16802586926780716</v>
      </c>
    </row>
    <row r="394" spans="1:11" x14ac:dyDescent="0.25">
      <c r="A394" s="55" t="s">
        <v>147</v>
      </c>
      <c r="B394" s="56" t="s">
        <v>23</v>
      </c>
      <c r="C394" s="55">
        <v>2025</v>
      </c>
      <c r="D394" s="57">
        <v>45684</v>
      </c>
      <c r="E394" s="55">
        <v>56.652200000000001</v>
      </c>
      <c r="F394" s="55">
        <v>66.45</v>
      </c>
      <c r="G394" s="69">
        <f t="shared" si="12"/>
        <v>9.7978000000000023</v>
      </c>
      <c r="H394" s="61">
        <f t="shared" si="13"/>
        <v>0.17294650516661325</v>
      </c>
    </row>
    <row r="395" spans="1:11" x14ac:dyDescent="0.25">
      <c r="A395" s="55" t="s">
        <v>148</v>
      </c>
      <c r="B395" s="56" t="s">
        <v>23</v>
      </c>
      <c r="C395" s="55">
        <v>2025</v>
      </c>
      <c r="D395" s="57">
        <v>45685</v>
      </c>
      <c r="E395" s="55">
        <v>56.856200000000001</v>
      </c>
      <c r="F395" s="55">
        <v>68.430000000000007</v>
      </c>
      <c r="G395" s="69">
        <f t="shared" si="12"/>
        <v>11.573800000000006</v>
      </c>
      <c r="H395" s="61">
        <f t="shared" si="13"/>
        <v>0.20356267214481449</v>
      </c>
    </row>
    <row r="396" spans="1:11" x14ac:dyDescent="0.25">
      <c r="A396" s="55" t="s">
        <v>149</v>
      </c>
      <c r="B396" s="56" t="s">
        <v>23</v>
      </c>
      <c r="C396" s="55">
        <v>2025</v>
      </c>
      <c r="D396" s="57">
        <v>45686</v>
      </c>
      <c r="E396" s="55">
        <v>57.297400000000003</v>
      </c>
      <c r="F396" s="55">
        <v>69.8</v>
      </c>
      <c r="G396" s="69">
        <f t="shared" si="12"/>
        <v>12.502599999999994</v>
      </c>
      <c r="H396" s="61">
        <f t="shared" si="13"/>
        <v>0.21820536359415943</v>
      </c>
    </row>
    <row r="397" spans="1:11" x14ac:dyDescent="0.25">
      <c r="A397" s="55" t="s">
        <v>150</v>
      </c>
      <c r="B397" s="56" t="s">
        <v>23</v>
      </c>
      <c r="C397" s="55">
        <v>2025</v>
      </c>
      <c r="D397" s="57">
        <v>45687</v>
      </c>
      <c r="E397" s="55">
        <v>57.392899999999997</v>
      </c>
      <c r="F397" s="55">
        <v>69.540000000000006</v>
      </c>
      <c r="G397" s="69">
        <f t="shared" si="12"/>
        <v>12.147100000000009</v>
      </c>
      <c r="H397" s="61">
        <f t="shared" si="13"/>
        <v>0.21164813069212407</v>
      </c>
      <c r="I397" s="1">
        <f>+E398/E382-1</f>
        <v>7.416768894934056E-2</v>
      </c>
      <c r="J397" s="1">
        <f>+F398/F382-1</f>
        <v>4.8159509202454043E-2</v>
      </c>
    </row>
    <row r="398" spans="1:11" x14ac:dyDescent="0.25">
      <c r="A398" s="55" t="s">
        <v>151</v>
      </c>
      <c r="B398" s="56" t="s">
        <v>23</v>
      </c>
      <c r="C398" s="55">
        <v>2025</v>
      </c>
      <c r="D398" s="57">
        <v>45688</v>
      </c>
      <c r="E398" s="63">
        <v>57.9666</v>
      </c>
      <c r="F398" s="55">
        <v>68.34</v>
      </c>
      <c r="G398" s="69">
        <f t="shared" si="12"/>
        <v>10.373400000000004</v>
      </c>
      <c r="H398" s="61">
        <f t="shared" si="13"/>
        <v>0.17895477740629961</v>
      </c>
      <c r="I398" t="str">
        <f>+TRIM(B398&amp;C398)</f>
        <v>ENERO2025</v>
      </c>
      <c r="J398" s="53">
        <f>+AVERAGE(E368:E398)</f>
        <v>54.564167741935478</v>
      </c>
      <c r="K398" s="53">
        <f>+AVERAGE(F368:F398)</f>
        <v>66.534193548387094</v>
      </c>
    </row>
    <row r="399" spans="1:11" x14ac:dyDescent="0.25">
      <c r="A399" s="55" t="s">
        <v>152</v>
      </c>
      <c r="B399" s="56" t="s">
        <v>24</v>
      </c>
      <c r="C399" s="55">
        <v>2025</v>
      </c>
      <c r="D399" s="57">
        <v>45689</v>
      </c>
      <c r="E399" s="64">
        <v>57.9666</v>
      </c>
      <c r="F399" s="55">
        <v>68.34</v>
      </c>
      <c r="G399" s="69">
        <f t="shared" si="12"/>
        <v>10.373400000000004</v>
      </c>
      <c r="H399" s="61">
        <f t="shared" si="13"/>
        <v>0.17895477740629961</v>
      </c>
    </row>
    <row r="400" spans="1:11" x14ac:dyDescent="0.25">
      <c r="A400" s="55" t="s">
        <v>153</v>
      </c>
      <c r="B400" s="56" t="s">
        <v>24</v>
      </c>
      <c r="C400" s="55">
        <v>2025</v>
      </c>
      <c r="D400" s="57">
        <v>45690</v>
      </c>
      <c r="E400" s="55">
        <v>57.9666</v>
      </c>
      <c r="F400" s="55">
        <v>68.34</v>
      </c>
      <c r="G400" s="69">
        <f t="shared" si="12"/>
        <v>10.373400000000004</v>
      </c>
      <c r="H400" s="61">
        <f t="shared" si="13"/>
        <v>0.17895477740629961</v>
      </c>
    </row>
    <row r="401" spans="1:9" x14ac:dyDescent="0.25">
      <c r="A401" s="55" t="s">
        <v>147</v>
      </c>
      <c r="B401" s="56" t="s">
        <v>24</v>
      </c>
      <c r="C401" s="55">
        <v>2025</v>
      </c>
      <c r="D401" s="57">
        <v>45691</v>
      </c>
      <c r="E401" s="55">
        <v>58.4437</v>
      </c>
      <c r="F401" s="55">
        <v>69.349999999999994</v>
      </c>
      <c r="G401" s="69">
        <f t="shared" si="12"/>
        <v>10.906299999999995</v>
      </c>
      <c r="H401" s="61">
        <f t="shared" si="13"/>
        <v>0.18661207281537617</v>
      </c>
    </row>
    <row r="402" spans="1:9" x14ac:dyDescent="0.25">
      <c r="A402" s="55" t="s">
        <v>148</v>
      </c>
      <c r="B402" s="56" t="s">
        <v>24</v>
      </c>
      <c r="C402" s="55">
        <v>2025</v>
      </c>
      <c r="D402" s="57">
        <v>45692</v>
      </c>
      <c r="E402" s="55">
        <v>58.540399999999998</v>
      </c>
      <c r="F402" s="55">
        <v>71.31</v>
      </c>
      <c r="G402" s="69">
        <f t="shared" si="12"/>
        <v>12.769600000000004</v>
      </c>
      <c r="H402" s="61">
        <f t="shared" si="13"/>
        <v>0.2181331183251225</v>
      </c>
    </row>
    <row r="403" spans="1:9" x14ac:dyDescent="0.25">
      <c r="A403" s="55" t="s">
        <v>149</v>
      </c>
      <c r="B403" s="56" t="s">
        <v>24</v>
      </c>
      <c r="C403" s="55">
        <v>2025</v>
      </c>
      <c r="D403" s="57">
        <v>45693</v>
      </c>
      <c r="E403" s="55">
        <v>58.793799999999997</v>
      </c>
      <c r="F403" s="55">
        <v>72.180000000000007</v>
      </c>
      <c r="G403" s="69">
        <f t="shared" si="12"/>
        <v>13.386200000000009</v>
      </c>
      <c r="H403" s="61">
        <f t="shared" si="13"/>
        <v>0.22768046970939126</v>
      </c>
    </row>
    <row r="404" spans="1:9" x14ac:dyDescent="0.25">
      <c r="A404" s="55" t="s">
        <v>150</v>
      </c>
      <c r="B404" s="56" t="s">
        <v>24</v>
      </c>
      <c r="C404" s="55">
        <v>2025</v>
      </c>
      <c r="D404" s="57">
        <v>45694</v>
      </c>
      <c r="E404" s="55">
        <v>59.460500000000003</v>
      </c>
      <c r="F404" s="55">
        <v>72.19</v>
      </c>
      <c r="G404" s="69">
        <f t="shared" si="12"/>
        <v>12.729499999999994</v>
      </c>
      <c r="H404" s="61">
        <f t="shared" si="13"/>
        <v>0.21408329899681289</v>
      </c>
    </row>
    <row r="405" spans="1:9" x14ac:dyDescent="0.25">
      <c r="A405" s="55" t="s">
        <v>151</v>
      </c>
      <c r="B405" s="56" t="s">
        <v>24</v>
      </c>
      <c r="C405" s="55">
        <v>2025</v>
      </c>
      <c r="D405" s="57">
        <v>45695</v>
      </c>
      <c r="E405" s="55">
        <v>60.1417</v>
      </c>
      <c r="F405" s="55">
        <v>72.12</v>
      </c>
      <c r="G405" s="69">
        <f t="shared" si="12"/>
        <v>11.978300000000004</v>
      </c>
      <c r="H405" s="61">
        <f t="shared" si="13"/>
        <v>0.1991679649893503</v>
      </c>
    </row>
    <row r="406" spans="1:9" x14ac:dyDescent="0.25">
      <c r="A406" s="55" t="s">
        <v>152</v>
      </c>
      <c r="B406" s="56" t="s">
        <v>24</v>
      </c>
      <c r="C406" s="55">
        <v>2025</v>
      </c>
      <c r="D406" s="57">
        <v>45696</v>
      </c>
      <c r="E406" s="55">
        <v>60.1417</v>
      </c>
      <c r="F406" s="55">
        <v>72.12</v>
      </c>
      <c r="G406" s="69">
        <f t="shared" si="12"/>
        <v>11.978300000000004</v>
      </c>
      <c r="H406" s="61">
        <f t="shared" si="13"/>
        <v>0.1991679649893503</v>
      </c>
    </row>
    <row r="407" spans="1:9" x14ac:dyDescent="0.25">
      <c r="A407" s="55" t="s">
        <v>153</v>
      </c>
      <c r="B407" s="56" t="s">
        <v>24</v>
      </c>
      <c r="C407" s="55">
        <v>2025</v>
      </c>
      <c r="D407" s="57">
        <v>45697</v>
      </c>
      <c r="E407" s="55">
        <v>60.1417</v>
      </c>
      <c r="F407" s="55">
        <v>72.12</v>
      </c>
      <c r="G407" s="69">
        <f t="shared" si="12"/>
        <v>11.978300000000004</v>
      </c>
      <c r="H407" s="61">
        <f t="shared" si="13"/>
        <v>0.1991679649893503</v>
      </c>
    </row>
    <row r="408" spans="1:9" x14ac:dyDescent="0.25">
      <c r="A408" s="55" t="s">
        <v>147</v>
      </c>
      <c r="B408" s="56" t="s">
        <v>24</v>
      </c>
      <c r="C408" s="55">
        <v>2025</v>
      </c>
      <c r="D408" s="57">
        <v>45698</v>
      </c>
      <c r="E408" s="55">
        <v>60.521099999999997</v>
      </c>
      <c r="F408" s="55">
        <v>72.540000000000006</v>
      </c>
      <c r="G408" s="69">
        <f t="shared" si="12"/>
        <v>12.018900000000009</v>
      </c>
      <c r="H408" s="61">
        <f t="shared" si="13"/>
        <v>0.19859024373317746</v>
      </c>
    </row>
    <row r="409" spans="1:9" x14ac:dyDescent="0.25">
      <c r="A409" s="55" t="s">
        <v>148</v>
      </c>
      <c r="B409" s="56" t="s">
        <v>24</v>
      </c>
      <c r="C409" s="55">
        <v>2025</v>
      </c>
      <c r="D409" s="57">
        <v>45699</v>
      </c>
      <c r="E409" s="55">
        <v>60.5428</v>
      </c>
      <c r="F409" s="55">
        <v>74.27</v>
      </c>
      <c r="G409" s="69">
        <f t="shared" si="12"/>
        <v>13.727199999999996</v>
      </c>
      <c r="H409" s="61">
        <f t="shared" si="13"/>
        <v>0.22673546647991172</v>
      </c>
    </row>
    <row r="410" spans="1:9" x14ac:dyDescent="0.25">
      <c r="A410" s="55" t="s">
        <v>149</v>
      </c>
      <c r="B410" s="56" t="s">
        <v>24</v>
      </c>
      <c r="C410" s="55">
        <v>2025</v>
      </c>
      <c r="D410" s="57">
        <v>45700</v>
      </c>
      <c r="E410" s="55">
        <v>61.027799999999999</v>
      </c>
      <c r="F410" s="55">
        <v>76</v>
      </c>
      <c r="G410" s="69">
        <f t="shared" si="12"/>
        <v>14.972200000000001</v>
      </c>
      <c r="H410" s="61">
        <f t="shared" si="13"/>
        <v>0.24533409364256942</v>
      </c>
    </row>
    <row r="411" spans="1:9" x14ac:dyDescent="0.25">
      <c r="A411" s="55" t="s">
        <v>150</v>
      </c>
      <c r="B411" s="56" t="s">
        <v>24</v>
      </c>
      <c r="C411" s="55">
        <v>2025</v>
      </c>
      <c r="D411" s="57">
        <v>45701</v>
      </c>
      <c r="E411" s="55">
        <v>61.346200000000003</v>
      </c>
      <c r="F411" s="55">
        <v>76.900000000000006</v>
      </c>
      <c r="G411" s="69">
        <f t="shared" si="12"/>
        <v>15.553800000000003</v>
      </c>
      <c r="H411" s="61">
        <f t="shared" si="13"/>
        <v>0.25354137664598619</v>
      </c>
    </row>
    <row r="412" spans="1:9" x14ac:dyDescent="0.25">
      <c r="A412" s="55" t="s">
        <v>151</v>
      </c>
      <c r="B412" s="56" t="s">
        <v>24</v>
      </c>
      <c r="C412" s="55">
        <v>2025</v>
      </c>
      <c r="D412" s="57">
        <v>45702</v>
      </c>
      <c r="E412" s="55">
        <v>61.822699999999998</v>
      </c>
      <c r="F412" s="55">
        <v>76.010000000000005</v>
      </c>
      <c r="G412" s="69">
        <f t="shared" si="12"/>
        <v>14.187300000000008</v>
      </c>
      <c r="H412" s="61">
        <f t="shared" si="13"/>
        <v>0.2294836686201025</v>
      </c>
    </row>
    <row r="413" spans="1:9" x14ac:dyDescent="0.25">
      <c r="A413" s="55" t="s">
        <v>152</v>
      </c>
      <c r="B413" s="56" t="s">
        <v>24</v>
      </c>
      <c r="C413" s="55">
        <v>2025</v>
      </c>
      <c r="D413" s="57">
        <v>45703</v>
      </c>
      <c r="E413" s="64">
        <v>61.822699999999998</v>
      </c>
      <c r="F413" s="55">
        <v>76.010000000000005</v>
      </c>
      <c r="G413" s="69">
        <f t="shared" si="12"/>
        <v>14.187300000000008</v>
      </c>
      <c r="H413" s="61">
        <f t="shared" si="13"/>
        <v>0.2294836686201025</v>
      </c>
      <c r="I413" s="1">
        <f>+E413/E399-1</f>
        <v>6.6522790710512592E-2</v>
      </c>
    </row>
    <row r="414" spans="1:9" x14ac:dyDescent="0.25">
      <c r="A414" s="55" t="s">
        <v>153</v>
      </c>
      <c r="B414" s="56" t="s">
        <v>24</v>
      </c>
      <c r="C414" s="55">
        <v>2025</v>
      </c>
      <c r="D414" s="57">
        <v>45704</v>
      </c>
      <c r="E414" s="55">
        <v>61.822699999999998</v>
      </c>
      <c r="F414" s="55">
        <v>76.010000000000005</v>
      </c>
      <c r="G414" s="69">
        <f t="shared" si="12"/>
        <v>14.187300000000008</v>
      </c>
      <c r="H414" s="61">
        <f t="shared" si="13"/>
        <v>0.2294836686201025</v>
      </c>
      <c r="I414" s="1">
        <f>+F413/F399-1</f>
        <v>0.11223295288264556</v>
      </c>
    </row>
    <row r="415" spans="1:9" x14ac:dyDescent="0.25">
      <c r="A415" s="55" t="s">
        <v>147</v>
      </c>
      <c r="B415" s="56" t="s">
        <v>24</v>
      </c>
      <c r="C415" s="55">
        <v>2025</v>
      </c>
      <c r="D415" s="57">
        <v>45705</v>
      </c>
      <c r="E415" s="55">
        <v>62.070799999999998</v>
      </c>
      <c r="F415" s="55">
        <v>77.22</v>
      </c>
      <c r="G415" s="69">
        <f t="shared" si="12"/>
        <v>15.1492</v>
      </c>
      <c r="H415" s="61">
        <f t="shared" si="13"/>
        <v>0.244063231020061</v>
      </c>
    </row>
    <row r="416" spans="1:9" x14ac:dyDescent="0.25">
      <c r="A416" s="55" t="s">
        <v>148</v>
      </c>
      <c r="B416" s="56" t="s">
        <v>24</v>
      </c>
      <c r="C416" s="55">
        <v>2025</v>
      </c>
      <c r="D416" s="57">
        <v>45706</v>
      </c>
      <c r="E416" s="55">
        <v>62.099899999999998</v>
      </c>
      <c r="F416" s="55">
        <v>79.510000000000005</v>
      </c>
      <c r="G416" s="69">
        <f t="shared" si="12"/>
        <v>17.410100000000007</v>
      </c>
      <c r="H416" s="61">
        <f t="shared" si="13"/>
        <v>0.28035632907621433</v>
      </c>
    </row>
    <row r="417" spans="1:11" x14ac:dyDescent="0.25">
      <c r="A417" s="55" t="s">
        <v>149</v>
      </c>
      <c r="B417" s="56" t="s">
        <v>24</v>
      </c>
      <c r="C417" s="55">
        <v>2025</v>
      </c>
      <c r="D417" s="57">
        <v>45707</v>
      </c>
      <c r="E417" s="55">
        <v>62.183399999999999</v>
      </c>
      <c r="F417" s="55">
        <v>80.989999999999995</v>
      </c>
      <c r="G417" s="69">
        <f t="shared" si="12"/>
        <v>18.806599999999996</v>
      </c>
      <c r="H417" s="61">
        <f t="shared" si="13"/>
        <v>0.30243762804864316</v>
      </c>
    </row>
    <row r="418" spans="1:11" x14ac:dyDescent="0.25">
      <c r="A418" s="55" t="s">
        <v>150</v>
      </c>
      <c r="B418" s="56" t="s">
        <v>24</v>
      </c>
      <c r="C418" s="55">
        <v>2025</v>
      </c>
      <c r="D418" s="57">
        <v>45708</v>
      </c>
      <c r="E418" s="55">
        <v>62.5107</v>
      </c>
      <c r="F418" s="55">
        <v>79.5</v>
      </c>
      <c r="G418" s="69">
        <f t="shared" si="12"/>
        <v>16.9893</v>
      </c>
      <c r="H418" s="61">
        <f t="shared" si="13"/>
        <v>0.27178227087522622</v>
      </c>
    </row>
    <row r="419" spans="1:11" x14ac:dyDescent="0.25">
      <c r="A419" s="55" t="s">
        <v>151</v>
      </c>
      <c r="B419" s="56" t="s">
        <v>24</v>
      </c>
      <c r="C419" s="55">
        <v>2025</v>
      </c>
      <c r="D419" s="57">
        <v>45709</v>
      </c>
      <c r="E419" s="55">
        <v>63.206499999999998</v>
      </c>
      <c r="F419" s="55">
        <v>78.989999999999995</v>
      </c>
      <c r="G419" s="69">
        <f t="shared" si="12"/>
        <v>15.783499999999997</v>
      </c>
      <c r="H419" s="61">
        <f t="shared" si="13"/>
        <v>0.24971324151788177</v>
      </c>
    </row>
    <row r="420" spans="1:11" x14ac:dyDescent="0.25">
      <c r="A420" s="55" t="s">
        <v>152</v>
      </c>
      <c r="B420" s="56" t="s">
        <v>24</v>
      </c>
      <c r="C420" s="55">
        <v>2025</v>
      </c>
      <c r="D420" s="57">
        <v>45710</v>
      </c>
      <c r="E420" s="55">
        <v>63.206499999999998</v>
      </c>
      <c r="F420" s="55">
        <v>78.989999999999995</v>
      </c>
      <c r="G420" s="69">
        <f t="shared" si="12"/>
        <v>15.783499999999997</v>
      </c>
      <c r="H420" s="61">
        <f t="shared" si="13"/>
        <v>0.24971324151788177</v>
      </c>
    </row>
    <row r="421" spans="1:11" x14ac:dyDescent="0.25">
      <c r="A421" s="55" t="s">
        <v>153</v>
      </c>
      <c r="B421" s="56" t="s">
        <v>24</v>
      </c>
      <c r="C421" s="55">
        <v>2025</v>
      </c>
      <c r="D421" s="57">
        <v>45711</v>
      </c>
      <c r="E421" s="55">
        <v>63.206499999999998</v>
      </c>
      <c r="F421" s="55">
        <v>78.989999999999995</v>
      </c>
      <c r="G421" s="69">
        <f t="shared" si="12"/>
        <v>15.783499999999997</v>
      </c>
      <c r="H421" s="61">
        <f t="shared" si="13"/>
        <v>0.24971324151788177</v>
      </c>
    </row>
    <row r="422" spans="1:11" x14ac:dyDescent="0.25">
      <c r="A422" s="55" t="s">
        <v>147</v>
      </c>
      <c r="B422" s="56" t="s">
        <v>24</v>
      </c>
      <c r="C422" s="55">
        <v>2025</v>
      </c>
      <c r="D422" s="57">
        <v>45712</v>
      </c>
      <c r="E422" s="55">
        <v>63.413899999999998</v>
      </c>
      <c r="F422" s="55">
        <v>79.62</v>
      </c>
      <c r="G422" s="69">
        <f t="shared" ref="G422:G444" si="14">+F422-E422</f>
        <v>16.206100000000006</v>
      </c>
      <c r="H422" s="61">
        <f t="shared" ref="H422:H444" si="15">+F422/E422-1</f>
        <v>0.25556068937567322</v>
      </c>
    </row>
    <row r="423" spans="1:11" x14ac:dyDescent="0.25">
      <c r="A423" s="55" t="s">
        <v>148</v>
      </c>
      <c r="B423" s="56" t="s">
        <v>24</v>
      </c>
      <c r="C423" s="55">
        <v>2025</v>
      </c>
      <c r="D423" s="57">
        <v>45713</v>
      </c>
      <c r="E423" s="55">
        <v>63.4938</v>
      </c>
      <c r="F423" s="55">
        <v>81.56</v>
      </c>
      <c r="G423" s="69">
        <f t="shared" si="14"/>
        <v>18.066200000000002</v>
      </c>
      <c r="H423" s="61">
        <f t="shared" si="15"/>
        <v>0.28453486797136107</v>
      </c>
    </row>
    <row r="424" spans="1:11" x14ac:dyDescent="0.25">
      <c r="A424" s="55" t="s">
        <v>149</v>
      </c>
      <c r="B424" s="56" t="s">
        <v>24</v>
      </c>
      <c r="C424" s="55">
        <v>2025</v>
      </c>
      <c r="D424" s="57">
        <v>45714</v>
      </c>
      <c r="E424" s="55">
        <v>64.019099999999995</v>
      </c>
      <c r="F424" s="55">
        <v>82.47</v>
      </c>
      <c r="G424" s="69">
        <f t="shared" si="14"/>
        <v>18.450900000000004</v>
      </c>
      <c r="H424" s="61">
        <f t="shared" si="15"/>
        <v>0.28820930003702028</v>
      </c>
    </row>
    <row r="425" spans="1:11" x14ac:dyDescent="0.25">
      <c r="A425" s="55" t="s">
        <v>150</v>
      </c>
      <c r="B425" s="56" t="s">
        <v>24</v>
      </c>
      <c r="C425" s="55">
        <v>2025</v>
      </c>
      <c r="D425" s="57">
        <v>45715</v>
      </c>
      <c r="E425" s="55">
        <v>64.240600000000001</v>
      </c>
      <c r="F425" s="55">
        <v>80.239999999999995</v>
      </c>
      <c r="G425" s="69">
        <f t="shared" si="14"/>
        <v>15.999399999999994</v>
      </c>
      <c r="H425" s="61">
        <f t="shared" si="15"/>
        <v>0.2490543363542681</v>
      </c>
      <c r="I425" s="1">
        <f>+E426/E413-1</f>
        <v>3.9204046410137305E-2</v>
      </c>
      <c r="J425" s="1">
        <f>+F426/F413-1</f>
        <v>4.3941586633337471E-2</v>
      </c>
    </row>
    <row r="426" spans="1:11" x14ac:dyDescent="0.25">
      <c r="A426" s="56" t="s">
        <v>151</v>
      </c>
      <c r="B426" s="56" t="s">
        <v>24</v>
      </c>
      <c r="C426" s="55">
        <v>2025</v>
      </c>
      <c r="D426" s="57">
        <v>45716</v>
      </c>
      <c r="E426" s="64">
        <v>64.246399999999994</v>
      </c>
      <c r="F426" s="55">
        <v>79.349999999999994</v>
      </c>
      <c r="G426" s="69">
        <f t="shared" si="14"/>
        <v>15.1036</v>
      </c>
      <c r="H426" s="61">
        <f t="shared" si="15"/>
        <v>0.23508865866414297</v>
      </c>
      <c r="I426" t="str">
        <f>+TRIM(B426&amp;C426)</f>
        <v>FEBRERO2025</v>
      </c>
      <c r="J426" s="53">
        <f>+AVERAGE(E399:E426)</f>
        <v>61.371457142857139</v>
      </c>
      <c r="K426" s="53">
        <f>+AVERAGE(F399:F426)</f>
        <v>75.83</v>
      </c>
    </row>
    <row r="427" spans="1:11" x14ac:dyDescent="0.25">
      <c r="A427" s="55" t="s">
        <v>152</v>
      </c>
      <c r="B427" s="56" t="s">
        <v>25</v>
      </c>
      <c r="C427" s="55">
        <v>2025</v>
      </c>
      <c r="D427" s="57">
        <v>45717</v>
      </c>
      <c r="E427" s="71">
        <v>64.246399999999994</v>
      </c>
      <c r="F427" s="55">
        <v>79.349999999999994</v>
      </c>
      <c r="G427" s="69">
        <f t="shared" si="14"/>
        <v>15.1036</v>
      </c>
      <c r="H427" s="61">
        <f t="shared" si="15"/>
        <v>0.23508865866414297</v>
      </c>
    </row>
    <row r="428" spans="1:11" x14ac:dyDescent="0.25">
      <c r="A428" s="55" t="s">
        <v>153</v>
      </c>
      <c r="B428" s="56" t="s">
        <v>25</v>
      </c>
      <c r="C428" s="55">
        <v>2025</v>
      </c>
      <c r="D428" s="57">
        <v>45718</v>
      </c>
      <c r="E428" s="71">
        <v>64.246399999999994</v>
      </c>
      <c r="F428" s="55">
        <v>79.349999999999994</v>
      </c>
      <c r="G428" s="69">
        <f t="shared" si="14"/>
        <v>15.1036</v>
      </c>
      <c r="H428" s="61">
        <f t="shared" si="15"/>
        <v>0.23508865866414297</v>
      </c>
    </row>
    <row r="429" spans="1:11" x14ac:dyDescent="0.25">
      <c r="A429" s="55" t="s">
        <v>147</v>
      </c>
      <c r="B429" s="56" t="s">
        <v>25</v>
      </c>
      <c r="C429" s="55">
        <v>2025</v>
      </c>
      <c r="D429" s="57">
        <v>45719</v>
      </c>
      <c r="E429" s="71">
        <v>64.246399999999994</v>
      </c>
      <c r="F429" s="55">
        <v>79.349999999999994</v>
      </c>
      <c r="G429" s="69">
        <f t="shared" si="14"/>
        <v>15.1036</v>
      </c>
      <c r="H429" s="61">
        <f t="shared" si="15"/>
        <v>0.23508865866414297</v>
      </c>
    </row>
    <row r="430" spans="1:11" x14ac:dyDescent="0.25">
      <c r="A430" s="55" t="s">
        <v>148</v>
      </c>
      <c r="B430" s="56" t="s">
        <v>25</v>
      </c>
      <c r="C430" s="55">
        <v>2025</v>
      </c>
      <c r="D430" s="57">
        <v>45720</v>
      </c>
      <c r="E430" s="71">
        <v>64.246399999999994</v>
      </c>
      <c r="F430" s="55">
        <v>79.349999999999994</v>
      </c>
      <c r="G430" s="69">
        <f t="shared" si="14"/>
        <v>15.1036</v>
      </c>
      <c r="H430" s="61">
        <f t="shared" si="15"/>
        <v>0.23508865866414297</v>
      </c>
    </row>
    <row r="431" spans="1:11" x14ac:dyDescent="0.25">
      <c r="A431" s="55" t="s">
        <v>149</v>
      </c>
      <c r="B431" s="56" t="s">
        <v>25</v>
      </c>
      <c r="C431" s="55">
        <v>2025</v>
      </c>
      <c r="D431" s="57">
        <v>45721</v>
      </c>
      <c r="E431" s="71">
        <v>64.484399999999994</v>
      </c>
      <c r="F431" s="55">
        <v>77.88</v>
      </c>
      <c r="G431" s="69">
        <f t="shared" si="14"/>
        <v>13.395600000000002</v>
      </c>
      <c r="H431" s="61">
        <f t="shared" si="15"/>
        <v>0.20773396356328044</v>
      </c>
    </row>
    <row r="432" spans="1:11" x14ac:dyDescent="0.25">
      <c r="A432" s="55" t="s">
        <v>150</v>
      </c>
      <c r="B432" s="56" t="s">
        <v>25</v>
      </c>
      <c r="C432" s="55">
        <v>2025</v>
      </c>
      <c r="D432" s="57">
        <v>45722</v>
      </c>
      <c r="E432" s="71">
        <v>64.611599999999996</v>
      </c>
      <c r="F432" s="55">
        <v>79.53</v>
      </c>
      <c r="G432" s="69">
        <f t="shared" si="14"/>
        <v>14.918400000000005</v>
      </c>
      <c r="H432" s="61">
        <f t="shared" si="15"/>
        <v>0.23089352376353478</v>
      </c>
    </row>
    <row r="433" spans="1:8" x14ac:dyDescent="0.25">
      <c r="A433" s="55" t="s">
        <v>151</v>
      </c>
      <c r="B433" s="56" t="s">
        <v>25</v>
      </c>
      <c r="C433" s="55">
        <v>2025</v>
      </c>
      <c r="D433" s="57">
        <v>45723</v>
      </c>
      <c r="E433" s="71">
        <v>64.745999999999995</v>
      </c>
      <c r="F433" s="55">
        <v>78.650000000000006</v>
      </c>
      <c r="G433" s="69">
        <f t="shared" si="14"/>
        <v>13.904000000000011</v>
      </c>
      <c r="H433" s="61">
        <f t="shared" si="15"/>
        <v>0.21474685694869189</v>
      </c>
    </row>
    <row r="434" spans="1:8" x14ac:dyDescent="0.25">
      <c r="A434" s="55" t="s">
        <v>152</v>
      </c>
      <c r="B434" s="56" t="s">
        <v>25</v>
      </c>
      <c r="C434" s="55">
        <v>2025</v>
      </c>
      <c r="D434" s="57">
        <v>45724</v>
      </c>
      <c r="E434" s="71">
        <v>64.745999999999995</v>
      </c>
      <c r="F434" s="55">
        <v>78.650000000000006</v>
      </c>
      <c r="G434" s="69">
        <f t="shared" si="14"/>
        <v>13.904000000000011</v>
      </c>
      <c r="H434" s="61">
        <f t="shared" si="15"/>
        <v>0.21474685694869189</v>
      </c>
    </row>
    <row r="435" spans="1:8" x14ac:dyDescent="0.25">
      <c r="A435" s="55" t="s">
        <v>153</v>
      </c>
      <c r="B435" s="56" t="s">
        <v>25</v>
      </c>
      <c r="C435" s="55">
        <v>2025</v>
      </c>
      <c r="D435" s="57">
        <v>45725</v>
      </c>
      <c r="E435" s="71">
        <v>64.745999999999995</v>
      </c>
      <c r="F435" s="55">
        <v>78.650000000000006</v>
      </c>
      <c r="G435" s="69">
        <f t="shared" si="14"/>
        <v>13.904000000000011</v>
      </c>
      <c r="H435" s="61">
        <f t="shared" si="15"/>
        <v>0.21474685694869189</v>
      </c>
    </row>
    <row r="436" spans="1:8" x14ac:dyDescent="0.25">
      <c r="A436" s="55" t="s">
        <v>147</v>
      </c>
      <c r="B436" s="56" t="s">
        <v>25</v>
      </c>
      <c r="C436" s="55">
        <v>2025</v>
      </c>
      <c r="D436" s="57">
        <v>45726</v>
      </c>
      <c r="E436" s="71">
        <v>65.266199999999998</v>
      </c>
      <c r="F436" s="55">
        <v>79.19</v>
      </c>
      <c r="G436" s="69">
        <f t="shared" si="14"/>
        <v>13.9238</v>
      </c>
      <c r="H436" s="61">
        <f t="shared" si="15"/>
        <v>0.21333860405539151</v>
      </c>
    </row>
    <row r="437" spans="1:8" x14ac:dyDescent="0.25">
      <c r="A437" s="55" t="s">
        <v>148</v>
      </c>
      <c r="B437" s="56" t="s">
        <v>25</v>
      </c>
      <c r="C437" s="55">
        <v>2025</v>
      </c>
      <c r="D437" s="57">
        <v>45727</v>
      </c>
      <c r="E437" s="71">
        <v>65.415099999999995</v>
      </c>
      <c r="F437" s="55">
        <v>80.91</v>
      </c>
      <c r="G437" s="69">
        <f t="shared" si="14"/>
        <v>15.494900000000001</v>
      </c>
      <c r="H437" s="61">
        <f t="shared" si="15"/>
        <v>0.23687038619523637</v>
      </c>
    </row>
    <row r="438" spans="1:8" x14ac:dyDescent="0.25">
      <c r="A438" s="55" t="s">
        <v>149</v>
      </c>
      <c r="B438" s="56" t="s">
        <v>25</v>
      </c>
      <c r="C438" s="55">
        <v>2025</v>
      </c>
      <c r="D438" s="57">
        <v>45728</v>
      </c>
      <c r="E438" s="71">
        <v>65.626800000000003</v>
      </c>
      <c r="F438" s="55">
        <v>79.819999999999993</v>
      </c>
      <c r="G438" s="69">
        <f t="shared" si="14"/>
        <v>14.19319999999999</v>
      </c>
      <c r="H438" s="61">
        <f t="shared" si="15"/>
        <v>0.21627140131775424</v>
      </c>
    </row>
    <row r="439" spans="1:8" x14ac:dyDescent="0.25">
      <c r="A439" s="55" t="s">
        <v>150</v>
      </c>
      <c r="B439" s="56" t="s">
        <v>25</v>
      </c>
      <c r="C439" s="55">
        <v>2025</v>
      </c>
      <c r="D439" s="57">
        <v>45729</v>
      </c>
      <c r="E439" s="71">
        <v>66.254199999999997</v>
      </c>
      <c r="F439" s="55">
        <v>80.38</v>
      </c>
      <c r="G439" s="69">
        <f t="shared" si="14"/>
        <v>14.125799999999998</v>
      </c>
      <c r="H439" s="61">
        <f t="shared" si="15"/>
        <v>0.21320610617892899</v>
      </c>
    </row>
    <row r="440" spans="1:8" x14ac:dyDescent="0.25">
      <c r="A440" s="55" t="s">
        <v>151</v>
      </c>
      <c r="B440" s="56" t="s">
        <v>25</v>
      </c>
      <c r="C440" s="55">
        <v>2025</v>
      </c>
      <c r="D440" s="57">
        <v>45730</v>
      </c>
      <c r="E440" s="71">
        <v>66.436800000000005</v>
      </c>
      <c r="F440" s="55">
        <v>80.12</v>
      </c>
      <c r="G440" s="69">
        <f t="shared" si="14"/>
        <v>13.683199999999999</v>
      </c>
      <c r="H440" s="61">
        <f t="shared" si="15"/>
        <v>0.20595814367940646</v>
      </c>
    </row>
    <row r="441" spans="1:8" x14ac:dyDescent="0.25">
      <c r="A441" s="55" t="s">
        <v>152</v>
      </c>
      <c r="B441" s="56" t="s">
        <v>25</v>
      </c>
      <c r="C441" s="55">
        <v>2025</v>
      </c>
      <c r="D441" s="57">
        <v>45731</v>
      </c>
      <c r="E441" s="71">
        <v>66.436800000000005</v>
      </c>
      <c r="F441" s="55">
        <v>80.12</v>
      </c>
      <c r="G441" s="69">
        <f t="shared" si="14"/>
        <v>13.683199999999999</v>
      </c>
      <c r="H441" s="61">
        <f t="shared" si="15"/>
        <v>0.20595814367940646</v>
      </c>
    </row>
    <row r="442" spans="1:8" x14ac:dyDescent="0.25">
      <c r="A442" s="55" t="s">
        <v>153</v>
      </c>
      <c r="B442" s="56" t="s">
        <v>25</v>
      </c>
      <c r="C442" s="55">
        <v>2025</v>
      </c>
      <c r="D442" s="57">
        <v>45732</v>
      </c>
      <c r="E442" s="71">
        <v>66.436800000000005</v>
      </c>
      <c r="F442" s="55">
        <v>80.12</v>
      </c>
      <c r="G442" s="69">
        <f t="shared" si="14"/>
        <v>13.683199999999999</v>
      </c>
      <c r="H442" s="61">
        <f t="shared" si="15"/>
        <v>0.20595814367940646</v>
      </c>
    </row>
    <row r="443" spans="1:8" x14ac:dyDescent="0.25">
      <c r="A443" s="55" t="s">
        <v>147</v>
      </c>
      <c r="B443" s="56" t="s">
        <v>25</v>
      </c>
      <c r="C443" s="55">
        <v>2025</v>
      </c>
      <c r="D443" s="57">
        <v>45733</v>
      </c>
      <c r="E443" s="71">
        <v>66.557299999999998</v>
      </c>
      <c r="F443" s="55">
        <v>81.37</v>
      </c>
      <c r="G443" s="69">
        <f t="shared" si="14"/>
        <v>14.812700000000007</v>
      </c>
      <c r="H443" s="61">
        <f t="shared" si="15"/>
        <v>0.22255560246584527</v>
      </c>
    </row>
    <row r="444" spans="1:8" x14ac:dyDescent="0.25">
      <c r="A444" s="55" t="s">
        <v>148</v>
      </c>
      <c r="B444" s="56" t="s">
        <v>25</v>
      </c>
      <c r="C444" s="55">
        <v>2025</v>
      </c>
      <c r="D444" s="57">
        <v>45734</v>
      </c>
      <c r="E444" s="71">
        <v>66.787999999999997</v>
      </c>
      <c r="F444" s="55">
        <v>84.45</v>
      </c>
      <c r="G444" s="69">
        <f t="shared" si="14"/>
        <v>17.662000000000006</v>
      </c>
      <c r="H444" s="61">
        <f t="shared" si="15"/>
        <v>0.26444870335988502</v>
      </c>
    </row>
    <row r="445" spans="1:8" x14ac:dyDescent="0.25">
      <c r="A445" s="55" t="s">
        <v>149</v>
      </c>
      <c r="B445" s="56" t="s">
        <v>25</v>
      </c>
      <c r="C445" s="55">
        <v>2025</v>
      </c>
      <c r="D445" s="57">
        <v>45735</v>
      </c>
      <c r="E445" s="71">
        <v>66.787999999999997</v>
      </c>
      <c r="F445" s="55">
        <v>87.65</v>
      </c>
      <c r="G445" s="69">
        <f t="shared" ref="G445:G453" si="16">+F445-E445</f>
        <v>20.862000000000009</v>
      </c>
      <c r="H445" s="61">
        <f t="shared" ref="H445:H453" si="17">+F445/E445-1</f>
        <v>0.31236150206623958</v>
      </c>
    </row>
    <row r="446" spans="1:8" x14ac:dyDescent="0.25">
      <c r="A446" s="55" t="s">
        <v>150</v>
      </c>
      <c r="B446" s="56" t="s">
        <v>25</v>
      </c>
      <c r="C446" s="55">
        <v>2025</v>
      </c>
      <c r="D446" s="57">
        <v>45736</v>
      </c>
      <c r="E446" s="71">
        <v>67.634399999999999</v>
      </c>
      <c r="F446" s="55">
        <v>86.45</v>
      </c>
      <c r="G446" s="69">
        <f t="shared" si="16"/>
        <v>18.815600000000003</v>
      </c>
      <c r="H446" s="61">
        <f t="shared" si="17"/>
        <v>0.27819571105827801</v>
      </c>
    </row>
    <row r="447" spans="1:8" x14ac:dyDescent="0.25">
      <c r="A447" s="55" t="s">
        <v>151</v>
      </c>
      <c r="B447" s="56" t="s">
        <v>25</v>
      </c>
      <c r="C447" s="55">
        <v>2025</v>
      </c>
      <c r="D447" s="57">
        <v>45737</v>
      </c>
      <c r="E447" s="71">
        <v>67.8583</v>
      </c>
      <c r="F447" s="55">
        <v>88.09</v>
      </c>
      <c r="G447" s="69">
        <f t="shared" si="16"/>
        <v>20.231700000000004</v>
      </c>
      <c r="H447" s="61">
        <f t="shared" si="17"/>
        <v>0.29814628424231082</v>
      </c>
    </row>
    <row r="448" spans="1:8" x14ac:dyDescent="0.25">
      <c r="A448" s="55" t="s">
        <v>152</v>
      </c>
      <c r="B448" s="56" t="s">
        <v>25</v>
      </c>
      <c r="C448" s="55">
        <v>2025</v>
      </c>
      <c r="D448" s="57">
        <v>45738</v>
      </c>
      <c r="E448" s="71">
        <v>67.8583</v>
      </c>
      <c r="F448" s="55">
        <v>88.09</v>
      </c>
      <c r="G448" s="69">
        <f t="shared" si="16"/>
        <v>20.231700000000004</v>
      </c>
      <c r="H448" s="61">
        <f t="shared" si="17"/>
        <v>0.29814628424231082</v>
      </c>
    </row>
    <row r="449" spans="1:11" x14ac:dyDescent="0.25">
      <c r="A449" s="55" t="s">
        <v>153</v>
      </c>
      <c r="B449" s="56" t="s">
        <v>25</v>
      </c>
      <c r="C449" s="55">
        <v>2025</v>
      </c>
      <c r="D449" s="57">
        <v>45739</v>
      </c>
      <c r="E449" s="71">
        <v>67.8583</v>
      </c>
      <c r="F449" s="55">
        <v>88.09</v>
      </c>
      <c r="G449" s="69">
        <f t="shared" si="16"/>
        <v>20.231700000000004</v>
      </c>
      <c r="H449" s="61">
        <f t="shared" si="17"/>
        <v>0.29814628424231082</v>
      </c>
    </row>
    <row r="450" spans="1:11" x14ac:dyDescent="0.25">
      <c r="A450" s="55" t="s">
        <v>147</v>
      </c>
      <c r="B450" s="56" t="s">
        <v>25</v>
      </c>
      <c r="C450" s="55">
        <v>2025</v>
      </c>
      <c r="D450" s="57">
        <v>45740</v>
      </c>
      <c r="E450" s="71">
        <v>68.311599999999999</v>
      </c>
      <c r="F450" s="55">
        <v>89.86</v>
      </c>
      <c r="G450" s="69">
        <f t="shared" si="16"/>
        <v>21.548400000000001</v>
      </c>
      <c r="H450" s="61">
        <f t="shared" si="17"/>
        <v>0.31544276521117931</v>
      </c>
    </row>
    <row r="451" spans="1:11" x14ac:dyDescent="0.25">
      <c r="A451" s="55" t="s">
        <v>148</v>
      </c>
      <c r="B451" s="56" t="s">
        <v>25</v>
      </c>
      <c r="C451" s="55">
        <v>2025</v>
      </c>
      <c r="D451" s="57">
        <v>45741</v>
      </c>
      <c r="E451" s="71">
        <v>68.393600000000006</v>
      </c>
      <c r="F451" s="55">
        <v>95.6</v>
      </c>
      <c r="G451" s="69">
        <f t="shared" si="16"/>
        <v>27.206399999999988</v>
      </c>
      <c r="H451" s="61">
        <f t="shared" si="17"/>
        <v>0.39779160623216181</v>
      </c>
    </row>
    <row r="452" spans="1:11" x14ac:dyDescent="0.25">
      <c r="A452" s="55" t="s">
        <v>149</v>
      </c>
      <c r="B452" s="56" t="s">
        <v>25</v>
      </c>
      <c r="C452" s="55">
        <v>2025</v>
      </c>
      <c r="D452" s="57">
        <v>45742</v>
      </c>
      <c r="E452" s="71">
        <v>68.699399999999997</v>
      </c>
      <c r="F452" s="55">
        <v>102.92</v>
      </c>
      <c r="G452" s="69">
        <f t="shared" si="16"/>
        <v>34.220600000000005</v>
      </c>
      <c r="H452" s="61">
        <f t="shared" si="17"/>
        <v>0.49812079872604431</v>
      </c>
    </row>
    <row r="453" spans="1:11" x14ac:dyDescent="0.25">
      <c r="A453" s="55" t="s">
        <v>150</v>
      </c>
      <c r="B453" s="56" t="s">
        <v>25</v>
      </c>
      <c r="C453" s="55">
        <v>2025</v>
      </c>
      <c r="D453" s="57">
        <v>45743</v>
      </c>
      <c r="E453" s="71">
        <v>69.018799999999999</v>
      </c>
      <c r="F453" s="55">
        <v>106.93</v>
      </c>
      <c r="G453" s="69">
        <f t="shared" si="16"/>
        <v>37.911200000000008</v>
      </c>
      <c r="H453" s="61">
        <f t="shared" si="17"/>
        <v>0.54928802007568955</v>
      </c>
    </row>
    <row r="454" spans="1:11" x14ac:dyDescent="0.25">
      <c r="A454" s="55" t="s">
        <v>151</v>
      </c>
      <c r="B454" s="56" t="s">
        <v>25</v>
      </c>
      <c r="C454" s="55">
        <v>2025</v>
      </c>
      <c r="D454" s="57">
        <v>45744</v>
      </c>
      <c r="E454" s="71">
        <v>69.438699999999997</v>
      </c>
      <c r="F454" s="55">
        <v>101.59</v>
      </c>
      <c r="G454" s="69">
        <f t="shared" ref="G454:G487" si="18">+F454-E454</f>
        <v>32.151300000000006</v>
      </c>
      <c r="H454" s="61">
        <f t="shared" ref="H454:H487" si="19">+F454/E454-1</f>
        <v>0.46301702076795803</v>
      </c>
    </row>
    <row r="455" spans="1:11" x14ac:dyDescent="0.25">
      <c r="A455" s="55" t="s">
        <v>152</v>
      </c>
      <c r="B455" s="56" t="s">
        <v>25</v>
      </c>
      <c r="C455" s="55">
        <v>2025</v>
      </c>
      <c r="D455" s="57">
        <v>45745</v>
      </c>
      <c r="E455" s="71">
        <v>69.438699999999997</v>
      </c>
      <c r="F455" s="55">
        <v>101.59</v>
      </c>
      <c r="G455" s="69">
        <f t="shared" si="18"/>
        <v>32.151300000000006</v>
      </c>
      <c r="H455" s="61">
        <f t="shared" si="19"/>
        <v>0.46301702076795803</v>
      </c>
    </row>
    <row r="456" spans="1:11" x14ac:dyDescent="0.25">
      <c r="A456" s="55" t="s">
        <v>153</v>
      </c>
      <c r="B456" s="56" t="s">
        <v>25</v>
      </c>
      <c r="C456" s="55">
        <v>2025</v>
      </c>
      <c r="D456" s="57">
        <v>45746</v>
      </c>
      <c r="E456" s="71">
        <v>69.438699999999997</v>
      </c>
      <c r="F456" s="55">
        <v>101.59</v>
      </c>
      <c r="G456" s="69">
        <f t="shared" si="18"/>
        <v>32.151300000000006</v>
      </c>
      <c r="H456" s="61">
        <f t="shared" si="19"/>
        <v>0.46301702076795803</v>
      </c>
    </row>
    <row r="457" spans="1:11" x14ac:dyDescent="0.25">
      <c r="A457" s="55" t="s">
        <v>147</v>
      </c>
      <c r="B457" s="56" t="s">
        <v>25</v>
      </c>
      <c r="C457" s="55">
        <v>2025</v>
      </c>
      <c r="D457" s="57">
        <v>45747</v>
      </c>
      <c r="E457" s="71">
        <v>69.566400000000002</v>
      </c>
      <c r="F457" s="55">
        <v>99</v>
      </c>
      <c r="G457" s="69">
        <f t="shared" si="18"/>
        <v>29.433599999999998</v>
      </c>
      <c r="H457" s="61">
        <f t="shared" si="19"/>
        <v>0.42310080728627608</v>
      </c>
      <c r="I457" t="str">
        <f>+TRIM(B457&amp;C457)</f>
        <v>MARZO2025</v>
      </c>
      <c r="J457" s="53">
        <f>+AVERAGE(E427:E457)</f>
        <v>66.640025806451618</v>
      </c>
      <c r="K457" s="53">
        <f>+AVERAGE(F427:F457)</f>
        <v>86.280322580645148</v>
      </c>
    </row>
    <row r="458" spans="1:11" x14ac:dyDescent="0.25">
      <c r="A458" s="55" t="s">
        <v>148</v>
      </c>
      <c r="B458" s="56" t="s">
        <v>26</v>
      </c>
      <c r="C458" s="55">
        <v>2025</v>
      </c>
      <c r="D458" s="57">
        <v>45748</v>
      </c>
      <c r="E458" s="71">
        <v>69.775999999999996</v>
      </c>
      <c r="F458" s="71">
        <v>101.6</v>
      </c>
      <c r="G458" s="69">
        <f t="shared" si="18"/>
        <v>31.823999999999998</v>
      </c>
      <c r="H458" s="61">
        <f t="shared" si="19"/>
        <v>0.45608805319880763</v>
      </c>
    </row>
    <row r="459" spans="1:11" x14ac:dyDescent="0.25">
      <c r="A459" s="55" t="s">
        <v>149</v>
      </c>
      <c r="B459" s="56" t="s">
        <v>26</v>
      </c>
      <c r="C459" s="55">
        <v>2025</v>
      </c>
      <c r="D459" s="57">
        <v>45749</v>
      </c>
      <c r="E459" s="71">
        <v>70.014099999999999</v>
      </c>
      <c r="F459" s="71">
        <v>103.93</v>
      </c>
      <c r="G459" s="69">
        <f t="shared" si="18"/>
        <v>33.915900000000008</v>
      </c>
      <c r="H459" s="61">
        <f t="shared" si="19"/>
        <v>0.48441528206461282</v>
      </c>
    </row>
    <row r="460" spans="1:11" x14ac:dyDescent="0.25">
      <c r="A460" s="55" t="s">
        <v>150</v>
      </c>
      <c r="B460" s="56" t="s">
        <v>26</v>
      </c>
      <c r="C460" s="55">
        <v>2025</v>
      </c>
      <c r="D460" s="57">
        <v>45750</v>
      </c>
      <c r="E460" s="71">
        <v>70.249300000000005</v>
      </c>
      <c r="F460" s="71">
        <v>99.47</v>
      </c>
      <c r="G460" s="69">
        <f t="shared" si="18"/>
        <v>29.220699999999994</v>
      </c>
      <c r="H460" s="61">
        <f t="shared" si="19"/>
        <v>0.41595716967998242</v>
      </c>
    </row>
    <row r="461" spans="1:11" x14ac:dyDescent="0.25">
      <c r="A461" s="55" t="s">
        <v>151</v>
      </c>
      <c r="B461" s="56" t="s">
        <v>26</v>
      </c>
      <c r="C461" s="55">
        <v>2025</v>
      </c>
      <c r="D461" s="57">
        <v>45751</v>
      </c>
      <c r="E461" s="71">
        <v>70.5852</v>
      </c>
      <c r="F461" s="71">
        <v>98.89</v>
      </c>
      <c r="G461" s="69">
        <f t="shared" si="18"/>
        <v>28.3048</v>
      </c>
      <c r="H461" s="61">
        <f t="shared" si="19"/>
        <v>0.4010019097487858</v>
      </c>
    </row>
    <row r="462" spans="1:11" x14ac:dyDescent="0.25">
      <c r="A462" s="55" t="s">
        <v>152</v>
      </c>
      <c r="B462" s="56" t="s">
        <v>26</v>
      </c>
      <c r="C462" s="55">
        <v>2025</v>
      </c>
      <c r="D462" s="57">
        <v>45752</v>
      </c>
      <c r="E462" s="71">
        <v>70.5852</v>
      </c>
      <c r="F462" s="71">
        <v>98.89</v>
      </c>
      <c r="G462" s="69">
        <f t="shared" si="18"/>
        <v>28.3048</v>
      </c>
      <c r="H462" s="61">
        <f t="shared" si="19"/>
        <v>0.4010019097487858</v>
      </c>
    </row>
    <row r="463" spans="1:11" x14ac:dyDescent="0.25">
      <c r="A463" s="55" t="s">
        <v>153</v>
      </c>
      <c r="B463" s="56" t="s">
        <v>26</v>
      </c>
      <c r="C463" s="55">
        <v>2025</v>
      </c>
      <c r="D463" s="57">
        <v>45753</v>
      </c>
      <c r="E463" s="71">
        <v>70.5852</v>
      </c>
      <c r="F463" s="71">
        <v>98.89</v>
      </c>
      <c r="G463" s="69">
        <f t="shared" si="18"/>
        <v>28.3048</v>
      </c>
      <c r="H463" s="61">
        <f t="shared" si="19"/>
        <v>0.4010019097487858</v>
      </c>
    </row>
    <row r="464" spans="1:11" x14ac:dyDescent="0.25">
      <c r="A464" s="55" t="s">
        <v>147</v>
      </c>
      <c r="B464" s="56" t="s">
        <v>26</v>
      </c>
      <c r="C464" s="55">
        <v>2025</v>
      </c>
      <c r="D464" s="57">
        <v>45754</v>
      </c>
      <c r="E464" s="71">
        <v>72.185599999999994</v>
      </c>
      <c r="F464" s="71">
        <v>97.75</v>
      </c>
      <c r="G464" s="69">
        <f t="shared" si="18"/>
        <v>25.564400000000006</v>
      </c>
      <c r="H464" s="61">
        <f t="shared" si="19"/>
        <v>0.35414819576203582</v>
      </c>
    </row>
    <row r="465" spans="1:8" x14ac:dyDescent="0.25">
      <c r="A465" s="55" t="s">
        <v>148</v>
      </c>
      <c r="B465" s="56" t="s">
        <v>26</v>
      </c>
      <c r="C465" s="55">
        <v>2025</v>
      </c>
      <c r="D465" s="57">
        <v>45755</v>
      </c>
      <c r="E465" s="71">
        <v>73.357600000000005</v>
      </c>
      <c r="F465" s="71">
        <v>104.67</v>
      </c>
      <c r="G465" s="69">
        <f t="shared" si="18"/>
        <v>31.312399999999997</v>
      </c>
      <c r="H465" s="61">
        <f t="shared" si="19"/>
        <v>0.42684602549701722</v>
      </c>
    </row>
    <row r="466" spans="1:8" x14ac:dyDescent="0.25">
      <c r="A466" s="55" t="s">
        <v>149</v>
      </c>
      <c r="B466" s="56" t="s">
        <v>26</v>
      </c>
      <c r="C466" s="55">
        <v>2025</v>
      </c>
      <c r="D466" s="57">
        <v>45756</v>
      </c>
      <c r="E466" s="71">
        <v>74.278700000000001</v>
      </c>
      <c r="F466" s="71">
        <v>104.35</v>
      </c>
      <c r="G466" s="69">
        <f t="shared" si="18"/>
        <v>30.071299999999994</v>
      </c>
      <c r="H466" s="61">
        <f t="shared" si="19"/>
        <v>0.40484418817238321</v>
      </c>
    </row>
    <row r="467" spans="1:8" x14ac:dyDescent="0.25">
      <c r="A467" s="55" t="s">
        <v>150</v>
      </c>
      <c r="B467" s="56" t="s">
        <v>26</v>
      </c>
      <c r="C467" s="55">
        <v>2025</v>
      </c>
      <c r="D467" s="57">
        <v>45757</v>
      </c>
      <c r="E467" s="71">
        <v>75.802499999999995</v>
      </c>
      <c r="F467" s="71">
        <v>99.8</v>
      </c>
      <c r="G467" s="69">
        <f t="shared" si="18"/>
        <v>23.997500000000002</v>
      </c>
      <c r="H467" s="61">
        <f t="shared" si="19"/>
        <v>0.31657926849378315</v>
      </c>
    </row>
    <row r="468" spans="1:8" x14ac:dyDescent="0.25">
      <c r="A468" s="55" t="s">
        <v>151</v>
      </c>
      <c r="B468" s="56" t="s">
        <v>26</v>
      </c>
      <c r="C468" s="55">
        <v>2025</v>
      </c>
      <c r="D468" s="57">
        <v>45758</v>
      </c>
      <c r="E468" s="71">
        <v>77.264600000000002</v>
      </c>
      <c r="F468" s="71">
        <v>101.09</v>
      </c>
      <c r="G468" s="69">
        <f t="shared" si="18"/>
        <v>23.825400000000002</v>
      </c>
      <c r="H468" s="61">
        <f t="shared" si="19"/>
        <v>0.30836113821853739</v>
      </c>
    </row>
    <row r="469" spans="1:8" x14ac:dyDescent="0.25">
      <c r="A469" s="55" t="s">
        <v>152</v>
      </c>
      <c r="B469" s="56" t="s">
        <v>26</v>
      </c>
      <c r="C469" s="55">
        <v>2025</v>
      </c>
      <c r="D469" s="57">
        <v>45759</v>
      </c>
      <c r="E469" s="71">
        <v>77.264600000000002</v>
      </c>
      <c r="F469" s="71">
        <v>101.09</v>
      </c>
      <c r="G469" s="69">
        <f t="shared" si="18"/>
        <v>23.825400000000002</v>
      </c>
      <c r="H469" s="61">
        <f t="shared" si="19"/>
        <v>0.30836113821853739</v>
      </c>
    </row>
    <row r="470" spans="1:8" x14ac:dyDescent="0.25">
      <c r="A470" s="55" t="s">
        <v>153</v>
      </c>
      <c r="B470" s="56" t="s">
        <v>26</v>
      </c>
      <c r="C470" s="55">
        <v>2025</v>
      </c>
      <c r="D470" s="57">
        <v>45760</v>
      </c>
      <c r="E470" s="71">
        <v>77.264600000000002</v>
      </c>
      <c r="F470" s="71">
        <v>101.09</v>
      </c>
      <c r="G470" s="69">
        <f t="shared" si="18"/>
        <v>23.825400000000002</v>
      </c>
      <c r="H470" s="61">
        <f t="shared" si="19"/>
        <v>0.30836113821853739</v>
      </c>
    </row>
    <row r="471" spans="1:8" x14ac:dyDescent="0.25">
      <c r="A471" s="55" t="s">
        <v>147</v>
      </c>
      <c r="B471" s="56" t="s">
        <v>26</v>
      </c>
      <c r="C471" s="55">
        <v>2025</v>
      </c>
      <c r="D471" s="57">
        <v>45761</v>
      </c>
      <c r="E471" s="71">
        <v>78.363500000000002</v>
      </c>
      <c r="F471" s="71">
        <v>99.67</v>
      </c>
      <c r="G471" s="69">
        <f t="shared" si="18"/>
        <v>21.3065</v>
      </c>
      <c r="H471" s="61">
        <f t="shared" si="19"/>
        <v>0.27189316454727019</v>
      </c>
    </row>
    <row r="472" spans="1:8" x14ac:dyDescent="0.25">
      <c r="A472" s="55" t="s">
        <v>148</v>
      </c>
      <c r="B472" s="56" t="s">
        <v>26</v>
      </c>
      <c r="C472" s="55">
        <v>2025</v>
      </c>
      <c r="D472" s="57">
        <v>45762</v>
      </c>
      <c r="E472" s="71">
        <v>78.591399999999993</v>
      </c>
      <c r="F472" s="71">
        <v>100.64</v>
      </c>
      <c r="G472" s="69">
        <f t="shared" si="18"/>
        <v>22.048600000000008</v>
      </c>
      <c r="H472" s="61">
        <f t="shared" si="19"/>
        <v>0.28054723544815352</v>
      </c>
    </row>
    <row r="473" spans="1:8" x14ac:dyDescent="0.25">
      <c r="A473" s="55" t="s">
        <v>149</v>
      </c>
      <c r="B473" s="56" t="s">
        <v>26</v>
      </c>
      <c r="C473" s="55">
        <v>2025</v>
      </c>
      <c r="D473" s="57">
        <v>45763</v>
      </c>
      <c r="E473" s="71">
        <v>79.784400000000005</v>
      </c>
      <c r="F473" s="71">
        <v>100.37</v>
      </c>
      <c r="G473" s="69">
        <f t="shared" si="18"/>
        <v>20.585599999999999</v>
      </c>
      <c r="H473" s="61">
        <f t="shared" si="19"/>
        <v>0.25801535137194742</v>
      </c>
    </row>
    <row r="474" spans="1:8" x14ac:dyDescent="0.25">
      <c r="A474" s="55" t="s">
        <v>150</v>
      </c>
      <c r="B474" s="56" t="s">
        <v>26</v>
      </c>
      <c r="C474" s="55">
        <v>2025</v>
      </c>
      <c r="D474" s="57">
        <v>45764</v>
      </c>
      <c r="E474" s="71">
        <v>79.784400000000005</v>
      </c>
      <c r="F474" s="71">
        <v>100.37</v>
      </c>
      <c r="G474" s="69">
        <f t="shared" si="18"/>
        <v>20.585599999999999</v>
      </c>
      <c r="H474" s="61">
        <f t="shared" si="19"/>
        <v>0.25801535137194742</v>
      </c>
    </row>
    <row r="475" spans="1:8" x14ac:dyDescent="0.25">
      <c r="A475" s="55" t="s">
        <v>151</v>
      </c>
      <c r="B475" s="56" t="s">
        <v>26</v>
      </c>
      <c r="C475" s="55">
        <v>2025</v>
      </c>
      <c r="D475" s="57">
        <v>45765</v>
      </c>
      <c r="E475" s="71">
        <v>79.784400000000005</v>
      </c>
      <c r="F475" s="71">
        <v>100.37</v>
      </c>
      <c r="G475" s="69">
        <f t="shared" si="18"/>
        <v>20.585599999999999</v>
      </c>
      <c r="H475" s="61">
        <f t="shared" si="19"/>
        <v>0.25801535137194742</v>
      </c>
    </row>
    <row r="476" spans="1:8" x14ac:dyDescent="0.25">
      <c r="A476" s="55" t="s">
        <v>152</v>
      </c>
      <c r="B476" s="56" t="s">
        <v>26</v>
      </c>
      <c r="C476" s="55">
        <v>2025</v>
      </c>
      <c r="D476" s="57">
        <v>45766</v>
      </c>
      <c r="E476" s="71">
        <v>79.784400000000005</v>
      </c>
      <c r="F476" s="71">
        <v>100.37</v>
      </c>
      <c r="G476" s="69">
        <f t="shared" si="18"/>
        <v>20.585599999999999</v>
      </c>
      <c r="H476" s="61">
        <f t="shared" si="19"/>
        <v>0.25801535137194742</v>
      </c>
    </row>
    <row r="477" spans="1:8" x14ac:dyDescent="0.25">
      <c r="A477" s="55" t="s">
        <v>153</v>
      </c>
      <c r="B477" s="56" t="s">
        <v>26</v>
      </c>
      <c r="C477" s="55">
        <v>2025</v>
      </c>
      <c r="D477" s="57">
        <v>45767</v>
      </c>
      <c r="E477" s="71">
        <v>79.784400000000005</v>
      </c>
      <c r="F477" s="71">
        <v>100.37</v>
      </c>
      <c r="G477" s="69">
        <f t="shared" si="18"/>
        <v>20.585599999999999</v>
      </c>
      <c r="H477" s="61">
        <f t="shared" si="19"/>
        <v>0.25801535137194742</v>
      </c>
    </row>
    <row r="478" spans="1:8" x14ac:dyDescent="0.25">
      <c r="A478" s="55" t="s">
        <v>147</v>
      </c>
      <c r="B478" s="56" t="s">
        <v>26</v>
      </c>
      <c r="C478" s="55">
        <v>2025</v>
      </c>
      <c r="D478" s="57">
        <v>45768</v>
      </c>
      <c r="E478" s="71">
        <v>80.959800000000001</v>
      </c>
      <c r="F478" s="71">
        <v>101.25</v>
      </c>
      <c r="G478" s="69">
        <f t="shared" si="18"/>
        <v>20.290199999999999</v>
      </c>
      <c r="H478" s="61">
        <f t="shared" si="19"/>
        <v>0.25062067841076674</v>
      </c>
    </row>
    <row r="479" spans="1:8" x14ac:dyDescent="0.25">
      <c r="A479" s="55" t="s">
        <v>148</v>
      </c>
      <c r="B479" s="56" t="s">
        <v>26</v>
      </c>
      <c r="C479" s="55">
        <v>2025</v>
      </c>
      <c r="D479" s="57">
        <v>45769</v>
      </c>
      <c r="E479" s="71">
        <v>81.761300000000006</v>
      </c>
      <c r="F479" s="71">
        <v>104.12</v>
      </c>
      <c r="G479" s="69">
        <f t="shared" si="18"/>
        <v>22.358699999999999</v>
      </c>
      <c r="H479" s="61">
        <f t="shared" si="19"/>
        <v>0.2734631176363389</v>
      </c>
    </row>
    <row r="480" spans="1:8" x14ac:dyDescent="0.25">
      <c r="A480" s="55" t="s">
        <v>149</v>
      </c>
      <c r="B480" s="56" t="s">
        <v>26</v>
      </c>
      <c r="C480" s="55">
        <v>2025</v>
      </c>
      <c r="D480" s="57">
        <v>45770</v>
      </c>
      <c r="E480" s="71">
        <v>82.378799999999998</v>
      </c>
      <c r="F480" s="71">
        <v>106.18</v>
      </c>
      <c r="G480" s="69">
        <f t="shared" si="18"/>
        <v>23.801200000000009</v>
      </c>
      <c r="H480" s="61">
        <f t="shared" si="19"/>
        <v>0.28892384933987891</v>
      </c>
    </row>
    <row r="481" spans="1:11" x14ac:dyDescent="0.25">
      <c r="A481" s="55" t="s">
        <v>150</v>
      </c>
      <c r="B481" s="56" t="s">
        <v>26</v>
      </c>
      <c r="C481" s="55">
        <v>2025</v>
      </c>
      <c r="D481" s="57">
        <v>45771</v>
      </c>
      <c r="E481" s="71">
        <v>83.418199999999999</v>
      </c>
      <c r="F481" s="71">
        <v>104.4</v>
      </c>
      <c r="G481" s="69">
        <f t="shared" si="18"/>
        <v>20.981800000000007</v>
      </c>
      <c r="H481" s="61">
        <f t="shared" si="19"/>
        <v>0.2515254464852994</v>
      </c>
    </row>
    <row r="482" spans="1:11" x14ac:dyDescent="0.25">
      <c r="A482" s="55" t="s">
        <v>151</v>
      </c>
      <c r="B482" s="56" t="s">
        <v>26</v>
      </c>
      <c r="C482" s="55">
        <v>2025</v>
      </c>
      <c r="D482" s="57">
        <v>45772</v>
      </c>
      <c r="E482" s="71">
        <v>84.420400000000001</v>
      </c>
      <c r="F482" s="71">
        <v>1104.96</v>
      </c>
      <c r="G482" s="69">
        <f t="shared" si="18"/>
        <v>1020.5396000000001</v>
      </c>
      <c r="H482" s="61">
        <f t="shared" si="19"/>
        <v>12.088779489317748</v>
      </c>
    </row>
    <row r="483" spans="1:11" x14ac:dyDescent="0.25">
      <c r="A483" s="55" t="s">
        <v>152</v>
      </c>
      <c r="B483" s="56" t="s">
        <v>26</v>
      </c>
      <c r="C483" s="55">
        <v>2025</v>
      </c>
      <c r="D483" s="57">
        <v>45773</v>
      </c>
      <c r="E483" s="71">
        <v>84.420400000000001</v>
      </c>
      <c r="F483" s="71">
        <v>1104.96</v>
      </c>
      <c r="G483" s="69">
        <f t="shared" si="18"/>
        <v>1020.5396000000001</v>
      </c>
      <c r="H483" s="61">
        <f t="shared" si="19"/>
        <v>12.088779489317748</v>
      </c>
    </row>
    <row r="484" spans="1:11" x14ac:dyDescent="0.25">
      <c r="A484" s="55" t="s">
        <v>153</v>
      </c>
      <c r="B484" s="56" t="s">
        <v>26</v>
      </c>
      <c r="C484" s="55">
        <v>2025</v>
      </c>
      <c r="D484" s="57">
        <v>45774</v>
      </c>
      <c r="E484" s="71">
        <v>84.420400000000001</v>
      </c>
      <c r="F484" s="71">
        <v>1104.96</v>
      </c>
      <c r="G484" s="69">
        <f t="shared" si="18"/>
        <v>1020.5396000000001</v>
      </c>
      <c r="H484" s="61">
        <f t="shared" si="19"/>
        <v>12.088779489317748</v>
      </c>
    </row>
    <row r="485" spans="1:11" x14ac:dyDescent="0.25">
      <c r="A485" s="55" t="s">
        <v>147</v>
      </c>
      <c r="B485" s="56" t="s">
        <v>26</v>
      </c>
      <c r="C485" s="55">
        <v>2025</v>
      </c>
      <c r="D485" s="57">
        <v>45775</v>
      </c>
      <c r="E485" s="71">
        <v>86.1143</v>
      </c>
      <c r="F485" s="71">
        <v>106.05</v>
      </c>
      <c r="G485" s="69">
        <f t="shared" si="18"/>
        <v>19.935699999999997</v>
      </c>
      <c r="H485" s="61">
        <f t="shared" si="19"/>
        <v>0.23150278176795247</v>
      </c>
    </row>
    <row r="486" spans="1:11" x14ac:dyDescent="0.25">
      <c r="A486" s="55" t="s">
        <v>148</v>
      </c>
      <c r="B486" s="56" t="s">
        <v>26</v>
      </c>
      <c r="C486" s="55">
        <v>2025</v>
      </c>
      <c r="D486" s="57">
        <v>45776</v>
      </c>
      <c r="E486" s="71">
        <v>86.656400000000005</v>
      </c>
      <c r="F486" s="71">
        <v>110.71</v>
      </c>
      <c r="G486" s="69">
        <f t="shared" si="18"/>
        <v>24.053599999999989</v>
      </c>
      <c r="H486" s="61">
        <f t="shared" si="19"/>
        <v>0.27757442035441104</v>
      </c>
    </row>
    <row r="487" spans="1:11" x14ac:dyDescent="0.25">
      <c r="A487" s="55" t="s">
        <v>149</v>
      </c>
      <c r="B487" s="56" t="s">
        <v>26</v>
      </c>
      <c r="C487" s="55">
        <v>2025</v>
      </c>
      <c r="D487" s="57">
        <v>45777</v>
      </c>
      <c r="E487" s="71">
        <v>86.846500000000006</v>
      </c>
      <c r="F487" s="71">
        <v>108.9</v>
      </c>
      <c r="G487" s="69">
        <f t="shared" si="18"/>
        <v>22.0535</v>
      </c>
      <c r="H487" s="61">
        <f t="shared" si="19"/>
        <v>0.2539365432112981</v>
      </c>
      <c r="I487" t="str">
        <f>+TRIM(B487&amp;C487)</f>
        <v>ABRIL2025</v>
      </c>
      <c r="J487" s="53">
        <f>+AVERAGE(E458:E487)</f>
        <v>78.216220000000007</v>
      </c>
      <c r="K487" s="53">
        <f>+AVERAGE(F458:F487)</f>
        <v>202.33866666666663</v>
      </c>
    </row>
    <row r="488" spans="1:11" x14ac:dyDescent="0.25">
      <c r="A488" s="55" t="s">
        <v>150</v>
      </c>
      <c r="B488" s="56" t="s">
        <v>27</v>
      </c>
      <c r="C488" s="55">
        <v>2025</v>
      </c>
      <c r="D488" s="57">
        <v>45778</v>
      </c>
      <c r="E488" s="71">
        <v>86.846500000000006</v>
      </c>
      <c r="F488" s="71">
        <v>109.0992</v>
      </c>
      <c r="G488" s="69">
        <f t="shared" ref="G488:G518" si="20">+F488-E488</f>
        <v>22.25269999999999</v>
      </c>
      <c r="H488" s="61">
        <f t="shared" ref="H488:H518" si="21">+F488/E488-1</f>
        <v>0.25623024531788841</v>
      </c>
    </row>
    <row r="489" spans="1:11" x14ac:dyDescent="0.25">
      <c r="A489" s="55" t="s">
        <v>151</v>
      </c>
      <c r="B489" s="56" t="s">
        <v>27</v>
      </c>
      <c r="C489" s="55">
        <v>2025</v>
      </c>
      <c r="D489" s="57">
        <v>45779</v>
      </c>
      <c r="E489" s="71">
        <v>87.568100000000001</v>
      </c>
      <c r="F489" s="71">
        <v>108.9376</v>
      </c>
      <c r="G489" s="69">
        <f t="shared" si="20"/>
        <v>21.369500000000002</v>
      </c>
      <c r="H489" s="61">
        <f t="shared" si="21"/>
        <v>0.24403292979977875</v>
      </c>
    </row>
    <row r="490" spans="1:11" x14ac:dyDescent="0.25">
      <c r="A490" s="55" t="s">
        <v>152</v>
      </c>
      <c r="B490" s="56" t="s">
        <v>27</v>
      </c>
      <c r="C490" s="55">
        <v>2025</v>
      </c>
      <c r="D490" s="57">
        <v>45780</v>
      </c>
      <c r="E490" s="71">
        <v>87.568100000000001</v>
      </c>
      <c r="F490" s="71">
        <v>108.6618</v>
      </c>
      <c r="G490" s="69">
        <f t="shared" si="20"/>
        <v>21.093699999999998</v>
      </c>
      <c r="H490" s="61">
        <f t="shared" si="21"/>
        <v>0.2408833810485782</v>
      </c>
    </row>
    <row r="491" spans="1:11" x14ac:dyDescent="0.25">
      <c r="A491" s="55" t="s">
        <v>153</v>
      </c>
      <c r="B491" s="56" t="s">
        <v>27</v>
      </c>
      <c r="C491" s="55">
        <v>2025</v>
      </c>
      <c r="D491" s="57">
        <v>45781</v>
      </c>
      <c r="E491" s="71">
        <v>87.568100000000001</v>
      </c>
      <c r="F491" s="71">
        <v>109.19</v>
      </c>
      <c r="G491" s="69">
        <f t="shared" si="20"/>
        <v>21.621899999999997</v>
      </c>
      <c r="H491" s="61">
        <f t="shared" si="21"/>
        <v>0.24691525795352409</v>
      </c>
    </row>
    <row r="492" spans="1:11" x14ac:dyDescent="0.25">
      <c r="A492" s="55" t="s">
        <v>147</v>
      </c>
      <c r="B492" s="56" t="s">
        <v>27</v>
      </c>
      <c r="C492" s="55">
        <v>2025</v>
      </c>
      <c r="D492" s="57">
        <v>45782</v>
      </c>
      <c r="E492" s="71">
        <v>88.640500000000003</v>
      </c>
      <c r="F492" s="71">
        <v>114.8456</v>
      </c>
      <c r="G492" s="69">
        <f t="shared" si="20"/>
        <v>26.205100000000002</v>
      </c>
      <c r="H492" s="61">
        <f t="shared" si="21"/>
        <v>0.2956334858219436</v>
      </c>
    </row>
    <row r="493" spans="1:11" x14ac:dyDescent="0.25">
      <c r="A493" s="55" t="s">
        <v>148</v>
      </c>
      <c r="B493" s="56" t="s">
        <v>27</v>
      </c>
      <c r="C493" s="55">
        <v>2025</v>
      </c>
      <c r="D493" s="57">
        <v>45783</v>
      </c>
      <c r="E493" s="71">
        <v>88.722399999999993</v>
      </c>
      <c r="F493" s="71">
        <v>114.3818</v>
      </c>
      <c r="G493" s="69">
        <f t="shared" si="20"/>
        <v>25.659400000000005</v>
      </c>
      <c r="H493" s="61">
        <f t="shared" si="21"/>
        <v>0.28920994021802837</v>
      </c>
    </row>
    <row r="494" spans="1:11" x14ac:dyDescent="0.25">
      <c r="A494" s="55" t="s">
        <v>149</v>
      </c>
      <c r="B494" s="56" t="s">
        <v>27</v>
      </c>
      <c r="C494" s="55">
        <v>2025</v>
      </c>
      <c r="D494" s="57">
        <v>45784</v>
      </c>
      <c r="E494" s="71">
        <v>91.211299999999994</v>
      </c>
      <c r="F494" s="71">
        <v>115.5078</v>
      </c>
      <c r="G494" s="69">
        <f t="shared" si="20"/>
        <v>24.296500000000009</v>
      </c>
      <c r="H494" s="61">
        <f t="shared" si="21"/>
        <v>0.26637598630871406</v>
      </c>
    </row>
    <row r="495" spans="1:11" x14ac:dyDescent="0.25">
      <c r="A495" s="55" t="s">
        <v>150</v>
      </c>
      <c r="B495" s="56" t="s">
        <v>27</v>
      </c>
      <c r="C495" s="55">
        <v>2025</v>
      </c>
      <c r="D495" s="57">
        <v>45785</v>
      </c>
      <c r="E495" s="71">
        <v>91.916499999999999</v>
      </c>
      <c r="F495" s="71">
        <v>116.854</v>
      </c>
      <c r="G495" s="69">
        <f t="shared" si="20"/>
        <v>24.9375</v>
      </c>
      <c r="H495" s="61">
        <f t="shared" si="21"/>
        <v>0.27130602231373047</v>
      </c>
    </row>
    <row r="496" spans="1:11" x14ac:dyDescent="0.25">
      <c r="A496" s="55" t="s">
        <v>151</v>
      </c>
      <c r="B496" s="56" t="s">
        <v>27</v>
      </c>
      <c r="C496" s="55">
        <v>2025</v>
      </c>
      <c r="D496" s="57">
        <v>45786</v>
      </c>
      <c r="E496" s="71">
        <v>92.831000000000003</v>
      </c>
      <c r="F496" s="71">
        <v>114.1618</v>
      </c>
      <c r="G496" s="69">
        <f t="shared" si="20"/>
        <v>21.330799999999996</v>
      </c>
      <c r="H496" s="61">
        <f t="shared" si="21"/>
        <v>0.22978099988150502</v>
      </c>
    </row>
    <row r="497" spans="1:8" x14ac:dyDescent="0.25">
      <c r="A497" s="55" t="s">
        <v>152</v>
      </c>
      <c r="B497" s="56" t="s">
        <v>27</v>
      </c>
      <c r="C497" s="55">
        <v>2025</v>
      </c>
      <c r="D497" s="57">
        <v>45787</v>
      </c>
      <c r="E497" s="71">
        <v>92.831000000000003</v>
      </c>
      <c r="F497" s="71">
        <v>114.498</v>
      </c>
      <c r="G497" s="69">
        <f t="shared" si="20"/>
        <v>21.667000000000002</v>
      </c>
      <c r="H497" s="61">
        <f t="shared" si="21"/>
        <v>0.23340263489567059</v>
      </c>
    </row>
    <row r="498" spans="1:8" x14ac:dyDescent="0.25">
      <c r="A498" s="55" t="s">
        <v>153</v>
      </c>
      <c r="B498" s="56" t="s">
        <v>27</v>
      </c>
      <c r="C498" s="55">
        <v>2025</v>
      </c>
      <c r="D498" s="57">
        <v>45788</v>
      </c>
      <c r="E498" s="71">
        <v>92.831000000000003</v>
      </c>
      <c r="F498" s="71">
        <v>113.07</v>
      </c>
      <c r="G498" s="69">
        <f t="shared" si="20"/>
        <v>20.23899999999999</v>
      </c>
      <c r="H498" s="61">
        <f t="shared" si="21"/>
        <v>0.21801984250950635</v>
      </c>
    </row>
    <row r="499" spans="1:8" x14ac:dyDescent="0.25">
      <c r="A499" s="55" t="s">
        <v>147</v>
      </c>
      <c r="B499" s="56" t="s">
        <v>27</v>
      </c>
      <c r="C499" s="55">
        <v>2025</v>
      </c>
      <c r="D499" s="57">
        <v>45789</v>
      </c>
      <c r="E499" s="71">
        <v>93.049499999999995</v>
      </c>
      <c r="F499" s="71">
        <v>117.066</v>
      </c>
      <c r="G499" s="69">
        <f t="shared" si="20"/>
        <v>24.016500000000008</v>
      </c>
      <c r="H499" s="61">
        <f t="shared" si="21"/>
        <v>0.25810455725178549</v>
      </c>
    </row>
    <row r="500" spans="1:8" x14ac:dyDescent="0.25">
      <c r="A500" s="55" t="s">
        <v>148</v>
      </c>
      <c r="B500" s="56" t="s">
        <v>27</v>
      </c>
      <c r="C500" s="55">
        <v>2025</v>
      </c>
      <c r="D500" s="57">
        <v>45790</v>
      </c>
      <c r="E500" s="71">
        <v>93.062299999999993</v>
      </c>
      <c r="F500" s="71">
        <v>119.81399999999999</v>
      </c>
      <c r="G500" s="69">
        <f t="shared" si="20"/>
        <v>26.7517</v>
      </c>
      <c r="H500" s="61">
        <f t="shared" si="21"/>
        <v>0.28746012080079697</v>
      </c>
    </row>
    <row r="501" spans="1:8" x14ac:dyDescent="0.25">
      <c r="A501" s="55" t="s">
        <v>149</v>
      </c>
      <c r="B501" s="56" t="s">
        <v>27</v>
      </c>
      <c r="C501" s="55">
        <v>2025</v>
      </c>
      <c r="D501" s="57">
        <v>45791</v>
      </c>
      <c r="E501" s="71">
        <v>93.579599999999999</v>
      </c>
      <c r="F501" s="71">
        <v>118.01600000000001</v>
      </c>
      <c r="G501" s="69">
        <f t="shared" si="20"/>
        <v>24.436400000000006</v>
      </c>
      <c r="H501" s="61">
        <f t="shared" si="21"/>
        <v>0.26112956242599883</v>
      </c>
    </row>
    <row r="502" spans="1:8" x14ac:dyDescent="0.25">
      <c r="A502" s="55" t="s">
        <v>150</v>
      </c>
      <c r="B502" s="56" t="s">
        <v>27</v>
      </c>
      <c r="C502" s="55">
        <v>2025</v>
      </c>
      <c r="D502" s="57">
        <v>45792</v>
      </c>
      <c r="E502" s="71">
        <v>94.155699999999996</v>
      </c>
      <c r="F502" s="71">
        <v>118.99</v>
      </c>
      <c r="G502" s="69">
        <f t="shared" si="20"/>
        <v>24.834299999999999</v>
      </c>
      <c r="H502" s="61">
        <f t="shared" si="21"/>
        <v>0.26375779692573054</v>
      </c>
    </row>
    <row r="503" spans="1:8" x14ac:dyDescent="0.25">
      <c r="A503" s="55" t="s">
        <v>151</v>
      </c>
      <c r="B503" s="56" t="s">
        <v>27</v>
      </c>
      <c r="C503" s="55">
        <v>2025</v>
      </c>
      <c r="D503" s="57">
        <v>45793</v>
      </c>
      <c r="E503" s="71">
        <v>94.324100000000001</v>
      </c>
      <c r="F503" s="71">
        <v>118.9576</v>
      </c>
      <c r="G503" s="69">
        <f t="shared" si="20"/>
        <v>24.633499999999998</v>
      </c>
      <c r="H503" s="61">
        <f t="shared" si="21"/>
        <v>0.26115807094899401</v>
      </c>
    </row>
    <row r="504" spans="1:8" x14ac:dyDescent="0.25">
      <c r="A504" s="55" t="s">
        <v>152</v>
      </c>
      <c r="B504" s="56" t="s">
        <v>27</v>
      </c>
      <c r="C504" s="55">
        <v>2025</v>
      </c>
      <c r="D504" s="57">
        <v>45794</v>
      </c>
      <c r="E504" s="71">
        <v>94.324100000000001</v>
      </c>
      <c r="F504" s="71">
        <v>119.50320000000001</v>
      </c>
      <c r="G504" s="69">
        <f t="shared" si="20"/>
        <v>25.179100000000005</v>
      </c>
      <c r="H504" s="61">
        <f t="shared" si="21"/>
        <v>0.26694238269964954</v>
      </c>
    </row>
    <row r="505" spans="1:8" x14ac:dyDescent="0.25">
      <c r="A505" s="55" t="s">
        <v>153</v>
      </c>
      <c r="B505" s="56" t="s">
        <v>27</v>
      </c>
      <c r="C505" s="55">
        <v>2025</v>
      </c>
      <c r="D505" s="57">
        <v>45795</v>
      </c>
      <c r="E505" s="71">
        <v>94.324100000000001</v>
      </c>
      <c r="F505" s="71">
        <v>121.4436</v>
      </c>
      <c r="G505" s="69">
        <f t="shared" si="20"/>
        <v>27.119500000000002</v>
      </c>
      <c r="H505" s="61">
        <f t="shared" si="21"/>
        <v>0.28751400755480305</v>
      </c>
    </row>
    <row r="506" spans="1:8" x14ac:dyDescent="0.25">
      <c r="A506" s="55" t="s">
        <v>147</v>
      </c>
      <c r="B506" s="56" t="s">
        <v>27</v>
      </c>
      <c r="C506" s="55">
        <v>2025</v>
      </c>
      <c r="D506" s="57">
        <v>45796</v>
      </c>
      <c r="E506" s="71">
        <v>94.763000000000005</v>
      </c>
      <c r="F506" s="71">
        <v>130.41560000000001</v>
      </c>
      <c r="G506" s="69">
        <f t="shared" si="20"/>
        <v>35.652600000000007</v>
      </c>
      <c r="H506" s="61">
        <f t="shared" si="21"/>
        <v>0.37622911895993161</v>
      </c>
    </row>
    <row r="507" spans="1:8" x14ac:dyDescent="0.25">
      <c r="A507" s="55" t="s">
        <v>148</v>
      </c>
      <c r="B507" s="56" t="s">
        <v>27</v>
      </c>
      <c r="C507" s="55">
        <v>2025</v>
      </c>
      <c r="D507" s="57">
        <v>45797</v>
      </c>
      <c r="E507" s="71">
        <v>94.802400000000006</v>
      </c>
      <c r="F507" s="71">
        <v>131.73400000000001</v>
      </c>
      <c r="G507" s="69">
        <f t="shared" si="20"/>
        <v>36.931600000000003</v>
      </c>
      <c r="H507" s="61">
        <f t="shared" si="21"/>
        <v>0.38956397728327552</v>
      </c>
    </row>
    <row r="508" spans="1:8" x14ac:dyDescent="0.25">
      <c r="A508" s="55" t="s">
        <v>149</v>
      </c>
      <c r="B508" s="56" t="s">
        <v>27</v>
      </c>
      <c r="C508" s="55">
        <v>2025</v>
      </c>
      <c r="D508" s="57">
        <v>45798</v>
      </c>
      <c r="E508" s="71">
        <v>94.855599999999995</v>
      </c>
      <c r="F508" s="71">
        <v>131.97239999999999</v>
      </c>
      <c r="G508" s="69">
        <f t="shared" si="20"/>
        <v>37.116799999999998</v>
      </c>
      <c r="H508" s="61">
        <f t="shared" si="21"/>
        <v>0.39129793074947594</v>
      </c>
    </row>
    <row r="509" spans="1:8" x14ac:dyDescent="0.25">
      <c r="A509" s="55" t="s">
        <v>150</v>
      </c>
      <c r="B509" s="56" t="s">
        <v>27</v>
      </c>
      <c r="C509" s="55">
        <v>2025</v>
      </c>
      <c r="D509" s="57">
        <v>45799</v>
      </c>
      <c r="E509" s="71">
        <v>94.965199999999996</v>
      </c>
      <c r="F509" s="71">
        <v>134.4778</v>
      </c>
      <c r="G509" s="69">
        <f t="shared" si="20"/>
        <v>39.512600000000006</v>
      </c>
      <c r="H509" s="61">
        <f t="shared" si="21"/>
        <v>0.41607451992940581</v>
      </c>
    </row>
    <row r="510" spans="1:8" x14ac:dyDescent="0.25">
      <c r="A510" s="55" t="s">
        <v>151</v>
      </c>
      <c r="B510" s="56" t="s">
        <v>27</v>
      </c>
      <c r="C510" s="55">
        <v>2025</v>
      </c>
      <c r="D510" s="57">
        <v>45800</v>
      </c>
      <c r="E510" s="71">
        <v>95.018900000000002</v>
      </c>
      <c r="F510" s="71">
        <v>133.01400000000001</v>
      </c>
      <c r="G510" s="69">
        <f t="shared" si="20"/>
        <v>37.995100000000008</v>
      </c>
      <c r="H510" s="61">
        <f t="shared" si="21"/>
        <v>0.39986886819359113</v>
      </c>
    </row>
    <row r="511" spans="1:8" x14ac:dyDescent="0.25">
      <c r="A511" s="55" t="s">
        <v>152</v>
      </c>
      <c r="B511" s="56" t="s">
        <v>27</v>
      </c>
      <c r="C511" s="55">
        <v>2025</v>
      </c>
      <c r="D511" s="57">
        <v>45801</v>
      </c>
      <c r="E511" s="71">
        <v>95.018900000000002</v>
      </c>
      <c r="F511" s="71">
        <v>132.6054</v>
      </c>
      <c r="G511" s="69">
        <f t="shared" si="20"/>
        <v>37.586500000000001</v>
      </c>
      <c r="H511" s="61">
        <f t="shared" si="21"/>
        <v>0.39556867107491245</v>
      </c>
    </row>
    <row r="512" spans="1:8" x14ac:dyDescent="0.25">
      <c r="A512" s="55" t="s">
        <v>153</v>
      </c>
      <c r="B512" s="56" t="s">
        <v>27</v>
      </c>
      <c r="C512" s="55">
        <v>2025</v>
      </c>
      <c r="D512" s="57">
        <v>45802</v>
      </c>
      <c r="E512" s="71">
        <v>95.018900000000002</v>
      </c>
      <c r="F512" s="71">
        <v>134.13059999999999</v>
      </c>
      <c r="G512" s="69">
        <f t="shared" si="20"/>
        <v>39.111699999999985</v>
      </c>
      <c r="H512" s="61">
        <f t="shared" si="21"/>
        <v>0.41162021450469322</v>
      </c>
    </row>
    <row r="513" spans="1:8" x14ac:dyDescent="0.25">
      <c r="A513" s="55" t="s">
        <v>147</v>
      </c>
      <c r="B513" s="56" t="s">
        <v>27</v>
      </c>
      <c r="C513" s="55">
        <v>2025</v>
      </c>
      <c r="D513" s="57">
        <v>45803</v>
      </c>
      <c r="E513" s="71">
        <v>95.084000000000003</v>
      </c>
      <c r="F513" s="71">
        <v>137.40940000000001</v>
      </c>
      <c r="G513" s="69">
        <f t="shared" si="20"/>
        <v>42.325400000000002</v>
      </c>
      <c r="H513" s="61">
        <f t="shared" si="21"/>
        <v>0.44513693155525647</v>
      </c>
    </row>
    <row r="514" spans="1:8" x14ac:dyDescent="0.25">
      <c r="A514" s="55" t="s">
        <v>148</v>
      </c>
      <c r="B514" s="56" t="s">
        <v>27</v>
      </c>
      <c r="C514" s="55">
        <v>2025</v>
      </c>
      <c r="D514" s="57">
        <v>45804</v>
      </c>
      <c r="E514" s="71">
        <v>95.238699999999994</v>
      </c>
      <c r="F514" s="71">
        <v>146.32980000000001</v>
      </c>
      <c r="G514" s="69">
        <f t="shared" si="20"/>
        <v>51.091100000000012</v>
      </c>
      <c r="H514" s="61">
        <f t="shared" si="21"/>
        <v>0.53645314352253881</v>
      </c>
    </row>
    <row r="515" spans="1:8" x14ac:dyDescent="0.25">
      <c r="A515" s="55" t="s">
        <v>149</v>
      </c>
      <c r="B515" s="56" t="s">
        <v>27</v>
      </c>
      <c r="C515" s="55">
        <v>2025</v>
      </c>
      <c r="D515" s="57">
        <v>45805</v>
      </c>
      <c r="E515" s="71">
        <v>95.805199999999999</v>
      </c>
      <c r="F515" s="71">
        <v>140.9708</v>
      </c>
      <c r="G515" s="69">
        <f t="shared" si="20"/>
        <v>45.165599999999998</v>
      </c>
      <c r="H515" s="61">
        <f t="shared" si="21"/>
        <v>0.47143161331535244</v>
      </c>
    </row>
    <row r="516" spans="1:8" x14ac:dyDescent="0.25">
      <c r="A516" s="55" t="s">
        <v>150</v>
      </c>
      <c r="B516" s="56" t="s">
        <v>27</v>
      </c>
      <c r="C516" s="55">
        <v>2025</v>
      </c>
      <c r="D516" s="57">
        <v>45806</v>
      </c>
      <c r="E516" s="71">
        <v>96.530299999999997</v>
      </c>
      <c r="F516" s="71">
        <v>136.76259999999999</v>
      </c>
      <c r="G516" s="69">
        <f t="shared" si="20"/>
        <v>40.232299999999995</v>
      </c>
      <c r="H516" s="61">
        <f t="shared" si="21"/>
        <v>0.4167841599995028</v>
      </c>
    </row>
    <row r="517" spans="1:8" x14ac:dyDescent="0.25">
      <c r="A517" s="55" t="s">
        <v>151</v>
      </c>
      <c r="B517" s="56" t="s">
        <v>27</v>
      </c>
      <c r="C517" s="55">
        <v>2025</v>
      </c>
      <c r="D517" s="57">
        <v>45807</v>
      </c>
      <c r="E517" s="71">
        <v>96.857699999999994</v>
      </c>
      <c r="F517" s="71">
        <v>124.854</v>
      </c>
      <c r="G517" s="69">
        <f t="shared" si="20"/>
        <v>27.996300000000005</v>
      </c>
      <c r="H517" s="61">
        <f t="shared" si="21"/>
        <v>0.2890456824805876</v>
      </c>
    </row>
    <row r="518" spans="1:8" x14ac:dyDescent="0.25">
      <c r="A518" s="55" t="s">
        <v>152</v>
      </c>
      <c r="B518" s="56" t="s">
        <v>27</v>
      </c>
      <c r="C518" s="55">
        <v>2025</v>
      </c>
      <c r="D518" s="57">
        <v>45808</v>
      </c>
      <c r="E518" s="71">
        <v>96.857699999999994</v>
      </c>
      <c r="F518" s="71">
        <v>127.6962</v>
      </c>
      <c r="G518" s="69">
        <f t="shared" si="20"/>
        <v>30.83850000000001</v>
      </c>
      <c r="H518" s="61">
        <f t="shared" si="21"/>
        <v>0.31838976147482345</v>
      </c>
    </row>
    <row r="519" spans="1:8" x14ac:dyDescent="0.25">
      <c r="A519" s="55" t="s">
        <v>153</v>
      </c>
      <c r="B519" s="56" t="s">
        <v>28</v>
      </c>
      <c r="C519" s="55">
        <v>2025</v>
      </c>
      <c r="D519" s="57">
        <v>45809</v>
      </c>
      <c r="E519" s="71">
        <v>96.857699999999994</v>
      </c>
      <c r="F519" s="71"/>
      <c r="G519" s="69"/>
      <c r="H519" s="61"/>
    </row>
    <row r="520" spans="1:8" x14ac:dyDescent="0.25">
      <c r="A520" s="55" t="s">
        <v>147</v>
      </c>
      <c r="B520" s="56" t="s">
        <v>28</v>
      </c>
      <c r="C520" s="55">
        <v>2025</v>
      </c>
      <c r="D520" s="57">
        <v>45810</v>
      </c>
      <c r="E520" s="71">
        <v>96.857699999999994</v>
      </c>
      <c r="F520" s="71"/>
      <c r="G520" s="69"/>
      <c r="H520" s="61"/>
    </row>
    <row r="521" spans="1:8" x14ac:dyDescent="0.25">
      <c r="A521" s="55" t="s">
        <v>148</v>
      </c>
      <c r="B521" s="56" t="s">
        <v>28</v>
      </c>
      <c r="C521" s="55">
        <v>2025</v>
      </c>
      <c r="D521" s="57">
        <v>45811</v>
      </c>
      <c r="E521" s="71">
        <v>97.312600000000003</v>
      </c>
      <c r="F521" s="71"/>
      <c r="G521" s="69"/>
      <c r="H521" s="61"/>
    </row>
    <row r="522" spans="1:8" x14ac:dyDescent="0.25">
      <c r="A522" s="55" t="s">
        <v>149</v>
      </c>
      <c r="B522" s="56" t="s">
        <v>28</v>
      </c>
      <c r="C522" s="55">
        <v>2025</v>
      </c>
      <c r="D522" s="57">
        <v>45812</v>
      </c>
      <c r="E522" s="71">
        <v>97.419399999999996</v>
      </c>
      <c r="F522" s="71"/>
      <c r="G522" s="69"/>
      <c r="H522" s="61"/>
    </row>
    <row r="523" spans="1:8" x14ac:dyDescent="0.25">
      <c r="A523" s="55" t="s">
        <v>150</v>
      </c>
      <c r="B523" s="56" t="s">
        <v>28</v>
      </c>
      <c r="C523" s="55">
        <v>2025</v>
      </c>
      <c r="D523" s="57">
        <v>45813</v>
      </c>
      <c r="E523" s="71">
        <v>97.903099999999995</v>
      </c>
      <c r="F523" s="71"/>
      <c r="G523" s="69"/>
      <c r="H523" s="61"/>
    </row>
    <row r="524" spans="1:8" x14ac:dyDescent="0.25">
      <c r="A524" s="55" t="s">
        <v>151</v>
      </c>
      <c r="B524" s="56" t="s">
        <v>28</v>
      </c>
      <c r="C524" s="55">
        <v>2025</v>
      </c>
      <c r="D524" s="57">
        <v>45814</v>
      </c>
      <c r="E524" s="71">
        <v>98.513199999999998</v>
      </c>
      <c r="F524" s="71"/>
      <c r="G524" s="69"/>
      <c r="H524" s="61"/>
    </row>
    <row r="525" spans="1:8" x14ac:dyDescent="0.25">
      <c r="A525" s="55" t="s">
        <v>152</v>
      </c>
      <c r="B525" s="56" t="s">
        <v>28</v>
      </c>
      <c r="C525" s="55">
        <v>2025</v>
      </c>
      <c r="D525" s="57">
        <v>45815</v>
      </c>
      <c r="E525" s="71">
        <v>98.513199999999998</v>
      </c>
      <c r="F525" s="71"/>
      <c r="G525" s="69"/>
      <c r="H525" s="61"/>
    </row>
    <row r="526" spans="1:8" x14ac:dyDescent="0.25">
      <c r="A526" s="55" t="s">
        <v>153</v>
      </c>
      <c r="B526" s="56" t="s">
        <v>28</v>
      </c>
      <c r="C526" s="55">
        <v>2025</v>
      </c>
      <c r="D526" s="57">
        <v>45816</v>
      </c>
      <c r="E526" s="71">
        <v>98.513199999999998</v>
      </c>
      <c r="F526" s="71"/>
      <c r="G526" s="69"/>
      <c r="H526" s="61"/>
    </row>
    <row r="527" spans="1:8" x14ac:dyDescent="0.25">
      <c r="A527" s="55" t="s">
        <v>147</v>
      </c>
      <c r="B527" s="56" t="s">
        <v>28</v>
      </c>
      <c r="C527" s="55">
        <v>2025</v>
      </c>
      <c r="D527" s="57">
        <v>45817</v>
      </c>
      <c r="E527" s="71">
        <v>99.0916</v>
      </c>
      <c r="F527" s="71"/>
      <c r="G527" s="69"/>
      <c r="H527" s="61"/>
    </row>
    <row r="528" spans="1:8" x14ac:dyDescent="0.25">
      <c r="A528" s="55" t="s">
        <v>148</v>
      </c>
      <c r="B528" s="56" t="s">
        <v>28</v>
      </c>
      <c r="C528" s="55">
        <v>2025</v>
      </c>
      <c r="D528" s="57">
        <v>45818</v>
      </c>
      <c r="E528" s="71">
        <v>99.124700000000004</v>
      </c>
      <c r="F528" s="71"/>
      <c r="G528" s="69"/>
      <c r="H528" s="61"/>
    </row>
    <row r="529" spans="1:8" x14ac:dyDescent="0.25">
      <c r="A529" s="55" t="s">
        <v>149</v>
      </c>
      <c r="B529" s="56" t="s">
        <v>28</v>
      </c>
      <c r="C529" s="55">
        <v>2025</v>
      </c>
      <c r="D529" s="57">
        <v>45819</v>
      </c>
      <c r="E529" s="71">
        <v>99.698300000000003</v>
      </c>
      <c r="F529" s="71"/>
      <c r="G529" s="69"/>
      <c r="H529" s="61"/>
    </row>
    <row r="530" spans="1:8" x14ac:dyDescent="0.25">
      <c r="A530" s="55" t="s">
        <v>150</v>
      </c>
      <c r="B530" s="56" t="s">
        <v>28</v>
      </c>
      <c r="C530" s="55">
        <v>2025</v>
      </c>
      <c r="D530" s="57">
        <v>45820</v>
      </c>
      <c r="E530" s="71">
        <v>100.3396</v>
      </c>
      <c r="F530" s="71"/>
      <c r="G530" s="69"/>
      <c r="H530" s="61"/>
    </row>
    <row r="531" spans="1:8" x14ac:dyDescent="0.25">
      <c r="A531" s="55" t="s">
        <v>151</v>
      </c>
      <c r="B531" s="56" t="s">
        <v>28</v>
      </c>
      <c r="C531" s="55">
        <v>2025</v>
      </c>
      <c r="D531" s="57">
        <v>45821</v>
      </c>
      <c r="E531" s="71">
        <v>101.0822</v>
      </c>
      <c r="F531" s="71"/>
      <c r="G531" s="69"/>
      <c r="H531" s="61"/>
    </row>
    <row r="532" spans="1:8" x14ac:dyDescent="0.25">
      <c r="A532" s="55" t="s">
        <v>152</v>
      </c>
      <c r="B532" s="56" t="s">
        <v>28</v>
      </c>
      <c r="C532" s="55">
        <v>2025</v>
      </c>
      <c r="D532" s="57">
        <v>45822</v>
      </c>
      <c r="E532" s="71">
        <v>101.0822</v>
      </c>
      <c r="F532" s="71"/>
      <c r="G532" s="69"/>
      <c r="H532" s="61"/>
    </row>
    <row r="533" spans="1:8" x14ac:dyDescent="0.25">
      <c r="A533" s="55" t="s">
        <v>153</v>
      </c>
      <c r="B533" s="56" t="s">
        <v>28</v>
      </c>
      <c r="C533" s="55">
        <v>2025</v>
      </c>
      <c r="D533" s="57">
        <v>45823</v>
      </c>
      <c r="E533" s="71">
        <v>101.0822</v>
      </c>
      <c r="F533" s="71"/>
      <c r="G533" s="69"/>
      <c r="H533" s="61"/>
    </row>
    <row r="534" spans="1:8" x14ac:dyDescent="0.25">
      <c r="A534" s="55" t="s">
        <v>147</v>
      </c>
      <c r="B534" s="56" t="s">
        <v>28</v>
      </c>
      <c r="C534" s="55">
        <v>2025</v>
      </c>
      <c r="D534" s="57">
        <v>45824</v>
      </c>
      <c r="E534" s="71">
        <v>101.0822</v>
      </c>
      <c r="F534" s="71"/>
      <c r="G534" s="69"/>
      <c r="H534" s="61"/>
    </row>
    <row r="535" spans="1:8" x14ac:dyDescent="0.25">
      <c r="A535" s="55" t="s">
        <v>148</v>
      </c>
      <c r="B535" s="56" t="s">
        <v>28</v>
      </c>
      <c r="C535" s="55">
        <v>2025</v>
      </c>
      <c r="D535" s="57">
        <v>45825</v>
      </c>
      <c r="E535" s="71">
        <v>102.157</v>
      </c>
      <c r="F535" s="71"/>
      <c r="G535" s="69"/>
      <c r="H535" s="61"/>
    </row>
    <row r="536" spans="1:8" x14ac:dyDescent="0.25">
      <c r="A536" s="55" t="s">
        <v>149</v>
      </c>
      <c r="B536" s="56" t="s">
        <v>28</v>
      </c>
      <c r="C536" s="55">
        <v>2025</v>
      </c>
      <c r="D536" s="57">
        <v>45826</v>
      </c>
      <c r="E536" s="71">
        <v>102.8083</v>
      </c>
      <c r="F536" s="71"/>
      <c r="G536" s="69"/>
      <c r="H536" s="61"/>
    </row>
    <row r="537" spans="1:8" x14ac:dyDescent="0.25">
      <c r="A537" s="55" t="s">
        <v>150</v>
      </c>
      <c r="B537" s="56" t="s">
        <v>28</v>
      </c>
      <c r="C537" s="55">
        <v>2025</v>
      </c>
      <c r="D537" s="57">
        <v>45827</v>
      </c>
      <c r="E537" s="71">
        <v>103.7355</v>
      </c>
      <c r="F537" s="71"/>
      <c r="G537" s="69"/>
      <c r="H537" s="61"/>
    </row>
    <row r="538" spans="1:8" x14ac:dyDescent="0.25">
      <c r="A538" s="55" t="s">
        <v>151</v>
      </c>
      <c r="B538" s="56" t="s">
        <v>28</v>
      </c>
      <c r="C538" s="55">
        <v>2025</v>
      </c>
      <c r="D538" s="57">
        <v>45828</v>
      </c>
      <c r="E538" s="71">
        <v>104.54340000000001</v>
      </c>
      <c r="F538" s="71"/>
      <c r="G538" s="69"/>
      <c r="H538" s="61"/>
    </row>
    <row r="539" spans="1:8" x14ac:dyDescent="0.25">
      <c r="A539" s="55" t="s">
        <v>152</v>
      </c>
      <c r="B539" s="56" t="s">
        <v>28</v>
      </c>
      <c r="C539" s="55">
        <v>2025</v>
      </c>
      <c r="D539" s="57">
        <v>45829</v>
      </c>
      <c r="E539" s="71">
        <v>104.54340000000001</v>
      </c>
      <c r="F539" s="71"/>
      <c r="G539" s="69"/>
      <c r="H539" s="61"/>
    </row>
    <row r="540" spans="1:8" x14ac:dyDescent="0.25">
      <c r="A540" s="55" t="s">
        <v>153</v>
      </c>
      <c r="B540" s="56" t="s">
        <v>28</v>
      </c>
      <c r="C540" s="55">
        <v>2025</v>
      </c>
      <c r="D540" s="57">
        <v>45830</v>
      </c>
      <c r="E540" s="71">
        <v>104.54340000000001</v>
      </c>
      <c r="F540" s="71"/>
      <c r="G540" s="69"/>
      <c r="H540" s="61"/>
    </row>
    <row r="541" spans="1:8" x14ac:dyDescent="0.25">
      <c r="A541" s="55" t="s">
        <v>147</v>
      </c>
      <c r="B541" s="56" t="s">
        <v>28</v>
      </c>
      <c r="C541" s="55">
        <v>2025</v>
      </c>
      <c r="D541" s="57">
        <v>45831</v>
      </c>
      <c r="E541" s="71">
        <v>105.45269999999999</v>
      </c>
      <c r="F541" s="71"/>
      <c r="G541" s="69"/>
      <c r="H541" s="61"/>
    </row>
    <row r="542" spans="1:8" x14ac:dyDescent="0.25">
      <c r="A542" s="55" t="s">
        <v>148</v>
      </c>
      <c r="B542" s="56" t="s">
        <v>28</v>
      </c>
      <c r="C542" s="55">
        <v>2025</v>
      </c>
      <c r="D542" s="57">
        <v>45832</v>
      </c>
      <c r="E542" s="71">
        <v>105.45269999999999</v>
      </c>
      <c r="F542" s="71"/>
      <c r="G542" s="69"/>
      <c r="H542" s="61"/>
    </row>
    <row r="543" spans="1:8" x14ac:dyDescent="0.25">
      <c r="A543" s="55" t="s">
        <v>149</v>
      </c>
      <c r="B543" s="56" t="s">
        <v>28</v>
      </c>
      <c r="C543" s="55">
        <v>2025</v>
      </c>
      <c r="D543" s="57">
        <v>45833</v>
      </c>
      <c r="E543" s="71">
        <v>105.45269999999999</v>
      </c>
      <c r="F543" s="71"/>
      <c r="G543" s="69"/>
      <c r="H543" s="61"/>
    </row>
    <row r="544" spans="1:8" x14ac:dyDescent="0.25">
      <c r="A544" s="55" t="s">
        <v>150</v>
      </c>
      <c r="B544" s="56" t="s">
        <v>28</v>
      </c>
      <c r="C544" s="55">
        <v>2025</v>
      </c>
      <c r="D544" s="57">
        <v>45834</v>
      </c>
      <c r="E544" s="71">
        <v>106.16849999999999</v>
      </c>
      <c r="F544" s="71"/>
      <c r="G544" s="69"/>
      <c r="H544" s="61"/>
    </row>
    <row r="545" spans="1:8" x14ac:dyDescent="0.25">
      <c r="A545" s="55" t="s">
        <v>151</v>
      </c>
      <c r="B545" s="56" t="s">
        <v>28</v>
      </c>
      <c r="C545" s="55">
        <v>2025</v>
      </c>
      <c r="D545" s="57">
        <v>45835</v>
      </c>
      <c r="E545" s="71">
        <v>106.86199999999999</v>
      </c>
      <c r="F545" s="71"/>
      <c r="G545" s="69"/>
      <c r="H545" s="61"/>
    </row>
    <row r="546" spans="1:8" x14ac:dyDescent="0.25">
      <c r="A546" s="55" t="s">
        <v>152</v>
      </c>
      <c r="B546" s="56" t="s">
        <v>28</v>
      </c>
      <c r="C546" s="55">
        <v>2025</v>
      </c>
      <c r="D546" s="57">
        <v>45836</v>
      </c>
      <c r="E546" s="71">
        <v>106.86199999999999</v>
      </c>
      <c r="F546" s="71"/>
      <c r="G546" s="69"/>
      <c r="H546" s="61"/>
    </row>
    <row r="547" spans="1:8" x14ac:dyDescent="0.25">
      <c r="A547" s="55" t="s">
        <v>153</v>
      </c>
      <c r="B547" s="56" t="s">
        <v>28</v>
      </c>
      <c r="C547" s="55">
        <v>2025</v>
      </c>
      <c r="D547" s="57">
        <v>45837</v>
      </c>
      <c r="E547" s="71">
        <v>106.86199999999999</v>
      </c>
      <c r="F547" s="71"/>
      <c r="G547" s="69"/>
      <c r="H547" s="61"/>
    </row>
    <row r="548" spans="1:8" x14ac:dyDescent="0.25">
      <c r="A548" s="55" t="s">
        <v>147</v>
      </c>
      <c r="B548" s="56" t="s">
        <v>28</v>
      </c>
      <c r="C548" s="55">
        <v>2025</v>
      </c>
      <c r="D548" s="57">
        <v>45838</v>
      </c>
      <c r="E548" s="71">
        <v>107.6245</v>
      </c>
      <c r="F548" s="71"/>
      <c r="G548" s="69"/>
      <c r="H548" s="61"/>
    </row>
    <row r="549" spans="1:8" x14ac:dyDescent="0.25">
      <c r="A549" s="55" t="s">
        <v>148</v>
      </c>
      <c r="B549" s="56" t="s">
        <v>29</v>
      </c>
      <c r="C549" s="55">
        <v>2025</v>
      </c>
      <c r="D549" s="57">
        <v>45839</v>
      </c>
      <c r="E549" s="71">
        <v>108.1891</v>
      </c>
      <c r="F549" s="71"/>
      <c r="G549" s="69"/>
      <c r="H549" s="61"/>
    </row>
    <row r="550" spans="1:8" x14ac:dyDescent="0.25">
      <c r="A550" s="55" t="s">
        <v>149</v>
      </c>
      <c r="B550" s="56" t="s">
        <v>29</v>
      </c>
      <c r="C550" s="55">
        <v>2025</v>
      </c>
      <c r="D550" s="57">
        <v>45840</v>
      </c>
      <c r="E550" s="71">
        <v>108.9785</v>
      </c>
      <c r="F550" s="71"/>
      <c r="G550" s="69"/>
      <c r="H550" s="61"/>
    </row>
    <row r="551" spans="1:8" x14ac:dyDescent="0.25">
      <c r="A551" s="55" t="s">
        <v>150</v>
      </c>
      <c r="B551" s="56" t="s">
        <v>29</v>
      </c>
      <c r="C551" s="55">
        <v>2025</v>
      </c>
      <c r="D551" s="57">
        <v>45841</v>
      </c>
      <c r="E551" s="71">
        <v>109.7724</v>
      </c>
      <c r="F551" s="71"/>
      <c r="G551" s="69"/>
      <c r="H551" s="61"/>
    </row>
    <row r="552" spans="1:8" x14ac:dyDescent="0.25">
      <c r="A552" s="55" t="s">
        <v>151</v>
      </c>
      <c r="B552" s="56" t="s">
        <v>29</v>
      </c>
      <c r="C552" s="55">
        <v>2025</v>
      </c>
      <c r="D552" s="57">
        <v>45842</v>
      </c>
      <c r="E552" s="71">
        <v>110.5569</v>
      </c>
      <c r="F552" s="71"/>
      <c r="G552" s="69"/>
      <c r="H552" s="61"/>
    </row>
    <row r="553" spans="1:8" x14ac:dyDescent="0.25">
      <c r="A553" s="55" t="s">
        <v>152</v>
      </c>
      <c r="B553" s="56" t="s">
        <v>29</v>
      </c>
      <c r="C553" s="55">
        <v>2025</v>
      </c>
      <c r="D553" s="57">
        <v>45843</v>
      </c>
      <c r="E553" s="71">
        <v>110.5569</v>
      </c>
      <c r="F553" s="71"/>
      <c r="G553" s="69"/>
      <c r="H553" s="61"/>
    </row>
    <row r="554" spans="1:8" x14ac:dyDescent="0.25">
      <c r="A554" s="55" t="s">
        <v>153</v>
      </c>
      <c r="B554" s="56" t="s">
        <v>29</v>
      </c>
      <c r="C554" s="55">
        <v>2025</v>
      </c>
      <c r="D554" s="57">
        <v>45844</v>
      </c>
      <c r="E554" s="71">
        <v>110.5569</v>
      </c>
      <c r="F554" s="71"/>
      <c r="G554" s="69"/>
      <c r="H554" s="61"/>
    </row>
    <row r="555" spans="1:8" x14ac:dyDescent="0.25">
      <c r="A555" s="55" t="s">
        <v>147</v>
      </c>
      <c r="B555" s="56" t="s">
        <v>29</v>
      </c>
      <c r="C555" s="55">
        <v>2025</v>
      </c>
      <c r="D555" s="57">
        <v>45845</v>
      </c>
      <c r="E555" s="71">
        <v>111.4186</v>
      </c>
      <c r="F555" s="71"/>
      <c r="G555" s="69"/>
      <c r="H555" s="61"/>
    </row>
    <row r="556" spans="1:8" x14ac:dyDescent="0.25">
      <c r="A556" s="55" t="s">
        <v>148</v>
      </c>
      <c r="B556" s="56" t="s">
        <v>29</v>
      </c>
      <c r="C556" s="55">
        <v>2025</v>
      </c>
      <c r="D556" s="57">
        <v>45846</v>
      </c>
      <c r="E556" s="71">
        <v>112.12779999999999</v>
      </c>
      <c r="F556" s="71"/>
      <c r="G556" s="69"/>
      <c r="H556" s="61"/>
    </row>
    <row r="557" spans="1:8" x14ac:dyDescent="0.25">
      <c r="A557" s="55" t="s">
        <v>149</v>
      </c>
      <c r="B557" s="56" t="s">
        <v>29</v>
      </c>
      <c r="C557" s="55">
        <v>2025</v>
      </c>
      <c r="D557" s="57">
        <v>45847</v>
      </c>
      <c r="E557" s="71">
        <v>112.82850000000001</v>
      </c>
      <c r="F557" s="71"/>
      <c r="G557" s="69"/>
      <c r="H557" s="61"/>
    </row>
    <row r="558" spans="1:8" x14ac:dyDescent="0.25">
      <c r="A558" s="55" t="s">
        <v>150</v>
      </c>
      <c r="B558" s="56" t="s">
        <v>29</v>
      </c>
      <c r="C558" s="55">
        <v>2025</v>
      </c>
      <c r="D558" s="57">
        <v>45848</v>
      </c>
      <c r="E558" s="71">
        <v>113.7505</v>
      </c>
      <c r="F558" s="71"/>
      <c r="G558" s="69"/>
      <c r="H558" s="61"/>
    </row>
    <row r="559" spans="1:8" x14ac:dyDescent="0.25">
      <c r="A559" s="55" t="s">
        <v>151</v>
      </c>
      <c r="B559" s="56" t="s">
        <v>29</v>
      </c>
      <c r="C559" s="55">
        <v>2025</v>
      </c>
      <c r="D559" s="57">
        <v>45849</v>
      </c>
      <c r="E559" s="71">
        <v>114.4115</v>
      </c>
      <c r="F559" s="71"/>
      <c r="G559" s="69"/>
      <c r="H559" s="61"/>
    </row>
    <row r="560" spans="1:8" x14ac:dyDescent="0.25">
      <c r="A560" s="55" t="s">
        <v>152</v>
      </c>
      <c r="B560" s="56" t="s">
        <v>29</v>
      </c>
      <c r="C560" s="55">
        <v>2025</v>
      </c>
      <c r="D560" s="57">
        <v>45850</v>
      </c>
      <c r="E560" s="71">
        <v>114.4115</v>
      </c>
      <c r="F560" s="71"/>
      <c r="G560" s="69"/>
      <c r="H560" s="61"/>
    </row>
    <row r="561" spans="1:8" x14ac:dyDescent="0.25">
      <c r="A561" s="55" t="s">
        <v>153</v>
      </c>
      <c r="B561" s="56" t="s">
        <v>29</v>
      </c>
      <c r="C561" s="55">
        <v>2025</v>
      </c>
      <c r="D561" s="57">
        <v>45851</v>
      </c>
      <c r="E561" s="71">
        <v>114.4115</v>
      </c>
      <c r="F561" s="71"/>
      <c r="G561" s="69"/>
      <c r="H561" s="61"/>
    </row>
    <row r="562" spans="1:8" x14ac:dyDescent="0.25">
      <c r="A562" s="55" t="s">
        <v>147</v>
      </c>
      <c r="B562" s="56" t="s">
        <v>29</v>
      </c>
      <c r="C562" s="55">
        <v>2025</v>
      </c>
      <c r="D562" s="57">
        <v>45852</v>
      </c>
      <c r="E562" s="71">
        <v>115.3279</v>
      </c>
      <c r="F562" s="71"/>
      <c r="G562" s="69"/>
      <c r="H562" s="61"/>
    </row>
    <row r="563" spans="1:8" x14ac:dyDescent="0.25">
      <c r="A563" s="55" t="s">
        <v>148</v>
      </c>
      <c r="B563" s="56" t="s">
        <v>29</v>
      </c>
      <c r="C563" s="55">
        <v>2025</v>
      </c>
      <c r="D563" s="57">
        <v>45853</v>
      </c>
      <c r="E563" s="71">
        <v>115.8446</v>
      </c>
      <c r="F563" s="71"/>
      <c r="G563" s="69"/>
      <c r="H563" s="61"/>
    </row>
    <row r="564" spans="1:8" x14ac:dyDescent="0.25">
      <c r="A564" s="55" t="s">
        <v>149</v>
      </c>
      <c r="B564" s="56" t="s">
        <v>29</v>
      </c>
      <c r="C564" s="55">
        <v>2025</v>
      </c>
      <c r="D564" s="57">
        <v>45854</v>
      </c>
      <c r="E564" s="71">
        <v>116.81910000000001</v>
      </c>
      <c r="F564" s="71"/>
      <c r="G564" s="69"/>
      <c r="H564" s="61"/>
    </row>
    <row r="565" spans="1:8" x14ac:dyDescent="0.25">
      <c r="A565" s="55" t="s">
        <v>150</v>
      </c>
      <c r="B565" s="56" t="s">
        <v>29</v>
      </c>
      <c r="C565" s="55">
        <v>2025</v>
      </c>
      <c r="D565" s="57">
        <v>45855</v>
      </c>
      <c r="E565" s="71">
        <v>117.4036</v>
      </c>
      <c r="F565" s="71"/>
      <c r="G565" s="69"/>
      <c r="H565" s="61"/>
    </row>
    <row r="566" spans="1:8" x14ac:dyDescent="0.25">
      <c r="A566" s="55" t="s">
        <v>151</v>
      </c>
      <c r="B566" s="56" t="s">
        <v>29</v>
      </c>
      <c r="C566" s="55">
        <v>2025</v>
      </c>
      <c r="D566" s="57">
        <v>45856</v>
      </c>
      <c r="E566" s="71">
        <v>118.28740000000001</v>
      </c>
      <c r="F566" s="71"/>
      <c r="G566" s="69"/>
      <c r="H566" s="61"/>
    </row>
    <row r="567" spans="1:8" x14ac:dyDescent="0.25">
      <c r="A567" s="55" t="s">
        <v>152</v>
      </c>
      <c r="B567" s="56" t="s">
        <v>29</v>
      </c>
      <c r="C567" s="55">
        <v>2025</v>
      </c>
      <c r="D567" s="57">
        <v>45857</v>
      </c>
      <c r="E567" s="71">
        <v>118.28740000000001</v>
      </c>
      <c r="F567" s="71"/>
      <c r="G567" s="69"/>
      <c r="H567" s="61"/>
    </row>
    <row r="568" spans="1:8" x14ac:dyDescent="0.25">
      <c r="A568" s="55" t="s">
        <v>153</v>
      </c>
      <c r="B568" s="56" t="s">
        <v>29</v>
      </c>
      <c r="C568" s="55">
        <v>2025</v>
      </c>
      <c r="D568" s="57">
        <v>45858</v>
      </c>
      <c r="E568" s="71">
        <v>118.28740000000001</v>
      </c>
      <c r="F568" s="71"/>
      <c r="G568" s="69"/>
      <c r="H568" s="61"/>
    </row>
    <row r="569" spans="1:8" x14ac:dyDescent="0.25">
      <c r="A569" s="55" t="s">
        <v>147</v>
      </c>
      <c r="B569" s="56" t="s">
        <v>29</v>
      </c>
      <c r="C569" s="55">
        <v>2025</v>
      </c>
      <c r="D569" s="57">
        <v>45859</v>
      </c>
      <c r="E569" s="71">
        <v>119.1446</v>
      </c>
      <c r="F569" s="71"/>
      <c r="G569" s="69"/>
      <c r="H569" s="61"/>
    </row>
    <row r="570" spans="1:8" x14ac:dyDescent="0.25">
      <c r="A570" s="55" t="s">
        <v>148</v>
      </c>
      <c r="B570" s="56" t="s">
        <v>29</v>
      </c>
      <c r="C570" s="55">
        <v>2025</v>
      </c>
      <c r="D570" s="57">
        <v>45860</v>
      </c>
      <c r="E570" s="71">
        <v>119.6662</v>
      </c>
      <c r="F570" s="71"/>
      <c r="G570" s="69"/>
      <c r="H570" s="61"/>
    </row>
    <row r="571" spans="1:8" x14ac:dyDescent="0.25">
      <c r="A571" s="55" t="s">
        <v>149</v>
      </c>
      <c r="B571" s="56" t="s">
        <v>29</v>
      </c>
      <c r="C571" s="55">
        <v>2025</v>
      </c>
      <c r="D571" s="57">
        <v>45861</v>
      </c>
      <c r="E571" s="71">
        <v>120.4239</v>
      </c>
      <c r="F571" s="71"/>
      <c r="G571" s="69"/>
      <c r="H571" s="61"/>
    </row>
    <row r="572" spans="1:8" x14ac:dyDescent="0.25">
      <c r="A572" s="55" t="s">
        <v>150</v>
      </c>
      <c r="B572" s="56" t="s">
        <v>29</v>
      </c>
      <c r="C572" s="55">
        <v>2025</v>
      </c>
      <c r="D572" s="57">
        <v>45862</v>
      </c>
      <c r="E572" s="71">
        <v>120.4239</v>
      </c>
      <c r="F572" s="71"/>
      <c r="G572" s="69"/>
      <c r="H572" s="61"/>
    </row>
    <row r="573" spans="1:8" x14ac:dyDescent="0.25">
      <c r="A573" s="55" t="s">
        <v>151</v>
      </c>
      <c r="B573" s="56" t="s">
        <v>29</v>
      </c>
      <c r="C573" s="55">
        <v>2025</v>
      </c>
      <c r="D573" s="57">
        <v>45863</v>
      </c>
      <c r="E573" s="71">
        <v>121.34690000000001</v>
      </c>
      <c r="F573" s="71"/>
      <c r="G573" s="69"/>
      <c r="H573" s="61"/>
    </row>
    <row r="574" spans="1:8" x14ac:dyDescent="0.25">
      <c r="A574" s="55" t="s">
        <v>152</v>
      </c>
      <c r="B574" s="56" t="s">
        <v>29</v>
      </c>
      <c r="C574" s="55">
        <v>2025</v>
      </c>
      <c r="D574" s="57">
        <v>45864</v>
      </c>
      <c r="E574" s="71">
        <v>121.34690000000001</v>
      </c>
      <c r="F574" s="71"/>
      <c r="G574" s="69"/>
      <c r="H574" s="61"/>
    </row>
    <row r="575" spans="1:8" x14ac:dyDescent="0.25">
      <c r="A575" s="55" t="s">
        <v>153</v>
      </c>
      <c r="B575" s="56" t="s">
        <v>29</v>
      </c>
      <c r="C575" s="55">
        <v>2025</v>
      </c>
      <c r="D575" s="57">
        <v>45865</v>
      </c>
      <c r="E575" s="71">
        <v>121.34690000000001</v>
      </c>
      <c r="F575" s="71"/>
      <c r="G575" s="69"/>
      <c r="H575" s="61"/>
    </row>
    <row r="576" spans="1:8" x14ac:dyDescent="0.25">
      <c r="A576" s="55" t="s">
        <v>147</v>
      </c>
      <c r="B576" s="56" t="s">
        <v>29</v>
      </c>
      <c r="C576" s="55">
        <v>2025</v>
      </c>
      <c r="D576" s="57">
        <v>45866</v>
      </c>
      <c r="E576" s="71">
        <v>122.17</v>
      </c>
      <c r="F576" s="71"/>
      <c r="G576" s="69"/>
      <c r="H576" s="61"/>
    </row>
    <row r="577" spans="1:8" x14ac:dyDescent="0.25">
      <c r="A577" s="55" t="s">
        <v>148</v>
      </c>
      <c r="B577" s="56" t="s">
        <v>29</v>
      </c>
      <c r="C577" s="55">
        <v>2025</v>
      </c>
      <c r="D577" s="57">
        <v>45867</v>
      </c>
      <c r="E577" s="71">
        <v>122.8408</v>
      </c>
      <c r="F577" s="71"/>
      <c r="G577" s="69"/>
      <c r="H577" s="61"/>
    </row>
    <row r="578" spans="1:8" x14ac:dyDescent="0.25">
      <c r="A578" s="55" t="s">
        <v>149</v>
      </c>
      <c r="B578" s="56" t="s">
        <v>29</v>
      </c>
      <c r="C578" s="55">
        <v>2025</v>
      </c>
      <c r="D578" s="57">
        <v>45868</v>
      </c>
      <c r="E578" s="71">
        <v>123.87179999999999</v>
      </c>
      <c r="F578" s="71"/>
      <c r="G578" s="69"/>
      <c r="H578" s="61"/>
    </row>
    <row r="579" spans="1:8" x14ac:dyDescent="0.25">
      <c r="A579" s="55" t="s">
        <v>150</v>
      </c>
      <c r="B579" s="56" t="s">
        <v>29</v>
      </c>
      <c r="C579" s="55">
        <v>2025</v>
      </c>
      <c r="D579" s="57">
        <v>45869</v>
      </c>
      <c r="E579" s="71">
        <v>124.5102</v>
      </c>
      <c r="F579" s="71"/>
      <c r="G579" s="69"/>
      <c r="H579" s="61"/>
    </row>
    <row r="580" spans="1:8" x14ac:dyDescent="0.25">
      <c r="A580" s="55" t="s">
        <v>151</v>
      </c>
      <c r="B580" s="56" t="s">
        <v>30</v>
      </c>
      <c r="C580" s="55">
        <v>2025</v>
      </c>
      <c r="D580" s="57">
        <v>45870</v>
      </c>
      <c r="E580" s="71">
        <v>125.4247</v>
      </c>
      <c r="F580" s="71"/>
      <c r="G580" s="69"/>
      <c r="H580" s="61"/>
    </row>
    <row r="581" spans="1:8" x14ac:dyDescent="0.25">
      <c r="A581" s="55" t="s">
        <v>152</v>
      </c>
      <c r="B581" s="56" t="s">
        <v>30</v>
      </c>
      <c r="C581" s="55">
        <v>2025</v>
      </c>
      <c r="D581" s="57">
        <v>45871</v>
      </c>
      <c r="E581" s="71">
        <v>125.4247</v>
      </c>
      <c r="F581" s="71"/>
      <c r="G581" s="69"/>
      <c r="H581" s="61"/>
    </row>
    <row r="582" spans="1:8" x14ac:dyDescent="0.25">
      <c r="A582" s="55" t="s">
        <v>153</v>
      </c>
      <c r="B582" s="56" t="s">
        <v>30</v>
      </c>
      <c r="C582" s="55">
        <v>2025</v>
      </c>
      <c r="D582" s="57">
        <v>45872</v>
      </c>
      <c r="E582" s="71">
        <v>125.4247</v>
      </c>
      <c r="F582" s="71"/>
      <c r="G582" s="69"/>
      <c r="H582" s="61"/>
    </row>
    <row r="583" spans="1:8" x14ac:dyDescent="0.25">
      <c r="A583" s="55" t="s">
        <v>147</v>
      </c>
      <c r="B583" s="56" t="s">
        <v>30</v>
      </c>
      <c r="C583" s="55">
        <v>2025</v>
      </c>
      <c r="D583" s="57">
        <v>45873</v>
      </c>
      <c r="E583" s="71">
        <v>126.28019999999999</v>
      </c>
      <c r="F583" s="71"/>
      <c r="G583" s="69"/>
      <c r="H583" s="61"/>
    </row>
    <row r="584" spans="1:8" x14ac:dyDescent="0.25">
      <c r="A584" s="55" t="s">
        <v>148</v>
      </c>
      <c r="B584" s="56" t="s">
        <v>30</v>
      </c>
      <c r="C584" s="55">
        <v>2025</v>
      </c>
      <c r="D584" s="57">
        <v>45874</v>
      </c>
      <c r="E584" s="71">
        <v>127.1097</v>
      </c>
      <c r="F584" s="71"/>
      <c r="G584" s="69"/>
      <c r="H584" s="61"/>
    </row>
    <row r="585" spans="1:8" x14ac:dyDescent="0.25">
      <c r="A585" s="55" t="s">
        <v>149</v>
      </c>
      <c r="B585" s="56" t="s">
        <v>30</v>
      </c>
      <c r="C585" s="55">
        <v>2025</v>
      </c>
      <c r="D585" s="57">
        <v>45875</v>
      </c>
      <c r="E585" s="71">
        <v>128.24090000000001</v>
      </c>
      <c r="F585" s="71"/>
      <c r="G585" s="69"/>
      <c r="H585" s="61"/>
    </row>
    <row r="586" spans="1:8" x14ac:dyDescent="0.25">
      <c r="A586" s="55" t="s">
        <v>150</v>
      </c>
      <c r="B586" s="56" t="s">
        <v>30</v>
      </c>
      <c r="C586" s="55">
        <v>2025</v>
      </c>
      <c r="D586" s="57">
        <v>45876</v>
      </c>
      <c r="E586" s="71">
        <v>129.05350000000001</v>
      </c>
      <c r="F586" s="71"/>
      <c r="G586" s="69"/>
      <c r="H586" s="61"/>
    </row>
    <row r="587" spans="1:8" x14ac:dyDescent="0.25">
      <c r="A587" s="55" t="s">
        <v>151</v>
      </c>
      <c r="B587" s="56" t="s">
        <v>30</v>
      </c>
      <c r="C587" s="55">
        <v>2025</v>
      </c>
      <c r="D587" s="57">
        <v>45877</v>
      </c>
      <c r="E587" s="71">
        <v>130.0652</v>
      </c>
      <c r="F587" s="71"/>
      <c r="G587" s="69"/>
      <c r="H587" s="61"/>
    </row>
    <row r="588" spans="1:8" x14ac:dyDescent="0.25">
      <c r="A588" s="55" t="s">
        <v>152</v>
      </c>
      <c r="B588" s="56" t="s">
        <v>30</v>
      </c>
      <c r="C588" s="55">
        <v>2025</v>
      </c>
      <c r="D588" s="57">
        <v>45878</v>
      </c>
      <c r="E588" s="71">
        <v>130.0652</v>
      </c>
      <c r="F588" s="71"/>
      <c r="G588" s="69"/>
      <c r="H588" s="61"/>
    </row>
    <row r="589" spans="1:8" x14ac:dyDescent="0.25">
      <c r="A589" s="55" t="s">
        <v>153</v>
      </c>
      <c r="B589" s="56" t="s">
        <v>30</v>
      </c>
      <c r="C589" s="55">
        <v>2025</v>
      </c>
      <c r="D589" s="57">
        <v>45879</v>
      </c>
      <c r="E589" s="71">
        <v>130.0652</v>
      </c>
      <c r="F589" s="71"/>
      <c r="G589" s="69"/>
      <c r="H589" s="61"/>
    </row>
    <row r="590" spans="1:8" x14ac:dyDescent="0.25">
      <c r="A590" s="55" t="s">
        <v>147</v>
      </c>
      <c r="B590" s="56" t="s">
        <v>30</v>
      </c>
      <c r="C590" s="55">
        <v>2025</v>
      </c>
      <c r="D590" s="57">
        <v>45880</v>
      </c>
      <c r="E590" s="71">
        <v>131.1241</v>
      </c>
      <c r="F590" s="71"/>
      <c r="G590" s="69"/>
      <c r="H590" s="61"/>
    </row>
    <row r="591" spans="1:8" x14ac:dyDescent="0.25">
      <c r="A591" s="55" t="s">
        <v>148</v>
      </c>
      <c r="B591" s="56" t="s">
        <v>30</v>
      </c>
      <c r="C591" s="55">
        <v>2025</v>
      </c>
      <c r="D591" s="57">
        <v>45881</v>
      </c>
      <c r="E591" s="71">
        <v>132.30260000000001</v>
      </c>
      <c r="F591" s="71"/>
      <c r="G591" s="69"/>
      <c r="H591" s="61"/>
    </row>
    <row r="592" spans="1:8" x14ac:dyDescent="0.25">
      <c r="A592" s="55" t="s">
        <v>149</v>
      </c>
      <c r="B592" s="56" t="s">
        <v>30</v>
      </c>
      <c r="C592" s="55">
        <v>2025</v>
      </c>
      <c r="D592" s="57">
        <v>45882</v>
      </c>
      <c r="E592" s="71">
        <v>133.51589999999999</v>
      </c>
      <c r="F592" s="71"/>
      <c r="G592" s="69"/>
      <c r="H592" s="61"/>
    </row>
    <row r="593" spans="1:8" x14ac:dyDescent="0.25">
      <c r="A593" s="55" t="s">
        <v>150</v>
      </c>
      <c r="B593" s="56" t="s">
        <v>30</v>
      </c>
      <c r="C593" s="55">
        <v>2025</v>
      </c>
      <c r="D593" s="57">
        <v>45883</v>
      </c>
      <c r="E593" s="71">
        <v>134.4812</v>
      </c>
      <c r="F593" s="71"/>
      <c r="G593" s="69"/>
      <c r="H593" s="61"/>
    </row>
    <row r="594" spans="1:8" x14ac:dyDescent="0.25">
      <c r="A594" s="55" t="s">
        <v>151</v>
      </c>
      <c r="B594" s="56" t="s">
        <v>30</v>
      </c>
      <c r="C594" s="55">
        <v>2025</v>
      </c>
      <c r="D594" s="57">
        <v>45884</v>
      </c>
      <c r="E594" s="71">
        <v>135.63990000000001</v>
      </c>
      <c r="F594" s="71"/>
      <c r="G594" s="69"/>
      <c r="H594" s="61"/>
    </row>
    <row r="595" spans="1:8" x14ac:dyDescent="0.25">
      <c r="A595" s="55" t="s">
        <v>152</v>
      </c>
      <c r="B595" s="56" t="s">
        <v>30</v>
      </c>
      <c r="C595" s="55">
        <v>2025</v>
      </c>
      <c r="D595" s="57">
        <v>45885</v>
      </c>
      <c r="E595" s="71">
        <v>135.63990000000001</v>
      </c>
      <c r="F595" s="71"/>
      <c r="G595" s="69"/>
      <c r="H595" s="61"/>
    </row>
    <row r="596" spans="1:8" x14ac:dyDescent="0.25">
      <c r="A596" s="55" t="s">
        <v>153</v>
      </c>
      <c r="B596" s="56" t="s">
        <v>30</v>
      </c>
      <c r="C596" s="55">
        <v>2025</v>
      </c>
      <c r="D596" s="57">
        <v>45886</v>
      </c>
      <c r="E596" s="71">
        <v>135.63990000000001</v>
      </c>
      <c r="F596" s="71"/>
      <c r="G596" s="69"/>
      <c r="H596" s="61"/>
    </row>
    <row r="597" spans="1:8" x14ac:dyDescent="0.25">
      <c r="A597" s="55" t="s">
        <v>147</v>
      </c>
      <c r="B597" s="56" t="s">
        <v>30</v>
      </c>
      <c r="C597" s="55">
        <v>2025</v>
      </c>
      <c r="D597" s="57">
        <v>45887</v>
      </c>
      <c r="E597" s="71">
        <v>135.63990000000001</v>
      </c>
      <c r="F597" s="71"/>
      <c r="G597" s="69"/>
      <c r="H597" s="61"/>
    </row>
    <row r="598" spans="1:8" x14ac:dyDescent="0.25">
      <c r="A598" s="55" t="s">
        <v>148</v>
      </c>
      <c r="B598" s="56" t="s">
        <v>30</v>
      </c>
      <c r="C598" s="55">
        <v>2025</v>
      </c>
      <c r="D598" s="57">
        <v>45888</v>
      </c>
      <c r="E598" s="71">
        <v>136.8931</v>
      </c>
      <c r="F598" s="71"/>
      <c r="G598" s="69"/>
      <c r="H598" s="61"/>
    </row>
    <row r="599" spans="1:8" x14ac:dyDescent="0.25">
      <c r="A599" s="55" t="s">
        <v>149</v>
      </c>
      <c r="B599" s="56" t="s">
        <v>30</v>
      </c>
      <c r="C599" s="55">
        <v>2025</v>
      </c>
      <c r="D599" s="57">
        <v>45889</v>
      </c>
      <c r="E599" s="71">
        <v>138.1283</v>
      </c>
      <c r="F599" s="71"/>
      <c r="G599" s="69"/>
      <c r="H599" s="61"/>
    </row>
    <row r="600" spans="1:8" x14ac:dyDescent="0.25">
      <c r="A600" s="55" t="s">
        <v>150</v>
      </c>
      <c r="B600" s="56" t="s">
        <v>30</v>
      </c>
      <c r="C600" s="55">
        <v>2025</v>
      </c>
      <c r="D600" s="57">
        <v>45890</v>
      </c>
      <c r="E600" s="71">
        <v>139.4016</v>
      </c>
      <c r="F600" s="71"/>
      <c r="G600" s="69"/>
      <c r="H600" s="61"/>
    </row>
    <row r="601" spans="1:8" x14ac:dyDescent="0.25">
      <c r="A601" s="55" t="s">
        <v>151</v>
      </c>
      <c r="B601" s="56" t="s">
        <v>30</v>
      </c>
      <c r="C601" s="55">
        <v>2025</v>
      </c>
      <c r="D601" s="57">
        <v>45891</v>
      </c>
      <c r="E601" s="71">
        <v>140.66</v>
      </c>
      <c r="F601" s="71"/>
      <c r="G601" s="69"/>
      <c r="H601" s="61"/>
    </row>
    <row r="602" spans="1:8" x14ac:dyDescent="0.25">
      <c r="A602" s="55" t="s">
        <v>152</v>
      </c>
      <c r="B602" s="56" t="s">
        <v>30</v>
      </c>
      <c r="C602" s="55">
        <v>2025</v>
      </c>
      <c r="D602" s="57">
        <v>45892</v>
      </c>
      <c r="E602" s="71">
        <v>140.66</v>
      </c>
      <c r="F602" s="71"/>
      <c r="G602" s="69"/>
      <c r="H602" s="61"/>
    </row>
    <row r="603" spans="1:8" x14ac:dyDescent="0.25">
      <c r="A603" s="55" t="s">
        <v>153</v>
      </c>
      <c r="B603" s="56" t="s">
        <v>30</v>
      </c>
      <c r="C603" s="55">
        <v>2025</v>
      </c>
      <c r="D603" s="57">
        <v>45893</v>
      </c>
      <c r="E603" s="71">
        <v>140.66</v>
      </c>
      <c r="F603" s="71"/>
      <c r="G603" s="69"/>
      <c r="H603" s="61"/>
    </row>
    <row r="604" spans="1:8" x14ac:dyDescent="0.25">
      <c r="A604" s="55" t="s">
        <v>147</v>
      </c>
      <c r="B604" s="56" t="s">
        <v>30</v>
      </c>
      <c r="C604" s="55">
        <v>2025</v>
      </c>
      <c r="D604" s="57">
        <v>45894</v>
      </c>
      <c r="E604" s="71">
        <v>141.8843</v>
      </c>
      <c r="F604" s="71"/>
      <c r="G604" s="69"/>
      <c r="H604" s="61"/>
    </row>
    <row r="605" spans="1:8" x14ac:dyDescent="0.25">
      <c r="A605" s="55" t="s">
        <v>148</v>
      </c>
      <c r="B605" s="56" t="s">
        <v>30</v>
      </c>
      <c r="C605" s="55">
        <v>2025</v>
      </c>
      <c r="D605" s="57">
        <v>45895</v>
      </c>
      <c r="E605" s="71">
        <v>143.03809999999999</v>
      </c>
      <c r="F605" s="71"/>
      <c r="G605" s="69"/>
      <c r="H605" s="61"/>
    </row>
    <row r="606" spans="1:8" x14ac:dyDescent="0.25">
      <c r="A606" s="55" t="s">
        <v>149</v>
      </c>
      <c r="B606" s="56" t="s">
        <v>30</v>
      </c>
      <c r="C606" s="55">
        <v>2025</v>
      </c>
      <c r="D606" s="57">
        <v>45896</v>
      </c>
      <c r="E606" s="71">
        <v>144.3732</v>
      </c>
      <c r="F606" s="71"/>
      <c r="G606" s="69"/>
      <c r="H606" s="61"/>
    </row>
    <row r="607" spans="1:8" x14ac:dyDescent="0.25">
      <c r="A607" s="55" t="s">
        <v>150</v>
      </c>
      <c r="B607" s="56" t="s">
        <v>30</v>
      </c>
      <c r="C607" s="55">
        <v>2025</v>
      </c>
      <c r="D607" s="57">
        <v>45897</v>
      </c>
      <c r="E607" s="71">
        <v>145.74529999999999</v>
      </c>
      <c r="F607" s="71"/>
      <c r="G607" s="69"/>
      <c r="H607" s="61"/>
    </row>
    <row r="608" spans="1:8" x14ac:dyDescent="0.25">
      <c r="A608" s="55" t="s">
        <v>151</v>
      </c>
      <c r="B608" s="56" t="s">
        <v>30</v>
      </c>
      <c r="C608" s="55">
        <v>2025</v>
      </c>
      <c r="D608" s="57">
        <v>45898</v>
      </c>
      <c r="E608" s="71">
        <v>147.08250000000001</v>
      </c>
      <c r="F608" s="71"/>
      <c r="G608" s="69"/>
      <c r="H608" s="61"/>
    </row>
    <row r="609" spans="1:8" x14ac:dyDescent="0.25">
      <c r="A609" s="55" t="s">
        <v>152</v>
      </c>
      <c r="B609" s="56" t="s">
        <v>30</v>
      </c>
      <c r="C609" s="55">
        <v>2025</v>
      </c>
      <c r="D609" s="57">
        <v>45899</v>
      </c>
      <c r="E609" s="71">
        <v>147.08250000000001</v>
      </c>
      <c r="F609" s="71"/>
      <c r="G609" s="69"/>
      <c r="H609" s="61"/>
    </row>
    <row r="610" spans="1:8" x14ac:dyDescent="0.25">
      <c r="A610" s="55" t="s">
        <v>153</v>
      </c>
      <c r="B610" s="56" t="s">
        <v>30</v>
      </c>
      <c r="C610" s="55">
        <v>2025</v>
      </c>
      <c r="D610" s="57">
        <v>45900</v>
      </c>
      <c r="E610" s="71">
        <v>147.08250000000001</v>
      </c>
      <c r="F610" s="71"/>
      <c r="G610" s="69"/>
      <c r="H610" s="61"/>
    </row>
    <row r="611" spans="1:8" x14ac:dyDescent="0.25">
      <c r="A611" s="55" t="s">
        <v>147</v>
      </c>
      <c r="B611" s="56" t="s">
        <v>31</v>
      </c>
      <c r="C611" s="55">
        <v>2025</v>
      </c>
      <c r="D611" s="57">
        <v>45901</v>
      </c>
      <c r="E611" s="71">
        <v>148.44399999999999</v>
      </c>
      <c r="F611" s="71"/>
      <c r="G611" s="69"/>
      <c r="H611" s="61"/>
    </row>
    <row r="612" spans="1:8" x14ac:dyDescent="0.25">
      <c r="A612" s="55" t="s">
        <v>148</v>
      </c>
      <c r="B612" s="56" t="s">
        <v>31</v>
      </c>
      <c r="C612" s="55">
        <v>2025</v>
      </c>
      <c r="D612" s="57">
        <v>45902</v>
      </c>
      <c r="E612" s="71">
        <v>149.46770000000001</v>
      </c>
      <c r="F612" s="71"/>
      <c r="G612" s="69"/>
      <c r="H612" s="61"/>
    </row>
    <row r="613" spans="1:8" x14ac:dyDescent="0.25">
      <c r="A613" s="55" t="s">
        <v>149</v>
      </c>
      <c r="B613" s="56" t="s">
        <v>31</v>
      </c>
      <c r="C613" s="55">
        <v>2025</v>
      </c>
      <c r="D613" s="57">
        <v>45903</v>
      </c>
      <c r="E613" s="71">
        <v>150.79519999999999</v>
      </c>
      <c r="F613" s="71"/>
      <c r="G613" s="69"/>
      <c r="H613" s="61"/>
    </row>
    <row r="614" spans="1:8" x14ac:dyDescent="0.25">
      <c r="A614" s="55" t="s">
        <v>150</v>
      </c>
      <c r="B614" s="56" t="s">
        <v>31</v>
      </c>
      <c r="C614" s="55">
        <v>2025</v>
      </c>
      <c r="D614" s="57">
        <v>45904</v>
      </c>
      <c r="E614" s="71">
        <v>151.7627</v>
      </c>
      <c r="F614" s="71"/>
      <c r="G614" s="69"/>
      <c r="H614" s="61"/>
    </row>
    <row r="615" spans="1:8" x14ac:dyDescent="0.25">
      <c r="A615" s="55" t="s">
        <v>151</v>
      </c>
      <c r="B615" s="56" t="s">
        <v>31</v>
      </c>
      <c r="C615" s="55">
        <v>2025</v>
      </c>
      <c r="D615" s="57">
        <v>45905</v>
      </c>
      <c r="E615" s="71">
        <v>152.82159999999999</v>
      </c>
      <c r="F615" s="71"/>
      <c r="G615" s="69"/>
      <c r="H615" s="61"/>
    </row>
    <row r="616" spans="1:8" x14ac:dyDescent="0.25">
      <c r="A616" s="55" t="s">
        <v>152</v>
      </c>
      <c r="B616" s="56" t="s">
        <v>31</v>
      </c>
      <c r="C616" s="55">
        <v>2025</v>
      </c>
      <c r="D616" s="57">
        <v>45906</v>
      </c>
      <c r="E616" s="71">
        <v>152.82159999999999</v>
      </c>
      <c r="F616" s="71"/>
      <c r="G616" s="69"/>
      <c r="H616" s="61"/>
    </row>
    <row r="617" spans="1:8" x14ac:dyDescent="0.25">
      <c r="A617" s="55" t="s">
        <v>153</v>
      </c>
      <c r="B617" s="56" t="s">
        <v>31</v>
      </c>
      <c r="C617" s="55">
        <v>2025</v>
      </c>
      <c r="D617" s="57">
        <v>45907</v>
      </c>
      <c r="E617" s="71">
        <v>152.82159999999999</v>
      </c>
      <c r="F617" s="71"/>
      <c r="G617" s="69"/>
      <c r="H617" s="61"/>
    </row>
    <row r="618" spans="1:8" x14ac:dyDescent="0.25">
      <c r="A618" s="55" t="s">
        <v>147</v>
      </c>
      <c r="B618" s="56" t="s">
        <v>31</v>
      </c>
      <c r="C618" s="55">
        <v>2025</v>
      </c>
      <c r="D618" s="57">
        <v>45908</v>
      </c>
      <c r="E618" s="71">
        <v>154.01079999999999</v>
      </c>
      <c r="F618" s="71"/>
      <c r="G618" s="69"/>
      <c r="H618" s="61"/>
    </row>
    <row r="619" spans="1:8" x14ac:dyDescent="0.25">
      <c r="A619" s="55" t="s">
        <v>148</v>
      </c>
      <c r="B619" s="56" t="s">
        <v>31</v>
      </c>
      <c r="C619" s="55">
        <v>2025</v>
      </c>
      <c r="D619" s="57">
        <v>45909</v>
      </c>
      <c r="E619" s="71">
        <v>154.98249999999999</v>
      </c>
      <c r="F619" s="71"/>
      <c r="G619" s="69"/>
      <c r="H619" s="61"/>
    </row>
    <row r="620" spans="1:8" x14ac:dyDescent="0.25">
      <c r="A620" s="55" t="s">
        <v>149</v>
      </c>
      <c r="B620" s="56" t="s">
        <v>31</v>
      </c>
      <c r="C620" s="55">
        <v>2025</v>
      </c>
      <c r="D620" s="57">
        <v>45910</v>
      </c>
      <c r="E620" s="71">
        <v>156.37389999999999</v>
      </c>
      <c r="F620" s="71"/>
      <c r="G620" s="69"/>
      <c r="H620" s="61"/>
    </row>
    <row r="621" spans="1:8" x14ac:dyDescent="0.25">
      <c r="A621" s="55" t="s">
        <v>150</v>
      </c>
      <c r="B621" s="56" t="s">
        <v>31</v>
      </c>
      <c r="C621" s="55">
        <v>2025</v>
      </c>
      <c r="D621" s="57">
        <v>45911</v>
      </c>
      <c r="E621" s="71">
        <v>157.7287</v>
      </c>
      <c r="F621" s="71"/>
      <c r="G621" s="69"/>
      <c r="H621" s="61"/>
    </row>
    <row r="622" spans="1:8" x14ac:dyDescent="0.25">
      <c r="A622" s="55" t="s">
        <v>151</v>
      </c>
      <c r="B622" s="56" t="s">
        <v>31</v>
      </c>
      <c r="C622" s="55">
        <v>2025</v>
      </c>
      <c r="D622" s="57">
        <v>45912</v>
      </c>
      <c r="E622" s="71">
        <v>158.9289</v>
      </c>
      <c r="F622" s="71"/>
      <c r="G622" s="69"/>
      <c r="H622" s="61"/>
    </row>
    <row r="623" spans="1:8" x14ac:dyDescent="0.25">
      <c r="A623" s="55" t="s">
        <v>152</v>
      </c>
      <c r="B623" s="56" t="s">
        <v>31</v>
      </c>
      <c r="C623" s="55">
        <v>2025</v>
      </c>
      <c r="D623" s="57">
        <v>45913</v>
      </c>
      <c r="E623" s="71">
        <v>158.9289</v>
      </c>
      <c r="F623" s="71"/>
      <c r="G623" s="69"/>
      <c r="H623" s="61"/>
    </row>
    <row r="624" spans="1:8" x14ac:dyDescent="0.25">
      <c r="A624" s="55" t="s">
        <v>153</v>
      </c>
      <c r="B624" s="56" t="s">
        <v>31</v>
      </c>
      <c r="C624" s="55">
        <v>2025</v>
      </c>
      <c r="D624" s="57">
        <v>45914</v>
      </c>
      <c r="E624" s="71">
        <v>158.9289</v>
      </c>
      <c r="F624" s="71"/>
      <c r="G624" s="69"/>
      <c r="H624" s="61"/>
    </row>
    <row r="625" spans="1:8" x14ac:dyDescent="0.25">
      <c r="A625" s="55" t="s">
        <v>147</v>
      </c>
      <c r="B625" s="56" t="s">
        <v>31</v>
      </c>
      <c r="C625" s="55">
        <v>2025</v>
      </c>
      <c r="D625" s="57">
        <v>45915</v>
      </c>
      <c r="E625" s="71">
        <v>158.9289</v>
      </c>
      <c r="F625" s="71"/>
      <c r="G625" s="69"/>
      <c r="H625" s="61"/>
    </row>
    <row r="626" spans="1:8" x14ac:dyDescent="0.25">
      <c r="A626" s="55" t="s">
        <v>148</v>
      </c>
      <c r="B626" s="56" t="s">
        <v>31</v>
      </c>
      <c r="C626" s="55">
        <v>2025</v>
      </c>
      <c r="D626" s="57">
        <v>45916</v>
      </c>
      <c r="E626" s="71">
        <v>160.4479</v>
      </c>
      <c r="F626" s="71"/>
      <c r="G626" s="69"/>
      <c r="H626" s="61"/>
    </row>
    <row r="627" spans="1:8" x14ac:dyDescent="0.25">
      <c r="A627" s="55" t="s">
        <v>149</v>
      </c>
      <c r="B627" s="56" t="s">
        <v>31</v>
      </c>
      <c r="C627" s="55">
        <v>2025</v>
      </c>
      <c r="D627" s="57">
        <v>45917</v>
      </c>
      <c r="E627" s="71">
        <v>161.88800000000001</v>
      </c>
      <c r="F627" s="71"/>
      <c r="G627" s="69"/>
      <c r="H627" s="61"/>
    </row>
    <row r="628" spans="1:8" x14ac:dyDescent="0.25">
      <c r="A628" s="55" t="s">
        <v>150</v>
      </c>
      <c r="B628" s="56" t="s">
        <v>31</v>
      </c>
      <c r="C628" s="55">
        <v>2025</v>
      </c>
      <c r="D628" s="57">
        <v>45918</v>
      </c>
      <c r="E628" s="71">
        <v>163.6474</v>
      </c>
      <c r="F628" s="71"/>
      <c r="G628" s="69"/>
      <c r="H628" s="61"/>
    </row>
    <row r="629" spans="1:8" x14ac:dyDescent="0.25">
      <c r="A629" s="55" t="s">
        <v>151</v>
      </c>
      <c r="B629" s="56" t="s">
        <v>31</v>
      </c>
      <c r="C629" s="55">
        <v>2025</v>
      </c>
      <c r="D629" s="57">
        <v>45919</v>
      </c>
      <c r="E629" s="71">
        <v>165.4101</v>
      </c>
      <c r="F629" s="71"/>
      <c r="G629" s="69"/>
      <c r="H629" s="61"/>
    </row>
    <row r="630" spans="1:8" x14ac:dyDescent="0.25">
      <c r="A630" s="55" t="s">
        <v>152</v>
      </c>
      <c r="B630" s="56" t="s">
        <v>31</v>
      </c>
      <c r="C630" s="55">
        <v>2025</v>
      </c>
      <c r="D630" s="57">
        <v>45920</v>
      </c>
      <c r="E630" s="71">
        <v>165.4101</v>
      </c>
      <c r="F630" s="71"/>
      <c r="G630" s="69"/>
      <c r="H630" s="61"/>
    </row>
    <row r="631" spans="1:8" x14ac:dyDescent="0.25">
      <c r="A631" s="55" t="s">
        <v>153</v>
      </c>
      <c r="B631" s="56" t="s">
        <v>31</v>
      </c>
      <c r="C631" s="55">
        <v>2025</v>
      </c>
      <c r="D631" s="57">
        <v>45921</v>
      </c>
      <c r="E631" s="71">
        <v>165.4101</v>
      </c>
      <c r="F631" s="71"/>
      <c r="G631" s="69"/>
      <c r="H631" s="61"/>
    </row>
    <row r="632" spans="1:8" x14ac:dyDescent="0.25">
      <c r="A632" s="55" t="s">
        <v>147</v>
      </c>
      <c r="B632" s="56" t="s">
        <v>31</v>
      </c>
      <c r="C632" s="55">
        <v>2025</v>
      </c>
      <c r="D632" s="57">
        <v>45922</v>
      </c>
      <c r="E632" s="71">
        <v>166.58340000000001</v>
      </c>
      <c r="F632" s="71"/>
      <c r="G632" s="69"/>
      <c r="H632" s="61"/>
    </row>
    <row r="633" spans="1:8" x14ac:dyDescent="0.25">
      <c r="A633" s="55" t="s">
        <v>148</v>
      </c>
      <c r="B633" s="56" t="s">
        <v>31</v>
      </c>
      <c r="C633" s="55">
        <v>2025</v>
      </c>
      <c r="D633" s="57">
        <v>45923</v>
      </c>
      <c r="E633" s="71">
        <v>168.41569999999999</v>
      </c>
      <c r="F633" s="71"/>
      <c r="G633" s="69"/>
      <c r="H633" s="61"/>
    </row>
    <row r="634" spans="1:8" x14ac:dyDescent="0.25">
      <c r="A634" s="55" t="s">
        <v>149</v>
      </c>
      <c r="B634" s="56" t="s">
        <v>31</v>
      </c>
      <c r="C634" s="55">
        <v>2025</v>
      </c>
      <c r="D634" s="57">
        <v>45924</v>
      </c>
      <c r="E634" s="71">
        <v>169.9761</v>
      </c>
      <c r="F634" s="71"/>
      <c r="G634" s="69"/>
      <c r="H634" s="61"/>
    </row>
    <row r="635" spans="1:8" x14ac:dyDescent="0.25">
      <c r="A635" s="55" t="s">
        <v>150</v>
      </c>
      <c r="B635" s="56" t="s">
        <v>31</v>
      </c>
      <c r="C635" s="55">
        <v>2025</v>
      </c>
      <c r="D635" s="57">
        <v>45925</v>
      </c>
      <c r="E635" s="71">
        <v>171.8458</v>
      </c>
      <c r="F635" s="71"/>
      <c r="G635" s="69"/>
      <c r="H635" s="61"/>
    </row>
    <row r="636" spans="1:8" x14ac:dyDescent="0.25">
      <c r="A636" s="55" t="s">
        <v>151</v>
      </c>
      <c r="B636" s="56" t="s">
        <v>31</v>
      </c>
      <c r="C636" s="55">
        <v>2025</v>
      </c>
      <c r="D636" s="57">
        <v>45926</v>
      </c>
      <c r="E636" s="71">
        <v>173.73609999999999</v>
      </c>
      <c r="F636" s="71"/>
      <c r="G636" s="69"/>
      <c r="H636" s="61"/>
    </row>
    <row r="637" spans="1:8" x14ac:dyDescent="0.25">
      <c r="A637" s="55" t="s">
        <v>152</v>
      </c>
      <c r="B637" s="56" t="s">
        <v>31</v>
      </c>
      <c r="C637" s="55">
        <v>2025</v>
      </c>
      <c r="D637" s="57">
        <v>45927</v>
      </c>
      <c r="E637" s="71">
        <v>173.73609999999999</v>
      </c>
      <c r="F637" s="71"/>
      <c r="G637" s="69"/>
      <c r="H637" s="61"/>
    </row>
    <row r="638" spans="1:8" x14ac:dyDescent="0.25">
      <c r="A638" s="55" t="s">
        <v>153</v>
      </c>
      <c r="B638" s="56" t="s">
        <v>31</v>
      </c>
      <c r="C638" s="55">
        <v>2025</v>
      </c>
      <c r="D638" s="57">
        <v>45928</v>
      </c>
      <c r="E638" s="71">
        <v>173.73609999999999</v>
      </c>
      <c r="F638" s="71"/>
      <c r="G638" s="69"/>
      <c r="H638" s="61"/>
    </row>
    <row r="639" spans="1:8" x14ac:dyDescent="0.25">
      <c r="A639" s="55" t="s">
        <v>147</v>
      </c>
      <c r="B639" s="56" t="s">
        <v>31</v>
      </c>
      <c r="C639" s="55">
        <v>2025</v>
      </c>
      <c r="D639" s="57">
        <v>45929</v>
      </c>
      <c r="E639" s="71">
        <v>175.64709999999999</v>
      </c>
      <c r="F639" s="71"/>
      <c r="G639" s="69"/>
      <c r="H639" s="61"/>
    </row>
    <row r="640" spans="1:8" x14ac:dyDescent="0.25">
      <c r="A640" s="55" t="s">
        <v>148</v>
      </c>
      <c r="B640" s="56" t="s">
        <v>31</v>
      </c>
      <c r="C640" s="55">
        <v>2025</v>
      </c>
      <c r="D640" s="57">
        <v>45930</v>
      </c>
      <c r="E640" s="71">
        <v>177.61429999999999</v>
      </c>
      <c r="F640" s="71"/>
      <c r="G640" s="69"/>
      <c r="H640" s="61"/>
    </row>
    <row r="641" spans="1:8" x14ac:dyDescent="0.25">
      <c r="A641" s="55" t="s">
        <v>149</v>
      </c>
      <c r="B641" s="56" t="s">
        <v>32</v>
      </c>
      <c r="C641" s="55">
        <v>2025</v>
      </c>
      <c r="D641" s="57">
        <v>45931</v>
      </c>
      <c r="E641" s="71">
        <v>179.43</v>
      </c>
      <c r="F641" s="71"/>
      <c r="G641" s="69"/>
      <c r="H641" s="61"/>
    </row>
    <row r="642" spans="1:8" x14ac:dyDescent="0.25">
      <c r="A642" s="55" t="s">
        <v>150</v>
      </c>
      <c r="B642" s="56" t="s">
        <v>32</v>
      </c>
      <c r="C642" s="55">
        <v>2025</v>
      </c>
      <c r="D642" s="57">
        <v>45932</v>
      </c>
      <c r="E642" s="71">
        <v>181.30369999999999</v>
      </c>
      <c r="F642" s="71"/>
      <c r="G642" s="69"/>
      <c r="H642" s="61"/>
    </row>
    <row r="643" spans="1:8" x14ac:dyDescent="0.25">
      <c r="A643" s="55" t="s">
        <v>151</v>
      </c>
      <c r="B643" s="56" t="s">
        <v>32</v>
      </c>
      <c r="C643" s="55">
        <v>2025</v>
      </c>
      <c r="D643" s="57">
        <v>45933</v>
      </c>
      <c r="E643" s="71">
        <v>183.1369</v>
      </c>
      <c r="F643" s="71"/>
      <c r="G643" s="69"/>
      <c r="H643" s="61"/>
    </row>
    <row r="644" spans="1:8" x14ac:dyDescent="0.25">
      <c r="A644" s="55" t="s">
        <v>152</v>
      </c>
      <c r="B644" s="56" t="s">
        <v>32</v>
      </c>
      <c r="C644" s="55">
        <v>2025</v>
      </c>
      <c r="D644" s="57">
        <v>45934</v>
      </c>
      <c r="E644" s="71">
        <v>183.1369</v>
      </c>
      <c r="F644" s="71"/>
      <c r="G644" s="69"/>
      <c r="H644" s="61"/>
    </row>
    <row r="645" spans="1:8" x14ac:dyDescent="0.25">
      <c r="A645" s="55" t="s">
        <v>153</v>
      </c>
      <c r="B645" s="56" t="s">
        <v>32</v>
      </c>
      <c r="C645" s="55">
        <v>2025</v>
      </c>
      <c r="D645" s="57">
        <v>45935</v>
      </c>
      <c r="E645" s="71">
        <v>183.1369</v>
      </c>
      <c r="F645" s="71"/>
      <c r="G645" s="69"/>
      <c r="H645" s="61"/>
    </row>
    <row r="646" spans="1:8" x14ac:dyDescent="0.25">
      <c r="A646" s="55" t="s">
        <v>147</v>
      </c>
      <c r="B646" s="56" t="s">
        <v>32</v>
      </c>
      <c r="C646" s="55">
        <v>2025</v>
      </c>
      <c r="D646" s="57">
        <v>45936</v>
      </c>
      <c r="E646" s="71">
        <v>185.39830000000001</v>
      </c>
      <c r="F646" s="71"/>
      <c r="G646" s="69"/>
      <c r="H646" s="61"/>
    </row>
    <row r="647" spans="1:8" x14ac:dyDescent="0.25">
      <c r="A647" s="55" t="s">
        <v>148</v>
      </c>
      <c r="B647" s="56" t="s">
        <v>32</v>
      </c>
      <c r="C647" s="55">
        <v>2025</v>
      </c>
      <c r="D647" s="57">
        <v>45937</v>
      </c>
      <c r="E647" s="71">
        <v>187.2893</v>
      </c>
      <c r="F647" s="71"/>
      <c r="G647" s="69"/>
      <c r="H647" s="61"/>
    </row>
    <row r="648" spans="1:8" x14ac:dyDescent="0.25">
      <c r="A648" s="55" t="s">
        <v>149</v>
      </c>
      <c r="B648" s="56" t="s">
        <v>32</v>
      </c>
      <c r="C648" s="55">
        <v>2025</v>
      </c>
      <c r="D648" s="57">
        <v>45938</v>
      </c>
      <c r="E648" s="71">
        <v>189.2594</v>
      </c>
      <c r="F648" s="71"/>
      <c r="G648" s="69"/>
      <c r="H648" s="61"/>
    </row>
    <row r="649" spans="1:8" x14ac:dyDescent="0.25">
      <c r="A649" s="55" t="s">
        <v>150</v>
      </c>
      <c r="B649" s="56" t="s">
        <v>32</v>
      </c>
      <c r="C649" s="55">
        <v>2025</v>
      </c>
      <c r="D649" s="57">
        <v>45939</v>
      </c>
      <c r="E649" s="71">
        <v>191.36609999999999</v>
      </c>
      <c r="F649" s="71"/>
      <c r="G649" s="69"/>
      <c r="H649" s="61"/>
    </row>
    <row r="650" spans="1:8" x14ac:dyDescent="0.25">
      <c r="A650" s="55" t="s">
        <v>151</v>
      </c>
      <c r="B650" s="56" t="s">
        <v>32</v>
      </c>
      <c r="C650" s="55">
        <v>2025</v>
      </c>
      <c r="D650" s="57">
        <v>45940</v>
      </c>
      <c r="E650" s="71">
        <v>193.2996</v>
      </c>
      <c r="F650" s="71"/>
      <c r="G650" s="69"/>
      <c r="H650" s="61"/>
    </row>
    <row r="651" spans="1:8" x14ac:dyDescent="0.25">
      <c r="A651" s="55" t="s">
        <v>152</v>
      </c>
      <c r="B651" s="56" t="s">
        <v>32</v>
      </c>
      <c r="C651" s="55">
        <v>2025</v>
      </c>
      <c r="D651" s="57">
        <v>45941</v>
      </c>
      <c r="E651" s="71">
        <v>193.2996</v>
      </c>
      <c r="F651" s="71"/>
      <c r="G651" s="69"/>
      <c r="H651" s="61"/>
    </row>
    <row r="652" spans="1:8" x14ac:dyDescent="0.25">
      <c r="A652" s="55" t="s">
        <v>153</v>
      </c>
      <c r="B652" s="56" t="s">
        <v>32</v>
      </c>
      <c r="C652" s="55">
        <v>2025</v>
      </c>
      <c r="D652" s="57">
        <v>45942</v>
      </c>
      <c r="E652" s="71">
        <v>193.2996</v>
      </c>
      <c r="F652" s="71"/>
      <c r="G652" s="69"/>
      <c r="H652" s="61"/>
    </row>
    <row r="653" spans="1:8" x14ac:dyDescent="0.25">
      <c r="A653" s="55" t="s">
        <v>147</v>
      </c>
      <c r="B653" s="56" t="s">
        <v>32</v>
      </c>
      <c r="C653" s="55">
        <v>2025</v>
      </c>
      <c r="D653" s="57">
        <v>45943</v>
      </c>
      <c r="E653" s="71">
        <v>195.2491</v>
      </c>
      <c r="F653" s="71"/>
      <c r="G653" s="69"/>
      <c r="H653" s="61"/>
    </row>
    <row r="654" spans="1:8" x14ac:dyDescent="0.25">
      <c r="A654" s="55" t="s">
        <v>148</v>
      </c>
      <c r="B654" s="56" t="s">
        <v>32</v>
      </c>
      <c r="C654" s="55">
        <v>2025</v>
      </c>
      <c r="D654" s="57">
        <v>45944</v>
      </c>
      <c r="E654" s="71">
        <v>197.2456</v>
      </c>
      <c r="F654" s="71"/>
      <c r="G654" s="69"/>
      <c r="H654" s="61"/>
    </row>
    <row r="655" spans="1:8" x14ac:dyDescent="0.25">
      <c r="A655" s="55" t="s">
        <v>149</v>
      </c>
      <c r="B655" s="56" t="s">
        <v>32</v>
      </c>
      <c r="C655" s="55">
        <v>2025</v>
      </c>
      <c r="D655" s="57">
        <v>45945</v>
      </c>
      <c r="E655" s="71">
        <v>199.10720000000001</v>
      </c>
      <c r="F655" s="71"/>
      <c r="G655" s="69"/>
      <c r="H655" s="61"/>
    </row>
    <row r="656" spans="1:8" x14ac:dyDescent="0.25">
      <c r="A656" s="55" t="s">
        <v>150</v>
      </c>
      <c r="B656" s="56" t="s">
        <v>32</v>
      </c>
      <c r="C656" s="55">
        <v>2025</v>
      </c>
      <c r="D656" s="57">
        <v>45946</v>
      </c>
      <c r="E656" s="71">
        <v>201.4665</v>
      </c>
      <c r="F656" s="71"/>
      <c r="G656" s="69"/>
      <c r="H656" s="61"/>
    </row>
    <row r="657" spans="1:8" x14ac:dyDescent="0.25">
      <c r="A657" s="55" t="s">
        <v>151</v>
      </c>
      <c r="B657" s="56" t="s">
        <v>32</v>
      </c>
      <c r="C657" s="55">
        <v>2025</v>
      </c>
      <c r="D657" s="57">
        <v>45947</v>
      </c>
      <c r="E657" s="71">
        <v>203.74199999999999</v>
      </c>
      <c r="F657" s="71"/>
      <c r="G657" s="69"/>
      <c r="H657" s="61"/>
    </row>
    <row r="658" spans="1:8" x14ac:dyDescent="0.25">
      <c r="A658" s="55" t="s">
        <v>152</v>
      </c>
      <c r="B658" s="56" t="s">
        <v>32</v>
      </c>
      <c r="C658" s="55">
        <v>2025</v>
      </c>
      <c r="D658" s="57">
        <v>45948</v>
      </c>
      <c r="E658" s="71">
        <v>203.74199999999999</v>
      </c>
      <c r="F658" s="71"/>
      <c r="G658" s="69"/>
      <c r="H658" s="61"/>
    </row>
    <row r="659" spans="1:8" x14ac:dyDescent="0.25">
      <c r="A659" s="55" t="s">
        <v>153</v>
      </c>
      <c r="B659" s="56" t="s">
        <v>32</v>
      </c>
      <c r="C659" s="55">
        <v>2025</v>
      </c>
      <c r="D659" s="57">
        <v>45949</v>
      </c>
      <c r="E659" s="71">
        <v>203.74199999999999</v>
      </c>
      <c r="F659" s="71"/>
      <c r="G659" s="69"/>
      <c r="H659" s="61"/>
    </row>
    <row r="660" spans="1:8" x14ac:dyDescent="0.25">
      <c r="A660" s="55" t="s">
        <v>147</v>
      </c>
      <c r="B660" s="56" t="s">
        <v>32</v>
      </c>
      <c r="C660" s="55">
        <v>2025</v>
      </c>
      <c r="D660" s="57">
        <v>45950</v>
      </c>
      <c r="E660" s="71">
        <v>205.6754</v>
      </c>
      <c r="F660" s="71"/>
      <c r="G660" s="69"/>
      <c r="H660" s="61"/>
    </row>
    <row r="661" spans="1:8" x14ac:dyDescent="0.25">
      <c r="A661" s="55" t="s">
        <v>148</v>
      </c>
      <c r="B661" s="56" t="s">
        <v>32</v>
      </c>
      <c r="C661" s="55">
        <v>2025</v>
      </c>
      <c r="D661" s="57">
        <v>45951</v>
      </c>
      <c r="E661" s="71">
        <v>207.8938</v>
      </c>
      <c r="F661" s="71"/>
      <c r="G661" s="69"/>
      <c r="H661" s="61"/>
    </row>
    <row r="662" spans="1:8" x14ac:dyDescent="0.25">
      <c r="A662" s="55" t="s">
        <v>149</v>
      </c>
      <c r="B662" s="56" t="s">
        <v>32</v>
      </c>
      <c r="C662" s="55">
        <v>2025</v>
      </c>
      <c r="D662" s="57">
        <v>45952</v>
      </c>
      <c r="E662" s="71">
        <v>210.2825</v>
      </c>
      <c r="F662" s="71"/>
      <c r="G662" s="69"/>
      <c r="H662" s="61"/>
    </row>
    <row r="663" spans="1:8" x14ac:dyDescent="0.25">
      <c r="A663" s="55" t="s">
        <v>150</v>
      </c>
      <c r="B663" s="56" t="s">
        <v>32</v>
      </c>
      <c r="C663" s="55">
        <v>2025</v>
      </c>
      <c r="D663" s="57">
        <v>45953</v>
      </c>
      <c r="E663" s="71">
        <v>212.4837</v>
      </c>
      <c r="F663" s="71"/>
      <c r="G663" s="69"/>
      <c r="H663" s="61"/>
    </row>
    <row r="664" spans="1:8" x14ac:dyDescent="0.25">
      <c r="A664" s="55" t="s">
        <v>151</v>
      </c>
      <c r="B664" s="56" t="s">
        <v>32</v>
      </c>
      <c r="C664" s="55">
        <v>2025</v>
      </c>
      <c r="D664" s="57">
        <v>45954</v>
      </c>
      <c r="E664" s="71">
        <v>214.41900000000001</v>
      </c>
      <c r="F664" s="71"/>
      <c r="G664" s="69"/>
      <c r="H664" s="61"/>
    </row>
    <row r="665" spans="1:8" x14ac:dyDescent="0.25">
      <c r="A665" s="55" t="s">
        <v>152</v>
      </c>
      <c r="B665" s="56" t="s">
        <v>32</v>
      </c>
      <c r="C665" s="55">
        <v>2025</v>
      </c>
      <c r="D665" s="57">
        <v>45955</v>
      </c>
      <c r="E665" s="71">
        <v>214.41900000000001</v>
      </c>
      <c r="F665" s="71"/>
      <c r="G665" s="69"/>
      <c r="H665" s="61"/>
    </row>
    <row r="666" spans="1:8" x14ac:dyDescent="0.25">
      <c r="A666" s="55" t="s">
        <v>153</v>
      </c>
      <c r="B666" s="56" t="s">
        <v>32</v>
      </c>
      <c r="C666" s="55">
        <v>2025</v>
      </c>
      <c r="D666" s="57">
        <v>45956</v>
      </c>
      <c r="E666" s="71">
        <v>214.41900000000001</v>
      </c>
      <c r="F666" s="71"/>
      <c r="G666" s="69"/>
      <c r="H666" s="61"/>
    </row>
    <row r="667" spans="1:8" x14ac:dyDescent="0.25">
      <c r="A667" s="55" t="s">
        <v>147</v>
      </c>
      <c r="B667" s="56" t="s">
        <v>32</v>
      </c>
      <c r="C667" s="55">
        <v>2025</v>
      </c>
      <c r="D667" s="57">
        <v>45957</v>
      </c>
      <c r="E667" s="71">
        <v>216.37139999999999</v>
      </c>
      <c r="F667" s="71"/>
      <c r="G667" s="69"/>
      <c r="H667" s="61"/>
    </row>
    <row r="668" spans="1:8" x14ac:dyDescent="0.25">
      <c r="A668" s="55" t="s">
        <v>148</v>
      </c>
      <c r="B668" s="56" t="s">
        <v>32</v>
      </c>
      <c r="C668" s="55">
        <v>2025</v>
      </c>
      <c r="D668" s="57">
        <v>45958</v>
      </c>
      <c r="E668" s="71">
        <v>218.17</v>
      </c>
      <c r="F668" s="71"/>
      <c r="G668" s="69"/>
      <c r="H668" s="61"/>
    </row>
    <row r="669" spans="1:8" x14ac:dyDescent="0.25">
      <c r="A669" s="55" t="s">
        <v>149</v>
      </c>
      <c r="B669" s="56" t="s">
        <v>32</v>
      </c>
      <c r="C669" s="55">
        <v>2025</v>
      </c>
      <c r="D669" s="57">
        <v>45959</v>
      </c>
      <c r="E669" s="71">
        <v>219.87370000000001</v>
      </c>
      <c r="F669" s="71"/>
      <c r="G669" s="69"/>
      <c r="H669" s="61"/>
    </row>
    <row r="670" spans="1:8" x14ac:dyDescent="0.25">
      <c r="A670" s="55" t="s">
        <v>150</v>
      </c>
      <c r="B670" s="56" t="s">
        <v>32</v>
      </c>
      <c r="C670" s="55">
        <v>2025</v>
      </c>
      <c r="D670" s="57">
        <v>45960</v>
      </c>
      <c r="E670" s="71">
        <v>221.74379999999999</v>
      </c>
      <c r="F670" s="71"/>
      <c r="G670" s="69"/>
      <c r="H670" s="61"/>
    </row>
    <row r="671" spans="1:8" x14ac:dyDescent="0.25">
      <c r="A671" s="55" t="s">
        <v>151</v>
      </c>
      <c r="B671" s="56" t="s">
        <v>32</v>
      </c>
      <c r="C671" s="55">
        <v>2025</v>
      </c>
      <c r="D671" s="57">
        <v>45961</v>
      </c>
      <c r="E671" s="71">
        <v>223.64590000000001</v>
      </c>
      <c r="F671" s="71"/>
      <c r="G671" s="69"/>
      <c r="H671" s="61"/>
    </row>
    <row r="672" spans="1:8" x14ac:dyDescent="0.25">
      <c r="A672" s="55" t="s">
        <v>152</v>
      </c>
      <c r="B672" s="56" t="s">
        <v>33</v>
      </c>
      <c r="C672" s="55">
        <v>2025</v>
      </c>
      <c r="D672" s="57">
        <v>45962</v>
      </c>
      <c r="E672" s="71">
        <v>223.64590000000001</v>
      </c>
      <c r="F672" s="71"/>
      <c r="G672" s="69"/>
      <c r="H672" s="61"/>
    </row>
    <row r="673" spans="1:8" x14ac:dyDescent="0.25">
      <c r="A673" s="55" t="s">
        <v>153</v>
      </c>
      <c r="B673" s="56" t="s">
        <v>33</v>
      </c>
      <c r="C673" s="55">
        <v>2025</v>
      </c>
      <c r="D673" s="57">
        <v>45963</v>
      </c>
      <c r="E673" s="71">
        <v>223.64590000000001</v>
      </c>
      <c r="F673" s="71"/>
      <c r="G673" s="69"/>
      <c r="H673" s="61"/>
    </row>
    <row r="674" spans="1:8" x14ac:dyDescent="0.25">
      <c r="A674" s="55" t="s">
        <v>147</v>
      </c>
      <c r="B674" s="56" t="s">
        <v>33</v>
      </c>
      <c r="C674" s="55">
        <v>2025</v>
      </c>
      <c r="D674" s="57">
        <v>45964</v>
      </c>
      <c r="E674" s="71">
        <v>223.9622</v>
      </c>
      <c r="F674" s="71"/>
      <c r="G674" s="69"/>
      <c r="H674" s="61"/>
    </row>
    <row r="675" spans="1:8" x14ac:dyDescent="0.25">
      <c r="A675" s="55" t="s">
        <v>148</v>
      </c>
      <c r="B675" s="56" t="s">
        <v>33</v>
      </c>
      <c r="C675" s="55">
        <v>2025</v>
      </c>
      <c r="D675" s="57">
        <v>45965</v>
      </c>
      <c r="E675" s="71">
        <v>224.37620000000001</v>
      </c>
      <c r="F675" s="71"/>
      <c r="G675" s="69"/>
      <c r="H675" s="61"/>
    </row>
    <row r="676" spans="1:8" x14ac:dyDescent="0.25">
      <c r="A676" s="55" t="s">
        <v>149</v>
      </c>
      <c r="B676" s="56" t="s">
        <v>33</v>
      </c>
      <c r="C676" s="55">
        <v>2025</v>
      </c>
      <c r="D676" s="57">
        <v>45966</v>
      </c>
      <c r="E676" s="71">
        <v>226.13050000000001</v>
      </c>
      <c r="F676" s="71"/>
      <c r="G676" s="69"/>
      <c r="H676" s="61"/>
    </row>
    <row r="677" spans="1:8" x14ac:dyDescent="0.25">
      <c r="A677" s="55" t="s">
        <v>150</v>
      </c>
      <c r="B677" s="56" t="s">
        <v>33</v>
      </c>
      <c r="C677" s="55">
        <v>2025</v>
      </c>
      <c r="D677" s="57">
        <v>45967</v>
      </c>
      <c r="E677" s="71">
        <v>227.55670000000001</v>
      </c>
      <c r="F677" s="71"/>
      <c r="G677" s="69"/>
      <c r="H677" s="61"/>
    </row>
    <row r="678" spans="1:8" x14ac:dyDescent="0.25">
      <c r="A678" s="55" t="s">
        <v>151</v>
      </c>
      <c r="B678" s="56" t="s">
        <v>33</v>
      </c>
      <c r="C678" s="55">
        <v>2025</v>
      </c>
      <c r="D678" s="57">
        <v>45968</v>
      </c>
      <c r="E678" s="71">
        <v>228.4796</v>
      </c>
      <c r="F678" s="71"/>
      <c r="G678" s="69"/>
      <c r="H678" s="61"/>
    </row>
    <row r="679" spans="1:8" x14ac:dyDescent="0.25">
      <c r="A679" s="55" t="s">
        <v>152</v>
      </c>
      <c r="B679" s="56" t="s">
        <v>33</v>
      </c>
      <c r="C679" s="55">
        <v>2025</v>
      </c>
      <c r="D679" s="57">
        <v>45969</v>
      </c>
      <c r="E679" s="71">
        <v>228.4796</v>
      </c>
      <c r="F679" s="71"/>
      <c r="G679" s="69"/>
      <c r="H679" s="61"/>
    </row>
    <row r="680" spans="1:8" x14ac:dyDescent="0.25">
      <c r="A680" s="55" t="s">
        <v>153</v>
      </c>
      <c r="B680" s="56" t="s">
        <v>33</v>
      </c>
      <c r="C680" s="55">
        <v>2025</v>
      </c>
      <c r="D680" s="57">
        <v>45970</v>
      </c>
      <c r="E680" s="71">
        <v>228.4796</v>
      </c>
      <c r="F680" s="71"/>
      <c r="G680" s="69"/>
      <c r="H680" s="61"/>
    </row>
    <row r="681" spans="1:8" x14ac:dyDescent="0.25">
      <c r="A681" s="55" t="s">
        <v>147</v>
      </c>
      <c r="B681" s="56" t="s">
        <v>33</v>
      </c>
      <c r="C681" s="55">
        <v>2025</v>
      </c>
      <c r="D681" s="57">
        <v>45971</v>
      </c>
      <c r="E681" s="71">
        <v>231.0462</v>
      </c>
      <c r="F681" s="71"/>
      <c r="G681" s="69"/>
      <c r="H681" s="61"/>
    </row>
    <row r="682" spans="1:8" x14ac:dyDescent="0.25">
      <c r="A682" s="55" t="s">
        <v>148</v>
      </c>
      <c r="B682" s="56" t="s">
        <v>33</v>
      </c>
      <c r="C682" s="55">
        <v>2025</v>
      </c>
      <c r="D682" s="57">
        <v>45972</v>
      </c>
      <c r="E682" s="71">
        <v>231.09379999999999</v>
      </c>
      <c r="F682" s="71"/>
      <c r="G682" s="69"/>
      <c r="H682" s="61"/>
    </row>
    <row r="683" spans="1:8" x14ac:dyDescent="0.25">
      <c r="A683" s="55" t="s">
        <v>149</v>
      </c>
      <c r="B683" s="56" t="s">
        <v>33</v>
      </c>
      <c r="C683" s="55">
        <v>2025</v>
      </c>
      <c r="D683" s="57">
        <v>45973</v>
      </c>
      <c r="E683" s="71">
        <v>233.04580000000001</v>
      </c>
      <c r="F683" s="71"/>
      <c r="G683" s="69"/>
      <c r="H683" s="61"/>
    </row>
    <row r="684" spans="1:8" x14ac:dyDescent="0.25">
      <c r="A684" s="55" t="s">
        <v>150</v>
      </c>
      <c r="B684" s="56" t="s">
        <v>33</v>
      </c>
      <c r="C684" s="55">
        <v>2025</v>
      </c>
      <c r="D684" s="57">
        <v>45974</v>
      </c>
      <c r="E684" s="71">
        <v>233.55760000000001</v>
      </c>
      <c r="F684" s="71"/>
      <c r="G684" s="69"/>
      <c r="H684" s="61"/>
    </row>
    <row r="685" spans="1:8" x14ac:dyDescent="0.25">
      <c r="A685" s="55" t="s">
        <v>151</v>
      </c>
      <c r="B685" s="56" t="s">
        <v>33</v>
      </c>
      <c r="C685" s="55">
        <v>2025</v>
      </c>
      <c r="D685" s="57">
        <v>45975</v>
      </c>
      <c r="E685" s="71">
        <v>234.8715</v>
      </c>
      <c r="F685" s="71"/>
      <c r="G685" s="69"/>
      <c r="H685" s="61"/>
    </row>
    <row r="686" spans="1:8" x14ac:dyDescent="0.25">
      <c r="A686" s="55" t="s">
        <v>152</v>
      </c>
      <c r="B686" s="56" t="s">
        <v>33</v>
      </c>
      <c r="C686" s="55">
        <v>2025</v>
      </c>
      <c r="D686" s="57">
        <v>45976</v>
      </c>
      <c r="E686" s="71">
        <v>234.8715</v>
      </c>
      <c r="F686" s="71"/>
      <c r="G686" s="69"/>
      <c r="H686" s="61"/>
    </row>
    <row r="687" spans="1:8" x14ac:dyDescent="0.25">
      <c r="A687" s="55" t="s">
        <v>153</v>
      </c>
      <c r="B687" s="56" t="s">
        <v>33</v>
      </c>
      <c r="C687" s="55">
        <v>2025</v>
      </c>
      <c r="D687" s="57">
        <v>45977</v>
      </c>
      <c r="E687" s="71">
        <v>234.8715</v>
      </c>
      <c r="F687" s="71"/>
      <c r="G687" s="69"/>
      <c r="H687" s="61"/>
    </row>
    <row r="688" spans="1:8" x14ac:dyDescent="0.25">
      <c r="A688" s="55" t="s">
        <v>147</v>
      </c>
      <c r="B688" s="56" t="s">
        <v>33</v>
      </c>
      <c r="C688" s="55">
        <v>2025</v>
      </c>
      <c r="D688" s="57">
        <v>45978</v>
      </c>
      <c r="E688" s="71">
        <v>236.46010000000001</v>
      </c>
      <c r="F688" s="71"/>
      <c r="G688" s="69"/>
      <c r="H688" s="61"/>
    </row>
    <row r="689" spans="1:8" x14ac:dyDescent="0.25">
      <c r="A689" s="55" t="s">
        <v>148</v>
      </c>
      <c r="B689" s="56" t="s">
        <v>33</v>
      </c>
      <c r="C689" s="55">
        <v>2025</v>
      </c>
      <c r="D689" s="57">
        <v>45979</v>
      </c>
      <c r="E689" s="71">
        <v>236.8389</v>
      </c>
      <c r="F689" s="71"/>
      <c r="G689" s="69"/>
      <c r="H689" s="61"/>
    </row>
    <row r="690" spans="1:8" x14ac:dyDescent="0.25">
      <c r="A690" s="55" t="s">
        <v>149</v>
      </c>
      <c r="B690" s="56" t="s">
        <v>33</v>
      </c>
      <c r="C690" s="55">
        <v>2025</v>
      </c>
      <c r="D690" s="57">
        <v>45980</v>
      </c>
      <c r="E690" s="71">
        <v>237.75049999999999</v>
      </c>
      <c r="F690" s="71"/>
      <c r="G690" s="69"/>
      <c r="H690" s="61"/>
    </row>
    <row r="691" spans="1:8" x14ac:dyDescent="0.25">
      <c r="A691" s="55" t="s">
        <v>150</v>
      </c>
      <c r="B691" s="56" t="s">
        <v>33</v>
      </c>
      <c r="C691" s="55">
        <v>2025</v>
      </c>
      <c r="D691" s="57">
        <v>45981</v>
      </c>
      <c r="E691" s="71">
        <v>240.32089999999999</v>
      </c>
      <c r="F691" s="71"/>
      <c r="G691" s="69"/>
      <c r="H691" s="61"/>
    </row>
    <row r="692" spans="1:8" x14ac:dyDescent="0.25">
      <c r="A692" s="55" t="s">
        <v>151</v>
      </c>
      <c r="B692" s="56" t="s">
        <v>33</v>
      </c>
      <c r="C692" s="55">
        <v>2025</v>
      </c>
      <c r="D692" s="57">
        <v>45982</v>
      </c>
      <c r="E692" s="71">
        <v>241.578</v>
      </c>
      <c r="F692" s="71"/>
      <c r="G692" s="69"/>
      <c r="H692" s="61"/>
    </row>
    <row r="693" spans="1:8" x14ac:dyDescent="0.25">
      <c r="A693" s="55" t="s">
        <v>152</v>
      </c>
      <c r="B693" s="56" t="s">
        <v>33</v>
      </c>
      <c r="C693" s="55">
        <v>2025</v>
      </c>
      <c r="D693" s="57">
        <v>45983</v>
      </c>
      <c r="E693" s="71">
        <v>241.578</v>
      </c>
      <c r="F693" s="71"/>
      <c r="G693" s="69"/>
      <c r="H693" s="61"/>
    </row>
    <row r="694" spans="1:8" x14ac:dyDescent="0.25">
      <c r="A694" s="55" t="s">
        <v>153</v>
      </c>
      <c r="B694" s="56" t="s">
        <v>33</v>
      </c>
      <c r="C694" s="55">
        <v>2025</v>
      </c>
      <c r="D694" s="57">
        <v>45984</v>
      </c>
      <c r="E694" s="71">
        <v>241.578</v>
      </c>
      <c r="F694" s="71"/>
      <c r="G694" s="69"/>
      <c r="H694" s="61"/>
    </row>
    <row r="695" spans="1:8" x14ac:dyDescent="0.25">
      <c r="A695" s="55" t="s">
        <v>147</v>
      </c>
      <c r="B695" s="56" t="s">
        <v>33</v>
      </c>
      <c r="C695" s="55">
        <v>2025</v>
      </c>
      <c r="D695" s="57">
        <v>45985</v>
      </c>
      <c r="E695" s="71">
        <v>241.578</v>
      </c>
      <c r="F695" s="71"/>
      <c r="G695" s="69"/>
      <c r="H695" s="61"/>
    </row>
    <row r="696" spans="1:8" x14ac:dyDescent="0.25">
      <c r="A696" s="55" t="s">
        <v>148</v>
      </c>
      <c r="B696" s="56" t="s">
        <v>33</v>
      </c>
      <c r="C696" s="55">
        <v>2025</v>
      </c>
      <c r="D696" s="57">
        <v>45986</v>
      </c>
      <c r="E696" s="71">
        <v>243.1105</v>
      </c>
      <c r="F696" s="71"/>
      <c r="G696" s="69"/>
      <c r="H696" s="61"/>
    </row>
    <row r="697" spans="1:8" x14ac:dyDescent="0.25">
      <c r="A697" s="55" t="s">
        <v>149</v>
      </c>
      <c r="B697" s="56" t="s">
        <v>33</v>
      </c>
      <c r="C697" s="55">
        <v>2025</v>
      </c>
      <c r="D697" s="57">
        <v>45987</v>
      </c>
      <c r="E697" s="71">
        <v>243.5727</v>
      </c>
      <c r="F697" s="71"/>
      <c r="G697" s="69"/>
      <c r="H697" s="61"/>
    </row>
    <row r="698" spans="1:8" x14ac:dyDescent="0.25">
      <c r="A698" s="55" t="s">
        <v>150</v>
      </c>
      <c r="B698" s="56" t="s">
        <v>33</v>
      </c>
      <c r="C698" s="55">
        <v>2025</v>
      </c>
      <c r="D698" s="57">
        <v>45988</v>
      </c>
      <c r="E698" s="71">
        <v>244.65039999999999</v>
      </c>
      <c r="F698" s="71"/>
      <c r="G698" s="69"/>
      <c r="H698" s="61"/>
    </row>
    <row r="699" spans="1:8" x14ac:dyDescent="0.25">
      <c r="A699" s="55" t="s">
        <v>151</v>
      </c>
      <c r="B699" s="56" t="s">
        <v>33</v>
      </c>
      <c r="C699" s="55">
        <v>2025</v>
      </c>
      <c r="D699" s="57">
        <v>45989</v>
      </c>
      <c r="E699" s="71">
        <v>245.66970000000001</v>
      </c>
      <c r="F699" s="71"/>
      <c r="G699" s="69"/>
      <c r="H699" s="61"/>
    </row>
    <row r="700" spans="1:8" x14ac:dyDescent="0.25">
      <c r="A700" s="55" t="s">
        <v>152</v>
      </c>
      <c r="B700" s="56" t="s">
        <v>33</v>
      </c>
      <c r="C700" s="55">
        <v>2025</v>
      </c>
      <c r="D700" s="57">
        <v>45990</v>
      </c>
      <c r="E700" s="71">
        <v>245.66970000000001</v>
      </c>
      <c r="F700" s="71"/>
      <c r="G700" s="69"/>
      <c r="H700" s="61"/>
    </row>
    <row r="701" spans="1:8" x14ac:dyDescent="0.25">
      <c r="A701" s="55" t="s">
        <v>153</v>
      </c>
      <c r="B701" s="56" t="s">
        <v>33</v>
      </c>
      <c r="C701" s="55">
        <v>2025</v>
      </c>
      <c r="D701" s="57">
        <v>45991</v>
      </c>
      <c r="E701" s="71">
        <v>245.66970000000001</v>
      </c>
      <c r="F701" s="71"/>
      <c r="G701" s="69"/>
      <c r="H701" s="61"/>
    </row>
    <row r="702" spans="1:8" x14ac:dyDescent="0.25">
      <c r="A702" s="55" t="s">
        <v>147</v>
      </c>
      <c r="B702" s="56" t="s">
        <v>34</v>
      </c>
      <c r="C702" s="55">
        <v>2025</v>
      </c>
      <c r="D702" s="57">
        <v>45992</v>
      </c>
      <c r="E702" s="71">
        <v>247.30029999999999</v>
      </c>
      <c r="F702" s="71"/>
      <c r="G702" s="69"/>
      <c r="H702" s="61"/>
    </row>
    <row r="703" spans="1:8" x14ac:dyDescent="0.25">
      <c r="A703" s="55" t="s">
        <v>148</v>
      </c>
      <c r="B703" s="56" t="s">
        <v>34</v>
      </c>
      <c r="C703" s="55">
        <v>2025</v>
      </c>
      <c r="D703" s="57">
        <v>45993</v>
      </c>
      <c r="E703" s="71">
        <v>247.40710000000001</v>
      </c>
      <c r="F703" s="71"/>
      <c r="G703" s="69"/>
      <c r="H703" s="61"/>
    </row>
    <row r="704" spans="1:8" x14ac:dyDescent="0.25">
      <c r="A704" s="55" t="s">
        <v>149</v>
      </c>
      <c r="B704" s="56" t="s">
        <v>34</v>
      </c>
      <c r="C704" s="55">
        <v>2025</v>
      </c>
      <c r="D704" s="57">
        <v>45994</v>
      </c>
      <c r="E704" s="71">
        <v>249.19890000000001</v>
      </c>
      <c r="F704" s="71"/>
      <c r="G704" s="69"/>
      <c r="H704" s="61"/>
    </row>
    <row r="705" spans="1:8" x14ac:dyDescent="0.25">
      <c r="A705" s="55" t="s">
        <v>150</v>
      </c>
      <c r="B705" s="56" t="s">
        <v>34</v>
      </c>
      <c r="C705" s="55">
        <v>2025</v>
      </c>
      <c r="D705" s="57">
        <v>45995</v>
      </c>
      <c r="E705" s="71">
        <v>251.88669999999999</v>
      </c>
      <c r="F705" s="71"/>
      <c r="G705" s="69"/>
      <c r="H705" s="61"/>
    </row>
    <row r="706" spans="1:8" x14ac:dyDescent="0.25">
      <c r="A706" s="55" t="s">
        <v>151</v>
      </c>
      <c r="B706" s="56" t="s">
        <v>34</v>
      </c>
      <c r="C706" s="55">
        <v>2025</v>
      </c>
      <c r="D706" s="57">
        <v>45996</v>
      </c>
      <c r="E706" s="71">
        <v>254.87049999999999</v>
      </c>
      <c r="F706" s="71"/>
      <c r="G706" s="69"/>
      <c r="H706" s="61"/>
    </row>
    <row r="707" spans="1:8" x14ac:dyDescent="0.25">
      <c r="A707" s="55" t="s">
        <v>152</v>
      </c>
      <c r="B707" s="56" t="s">
        <v>34</v>
      </c>
      <c r="C707" s="55">
        <v>2025</v>
      </c>
      <c r="D707" s="57">
        <v>45997</v>
      </c>
      <c r="E707" s="71">
        <v>254.87049999999999</v>
      </c>
      <c r="F707" s="71"/>
      <c r="G707" s="69"/>
      <c r="H707" s="61"/>
    </row>
    <row r="708" spans="1:8" x14ac:dyDescent="0.25">
      <c r="A708" s="55" t="s">
        <v>153</v>
      </c>
      <c r="B708" s="56" t="s">
        <v>34</v>
      </c>
      <c r="C708" s="55">
        <v>2025</v>
      </c>
      <c r="D708" s="57">
        <v>45998</v>
      </c>
      <c r="E708" s="71">
        <v>254.87049999999999</v>
      </c>
      <c r="F708" s="71"/>
      <c r="G708" s="69"/>
      <c r="H708" s="61"/>
    </row>
    <row r="709" spans="1:8" x14ac:dyDescent="0.25">
      <c r="A709" s="55" t="s">
        <v>147</v>
      </c>
      <c r="B709" s="56" t="s">
        <v>34</v>
      </c>
      <c r="C709" s="55">
        <v>2025</v>
      </c>
      <c r="D709" s="57">
        <v>45999</v>
      </c>
      <c r="E709" s="71">
        <v>254.87049999999999</v>
      </c>
      <c r="F709" s="71"/>
      <c r="G709" s="69"/>
      <c r="H709" s="61"/>
    </row>
    <row r="710" spans="1:8" x14ac:dyDescent="0.25">
      <c r="A710" s="55" t="s">
        <v>148</v>
      </c>
      <c r="B710" s="56" t="s">
        <v>34</v>
      </c>
      <c r="C710" s="55">
        <v>2025</v>
      </c>
      <c r="D710" s="57">
        <v>46000</v>
      </c>
      <c r="E710" s="71">
        <v>257.92869999999999</v>
      </c>
      <c r="F710" s="71"/>
      <c r="G710" s="69"/>
      <c r="H710" s="61"/>
    </row>
    <row r="711" spans="1:8" x14ac:dyDescent="0.25">
      <c r="A711" s="55" t="s">
        <v>149</v>
      </c>
      <c r="B711" s="56" t="s">
        <v>34</v>
      </c>
      <c r="C711" s="55">
        <v>2025</v>
      </c>
      <c r="D711" s="57">
        <v>46001</v>
      </c>
      <c r="E711" s="71">
        <v>262.10359999999997</v>
      </c>
      <c r="F711" s="71"/>
      <c r="G711" s="69"/>
      <c r="H711" s="61"/>
    </row>
    <row r="712" spans="1:8" x14ac:dyDescent="0.25">
      <c r="A712" s="55" t="s">
        <v>150</v>
      </c>
      <c r="B712" s="56" t="s">
        <v>34</v>
      </c>
      <c r="C712" s="55">
        <v>2025</v>
      </c>
      <c r="D712" s="57">
        <v>46002</v>
      </c>
      <c r="E712" s="71">
        <v>265.06619999999998</v>
      </c>
      <c r="F712" s="71"/>
      <c r="G712" s="69"/>
      <c r="H712" s="61"/>
    </row>
    <row r="713" spans="1:8" x14ac:dyDescent="0.25">
      <c r="A713" s="55" t="s">
        <v>151</v>
      </c>
      <c r="B713" s="56" t="s">
        <v>34</v>
      </c>
      <c r="C713" s="55">
        <v>2025</v>
      </c>
      <c r="D713" s="57">
        <v>46003</v>
      </c>
      <c r="E713" s="71">
        <v>267.74990000000003</v>
      </c>
      <c r="F713" s="71"/>
      <c r="G713" s="69"/>
      <c r="H713" s="61"/>
    </row>
    <row r="714" spans="1:8" x14ac:dyDescent="0.25">
      <c r="A714" s="55" t="s">
        <v>152</v>
      </c>
      <c r="B714" s="56" t="s">
        <v>34</v>
      </c>
      <c r="C714" s="55">
        <v>2025</v>
      </c>
      <c r="D714" s="57">
        <v>46004</v>
      </c>
      <c r="E714" s="71">
        <v>267.74990000000003</v>
      </c>
      <c r="F714" s="71"/>
      <c r="G714" s="69"/>
      <c r="H714" s="61"/>
    </row>
    <row r="715" spans="1:8" x14ac:dyDescent="0.25">
      <c r="A715" s="55" t="s">
        <v>153</v>
      </c>
      <c r="B715" s="56" t="s">
        <v>34</v>
      </c>
      <c r="C715" s="55">
        <v>2025</v>
      </c>
      <c r="D715" s="57">
        <v>46005</v>
      </c>
      <c r="E715" s="71">
        <v>267.74990000000003</v>
      </c>
      <c r="F715" s="71"/>
      <c r="G715" s="69"/>
      <c r="H715" s="61"/>
    </row>
    <row r="716" spans="1:8" x14ac:dyDescent="0.25">
      <c r="A716" s="55" t="s">
        <v>147</v>
      </c>
      <c r="B716" s="56" t="s">
        <v>34</v>
      </c>
      <c r="C716" s="55">
        <v>2025</v>
      </c>
      <c r="D716" s="57">
        <v>46006</v>
      </c>
      <c r="E716" s="71">
        <v>270.78930000000003</v>
      </c>
      <c r="F716" s="71"/>
      <c r="G716" s="69"/>
      <c r="H716" s="61"/>
    </row>
    <row r="717" spans="1:8" x14ac:dyDescent="0.25">
      <c r="A717" s="55" t="s">
        <v>148</v>
      </c>
      <c r="B717" s="56" t="s">
        <v>34</v>
      </c>
      <c r="C717" s="55">
        <v>2025</v>
      </c>
      <c r="D717" s="57">
        <v>46007</v>
      </c>
      <c r="E717" s="71">
        <v>273.58609999999999</v>
      </c>
      <c r="F717" s="71"/>
      <c r="G717" s="69"/>
      <c r="H717" s="61"/>
    </row>
    <row r="718" spans="1:8" x14ac:dyDescent="0.25">
      <c r="A718" s="55" t="s">
        <v>149</v>
      </c>
      <c r="B718" s="56" t="s">
        <v>34</v>
      </c>
      <c r="C718" s="55">
        <v>2025</v>
      </c>
      <c r="D718" s="57">
        <v>46008</v>
      </c>
      <c r="E718" s="71">
        <v>276.57690000000002</v>
      </c>
      <c r="F718" s="71"/>
      <c r="G718" s="69"/>
      <c r="H718" s="61"/>
    </row>
    <row r="719" spans="1:8" x14ac:dyDescent="0.25">
      <c r="A719" s="55" t="s">
        <v>150</v>
      </c>
      <c r="B719" s="56" t="s">
        <v>34</v>
      </c>
      <c r="C719" s="55">
        <v>2025</v>
      </c>
      <c r="D719" s="57">
        <v>46009</v>
      </c>
      <c r="E719" s="71">
        <v>279.56290000000001</v>
      </c>
      <c r="F719" s="71"/>
      <c r="G719" s="69"/>
      <c r="H719" s="61"/>
    </row>
    <row r="720" spans="1:8" x14ac:dyDescent="0.25">
      <c r="A720" s="55" t="s">
        <v>151</v>
      </c>
      <c r="B720" s="56" t="s">
        <v>34</v>
      </c>
      <c r="C720" s="55">
        <v>2025</v>
      </c>
      <c r="D720" s="57">
        <v>46010</v>
      </c>
      <c r="E720" s="71">
        <v>282.51280000000003</v>
      </c>
      <c r="F720" s="71"/>
      <c r="G720" s="69"/>
      <c r="H720" s="61"/>
    </row>
    <row r="721" spans="1:8" x14ac:dyDescent="0.25">
      <c r="A721" s="55" t="s">
        <v>152</v>
      </c>
      <c r="B721" s="56" t="s">
        <v>34</v>
      </c>
      <c r="C721" s="55">
        <v>2025</v>
      </c>
      <c r="D721" s="57">
        <v>46011</v>
      </c>
      <c r="E721" s="71">
        <v>282.51280000000003</v>
      </c>
      <c r="F721" s="71"/>
      <c r="G721" s="69"/>
      <c r="H721" s="61"/>
    </row>
    <row r="722" spans="1:8" x14ac:dyDescent="0.25">
      <c r="A722" s="55" t="s">
        <v>153</v>
      </c>
      <c r="B722" s="56" t="s">
        <v>34</v>
      </c>
      <c r="C722" s="55">
        <v>2025</v>
      </c>
      <c r="D722" s="57">
        <v>46012</v>
      </c>
      <c r="E722" s="71">
        <v>282.51280000000003</v>
      </c>
      <c r="F722" s="71"/>
      <c r="G722" s="69"/>
      <c r="H722" s="61"/>
    </row>
    <row r="723" spans="1:8" x14ac:dyDescent="0.25">
      <c r="A723" s="55" t="s">
        <v>147</v>
      </c>
      <c r="B723" s="56" t="s">
        <v>34</v>
      </c>
      <c r="C723" s="55">
        <v>2025</v>
      </c>
      <c r="D723" s="57">
        <v>46013</v>
      </c>
      <c r="E723" s="71">
        <v>285.4024</v>
      </c>
      <c r="F723" s="71"/>
      <c r="G723" s="69"/>
      <c r="H723" s="61"/>
    </row>
    <row r="724" spans="1:8" x14ac:dyDescent="0.25">
      <c r="A724" s="55" t="s">
        <v>148</v>
      </c>
      <c r="B724" s="56" t="s">
        <v>34</v>
      </c>
      <c r="C724" s="55">
        <v>2025</v>
      </c>
      <c r="D724" s="57">
        <v>46014</v>
      </c>
      <c r="E724" s="71">
        <v>288.44940000000003</v>
      </c>
      <c r="F724" s="71"/>
      <c r="G724" s="69"/>
      <c r="H724" s="61"/>
    </row>
    <row r="725" spans="1:8" x14ac:dyDescent="0.25">
      <c r="A725" s="55" t="s">
        <v>149</v>
      </c>
      <c r="B725" s="56" t="s">
        <v>34</v>
      </c>
      <c r="C725" s="55">
        <v>2025</v>
      </c>
      <c r="D725" s="57">
        <v>46015</v>
      </c>
      <c r="E725" s="71">
        <v>288.44940000000003</v>
      </c>
      <c r="F725" s="71"/>
      <c r="G725" s="69"/>
      <c r="H725" s="61"/>
    </row>
    <row r="726" spans="1:8" x14ac:dyDescent="0.25">
      <c r="A726" s="55" t="s">
        <v>150</v>
      </c>
      <c r="B726" s="56" t="s">
        <v>34</v>
      </c>
      <c r="C726" s="55">
        <v>2025</v>
      </c>
      <c r="D726" s="57">
        <v>46016</v>
      </c>
      <c r="E726" s="71">
        <v>288.44940000000003</v>
      </c>
      <c r="F726" s="71"/>
      <c r="G726" s="69"/>
      <c r="H726" s="61"/>
    </row>
    <row r="727" spans="1:8" x14ac:dyDescent="0.25">
      <c r="A727" s="55" t="s">
        <v>151</v>
      </c>
      <c r="B727" s="56" t="s">
        <v>34</v>
      </c>
      <c r="C727" s="55">
        <v>2025</v>
      </c>
      <c r="D727" s="57">
        <v>46017</v>
      </c>
      <c r="E727" s="71">
        <v>291.35239999999999</v>
      </c>
      <c r="F727" s="71"/>
      <c r="G727" s="69"/>
      <c r="H727" s="61"/>
    </row>
    <row r="728" spans="1:8" x14ac:dyDescent="0.25">
      <c r="A728" s="55" t="s">
        <v>152</v>
      </c>
      <c r="B728" s="56" t="s">
        <v>34</v>
      </c>
      <c r="C728" s="55">
        <v>2025</v>
      </c>
      <c r="D728" s="57">
        <v>46018</v>
      </c>
      <c r="E728" s="71">
        <v>291.35239999999999</v>
      </c>
      <c r="F728" s="71"/>
      <c r="G728" s="69"/>
      <c r="H728" s="61"/>
    </row>
    <row r="729" spans="1:8" x14ac:dyDescent="0.25">
      <c r="A729" s="55" t="s">
        <v>153</v>
      </c>
      <c r="B729" s="56" t="s">
        <v>34</v>
      </c>
      <c r="C729" s="55">
        <v>2025</v>
      </c>
      <c r="D729" s="57">
        <v>46019</v>
      </c>
      <c r="E729" s="71">
        <v>291.35239999999999</v>
      </c>
      <c r="F729" s="71"/>
      <c r="G729" s="69"/>
      <c r="H729" s="61"/>
    </row>
    <row r="730" spans="1:8" x14ac:dyDescent="0.25">
      <c r="A730" s="55" t="s">
        <v>147</v>
      </c>
      <c r="B730" s="56" t="s">
        <v>34</v>
      </c>
      <c r="C730" s="55">
        <v>2025</v>
      </c>
      <c r="D730" s="57">
        <v>46020</v>
      </c>
      <c r="E730" s="71">
        <v>294.9699</v>
      </c>
      <c r="F730" s="71"/>
      <c r="G730" s="69"/>
      <c r="H730" s="61"/>
    </row>
    <row r="731" spans="1:8" x14ac:dyDescent="0.25">
      <c r="A731" s="55" t="s">
        <v>148</v>
      </c>
      <c r="B731" s="56" t="s">
        <v>34</v>
      </c>
      <c r="C731" s="55">
        <v>2025</v>
      </c>
      <c r="D731" s="57">
        <v>46021</v>
      </c>
      <c r="E731" s="71">
        <v>298.1431</v>
      </c>
      <c r="F731" s="71"/>
      <c r="G731" s="69"/>
      <c r="H731" s="61"/>
    </row>
    <row r="732" spans="1:8" x14ac:dyDescent="0.25">
      <c r="A732" s="55" t="s">
        <v>149</v>
      </c>
      <c r="B732" s="56" t="s">
        <v>34</v>
      </c>
      <c r="C732" s="55">
        <v>2025</v>
      </c>
      <c r="D732" s="57">
        <v>46022</v>
      </c>
      <c r="E732" s="71">
        <v>298.1431</v>
      </c>
      <c r="F732" s="71"/>
      <c r="G732" s="69"/>
      <c r="H732" s="61"/>
    </row>
    <row r="733" spans="1:8" x14ac:dyDescent="0.25">
      <c r="A733" s="55" t="s">
        <v>150</v>
      </c>
      <c r="B733" s="56" t="s">
        <v>23</v>
      </c>
      <c r="C733" s="55">
        <v>2026</v>
      </c>
      <c r="D733" s="57">
        <v>46023</v>
      </c>
      <c r="E733" s="71">
        <v>298.1431</v>
      </c>
      <c r="F733" s="71"/>
      <c r="G733" s="69"/>
      <c r="H733" s="61"/>
    </row>
    <row r="734" spans="1:8" x14ac:dyDescent="0.25">
      <c r="A734" s="55" t="s">
        <v>151</v>
      </c>
      <c r="B734" s="56" t="s">
        <v>23</v>
      </c>
      <c r="C734" s="55">
        <v>2026</v>
      </c>
      <c r="D734" s="57">
        <v>46024</v>
      </c>
      <c r="E734" s="71">
        <v>301.37090000000001</v>
      </c>
      <c r="F734" s="71"/>
      <c r="G734" s="69"/>
      <c r="H734" s="61"/>
    </row>
    <row r="735" spans="1:8" x14ac:dyDescent="0.25">
      <c r="A735" s="55" t="s">
        <v>152</v>
      </c>
      <c r="B735" s="56" t="s">
        <v>23</v>
      </c>
      <c r="C735" s="55">
        <v>2026</v>
      </c>
      <c r="D735" s="57">
        <v>46025</v>
      </c>
      <c r="E735" s="71">
        <v>301.37090000000001</v>
      </c>
      <c r="F735" s="71"/>
      <c r="G735" s="69"/>
      <c r="H735" s="61"/>
    </row>
    <row r="736" spans="1:8" x14ac:dyDescent="0.25">
      <c r="A736" s="55" t="s">
        <v>153</v>
      </c>
      <c r="B736" s="56" t="s">
        <v>23</v>
      </c>
      <c r="C736" s="55">
        <v>2026</v>
      </c>
      <c r="D736" s="57">
        <v>46026</v>
      </c>
      <c r="E736" s="71">
        <v>301.37090000000001</v>
      </c>
      <c r="F736" s="71"/>
      <c r="G736" s="69"/>
      <c r="H736" s="61"/>
    </row>
    <row r="737" spans="1:8" x14ac:dyDescent="0.25">
      <c r="A737" s="55" t="s">
        <v>147</v>
      </c>
      <c r="B737" s="56" t="s">
        <v>23</v>
      </c>
      <c r="C737" s="55">
        <v>2026</v>
      </c>
      <c r="D737" s="57">
        <v>46027</v>
      </c>
      <c r="E737" s="71">
        <v>304.67959999999999</v>
      </c>
      <c r="F737" s="71"/>
      <c r="G737" s="69"/>
      <c r="H737" s="61"/>
    </row>
    <row r="738" spans="1:8" x14ac:dyDescent="0.25">
      <c r="A738" s="55" t="s">
        <v>148</v>
      </c>
      <c r="B738" s="56" t="s">
        <v>23</v>
      </c>
      <c r="C738" s="55">
        <v>2026</v>
      </c>
      <c r="D738" s="57">
        <v>46028</v>
      </c>
      <c r="E738" s="71">
        <v>308.15460000000002</v>
      </c>
      <c r="F738" s="71"/>
      <c r="G738" s="69"/>
      <c r="H738" s="61"/>
    </row>
    <row r="739" spans="1:8" x14ac:dyDescent="0.25">
      <c r="A739" s="55" t="s">
        <v>149</v>
      </c>
      <c r="B739" s="56" t="s">
        <v>23</v>
      </c>
      <c r="C739" s="55">
        <v>2026</v>
      </c>
      <c r="D739" s="57">
        <v>46029</v>
      </c>
      <c r="E739" s="71">
        <v>311.88139999999999</v>
      </c>
      <c r="F739" s="71"/>
      <c r="G739" s="69"/>
      <c r="H739" s="61"/>
    </row>
    <row r="740" spans="1:8" x14ac:dyDescent="0.25">
      <c r="A740" s="55" t="s">
        <v>150</v>
      </c>
      <c r="B740" s="56" t="s">
        <v>23</v>
      </c>
      <c r="C740" s="55">
        <v>2026</v>
      </c>
      <c r="D740" s="57">
        <v>46030</v>
      </c>
      <c r="E740" s="71">
        <v>321.03230000000002</v>
      </c>
      <c r="F740" s="71"/>
      <c r="G740" s="69"/>
      <c r="H740" s="61"/>
    </row>
    <row r="741" spans="1:8" x14ac:dyDescent="0.25">
      <c r="A741" s="55" t="s">
        <v>151</v>
      </c>
      <c r="B741" s="56" t="s">
        <v>23</v>
      </c>
      <c r="C741" s="55">
        <v>2026</v>
      </c>
      <c r="D741" s="57">
        <v>46031</v>
      </c>
      <c r="E741" s="71">
        <v>325.38940000000002</v>
      </c>
      <c r="F741" s="71"/>
      <c r="G741" s="69"/>
      <c r="H741" s="61"/>
    </row>
    <row r="742" spans="1:8" x14ac:dyDescent="0.25">
      <c r="A742" s="55" t="s">
        <v>152</v>
      </c>
      <c r="B742" s="56" t="s">
        <v>23</v>
      </c>
      <c r="C742" s="55">
        <v>2026</v>
      </c>
      <c r="D742" s="57">
        <v>46032</v>
      </c>
      <c r="E742" s="71">
        <v>325.38940000000002</v>
      </c>
      <c r="F742" s="71"/>
      <c r="G742" s="69"/>
      <c r="H742" s="61"/>
    </row>
    <row r="743" spans="1:8" x14ac:dyDescent="0.25">
      <c r="A743" s="55" t="s">
        <v>153</v>
      </c>
      <c r="B743" s="56" t="s">
        <v>23</v>
      </c>
      <c r="C743" s="55">
        <v>2026</v>
      </c>
      <c r="D743" s="57">
        <v>46033</v>
      </c>
      <c r="E743" s="71">
        <v>325.38940000000002</v>
      </c>
      <c r="F743" s="71"/>
      <c r="G743" s="69"/>
      <c r="H743" s="61"/>
    </row>
    <row r="744" spans="1:8" x14ac:dyDescent="0.25">
      <c r="A744" s="55" t="s">
        <v>147</v>
      </c>
      <c r="B744" s="56" t="s">
        <v>23</v>
      </c>
      <c r="C744" s="55">
        <v>2026</v>
      </c>
      <c r="D744" s="57">
        <v>46034</v>
      </c>
      <c r="E744" s="71">
        <v>325.38940000000002</v>
      </c>
      <c r="F744" s="71"/>
      <c r="G744" s="69"/>
      <c r="H744" s="61"/>
    </row>
    <row r="745" spans="1:8" x14ac:dyDescent="0.25">
      <c r="A745" s="55" t="s">
        <v>148</v>
      </c>
      <c r="B745" s="56" t="s">
        <v>23</v>
      </c>
      <c r="C745" s="55">
        <v>2026</v>
      </c>
      <c r="D745" s="57">
        <v>46035</v>
      </c>
      <c r="E745" s="71">
        <v>330.37509999999997</v>
      </c>
      <c r="F745" s="71"/>
      <c r="G745" s="69"/>
      <c r="H745" s="61"/>
    </row>
    <row r="746" spans="1:8" x14ac:dyDescent="0.25">
      <c r="A746" s="55" t="s">
        <v>149</v>
      </c>
      <c r="B746" s="56" t="s">
        <v>23</v>
      </c>
      <c r="C746" s="55">
        <v>2026</v>
      </c>
      <c r="D746" s="57">
        <v>46036</v>
      </c>
      <c r="E746" s="71">
        <v>336.45960000000002</v>
      </c>
      <c r="F746" s="71"/>
      <c r="G746" s="69"/>
      <c r="H746" s="61"/>
    </row>
    <row r="747" spans="1:8" x14ac:dyDescent="0.25">
      <c r="A747" s="55" t="s">
        <v>150</v>
      </c>
      <c r="B747" s="56" t="s">
        <v>23</v>
      </c>
      <c r="C747" s="55">
        <v>2026</v>
      </c>
      <c r="D747" s="57">
        <v>46037</v>
      </c>
      <c r="E747" s="71">
        <v>339.14949999999999</v>
      </c>
      <c r="F747" s="71"/>
      <c r="G747" s="69"/>
      <c r="H747" s="61"/>
    </row>
    <row r="748" spans="1:8" x14ac:dyDescent="0.25">
      <c r="A748" s="55" t="s">
        <v>151</v>
      </c>
      <c r="B748" s="56" t="s">
        <v>23</v>
      </c>
      <c r="C748" s="55">
        <v>2026</v>
      </c>
      <c r="D748" s="57">
        <v>46038</v>
      </c>
      <c r="E748" s="71">
        <v>341.74250000000001</v>
      </c>
      <c r="F748" s="71"/>
      <c r="G748" s="69"/>
      <c r="H748" s="61"/>
    </row>
    <row r="749" spans="1:8" x14ac:dyDescent="0.25">
      <c r="A749" s="55" t="s">
        <v>152</v>
      </c>
      <c r="B749" s="56" t="s">
        <v>23</v>
      </c>
      <c r="C749" s="55">
        <v>2026</v>
      </c>
      <c r="D749" s="57">
        <v>46039</v>
      </c>
      <c r="E749" s="71">
        <v>341.74250000000001</v>
      </c>
      <c r="F749" s="71"/>
      <c r="G749" s="69"/>
      <c r="H749" s="61"/>
    </row>
    <row r="750" spans="1:8" x14ac:dyDescent="0.25">
      <c r="A750" s="55" t="s">
        <v>153</v>
      </c>
      <c r="B750" s="56" t="s">
        <v>23</v>
      </c>
      <c r="C750" s="55">
        <v>2026</v>
      </c>
      <c r="D750" s="57">
        <v>46040</v>
      </c>
      <c r="E750" s="71">
        <v>341.74250000000001</v>
      </c>
      <c r="F750" s="71"/>
      <c r="G750" s="69"/>
      <c r="H750" s="61"/>
    </row>
    <row r="751" spans="1:8" x14ac:dyDescent="0.25">
      <c r="A751" s="55" t="s">
        <v>147</v>
      </c>
      <c r="B751" s="56" t="s">
        <v>23</v>
      </c>
      <c r="C751" s="55">
        <v>2026</v>
      </c>
      <c r="D751" s="57">
        <v>46041</v>
      </c>
      <c r="E751" s="71">
        <v>341.74250000000001</v>
      </c>
      <c r="F751" s="71"/>
      <c r="G751" s="69"/>
      <c r="H751" s="61"/>
    </row>
    <row r="752" spans="1:8" x14ac:dyDescent="0.25">
      <c r="A752" s="55" t="s">
        <v>148</v>
      </c>
      <c r="B752" s="56" t="s">
        <v>23</v>
      </c>
      <c r="C752" s="55">
        <v>2026</v>
      </c>
      <c r="D752" s="57">
        <v>46042</v>
      </c>
      <c r="E752" s="71">
        <v>344.50709999999998</v>
      </c>
      <c r="F752" s="71"/>
      <c r="G752" s="69"/>
      <c r="H752" s="61"/>
    </row>
    <row r="753" spans="1:8" x14ac:dyDescent="0.25">
      <c r="A753" s="55" t="s">
        <v>149</v>
      </c>
      <c r="B753" s="56" t="s">
        <v>23</v>
      </c>
      <c r="C753" s="55">
        <v>2026</v>
      </c>
      <c r="D753" s="57">
        <v>46043</v>
      </c>
      <c r="E753" s="71">
        <v>347.26310000000001</v>
      </c>
      <c r="F753" s="71"/>
      <c r="G753" s="69"/>
      <c r="H753" s="61"/>
    </row>
    <row r="754" spans="1:8" x14ac:dyDescent="0.25">
      <c r="A754" s="55" t="s">
        <v>150</v>
      </c>
      <c r="B754" s="56" t="s">
        <v>23</v>
      </c>
      <c r="C754" s="55">
        <v>2026</v>
      </c>
      <c r="D754" s="57">
        <v>46044</v>
      </c>
      <c r="E754" s="71">
        <v>349.92720000000003</v>
      </c>
      <c r="F754" s="71"/>
      <c r="G754" s="69"/>
      <c r="H754" s="61"/>
    </row>
    <row r="755" spans="1:8" x14ac:dyDescent="0.25">
      <c r="A755" s="55" t="s">
        <v>151</v>
      </c>
      <c r="B755" s="56" t="s">
        <v>23</v>
      </c>
      <c r="C755" s="55">
        <v>2026</v>
      </c>
      <c r="D755" s="57">
        <v>46045</v>
      </c>
      <c r="E755" s="71">
        <v>352.7063</v>
      </c>
      <c r="F755" s="71"/>
      <c r="G755" s="69"/>
      <c r="H755" s="61"/>
    </row>
    <row r="756" spans="1:8" x14ac:dyDescent="0.25">
      <c r="A756" s="55" t="s">
        <v>152</v>
      </c>
      <c r="B756" s="56" t="s">
        <v>23</v>
      </c>
      <c r="C756" s="55">
        <v>2026</v>
      </c>
      <c r="D756" s="57">
        <v>46046</v>
      </c>
      <c r="E756" s="71">
        <v>352.7063</v>
      </c>
      <c r="F756" s="71"/>
      <c r="G756" s="69"/>
      <c r="H756" s="61"/>
    </row>
    <row r="757" spans="1:8" x14ac:dyDescent="0.25">
      <c r="A757" s="55" t="s">
        <v>153</v>
      </c>
      <c r="B757" s="56" t="s">
        <v>23</v>
      </c>
      <c r="C757" s="55">
        <v>2026</v>
      </c>
      <c r="D757" s="57">
        <v>46047</v>
      </c>
      <c r="E757" s="71">
        <v>352.7063</v>
      </c>
      <c r="F757" s="71"/>
      <c r="G757" s="69"/>
      <c r="H757" s="61"/>
    </row>
    <row r="758" spans="1:8" x14ac:dyDescent="0.25">
      <c r="A758" s="55" t="s">
        <v>147</v>
      </c>
      <c r="B758" s="56" t="s">
        <v>23</v>
      </c>
      <c r="C758" s="55">
        <v>2026</v>
      </c>
      <c r="D758" s="57">
        <v>46048</v>
      </c>
      <c r="E758" s="71">
        <v>355.55279999999999</v>
      </c>
      <c r="F758" s="71"/>
      <c r="G758" s="69"/>
      <c r="H758" s="61"/>
    </row>
    <row r="759" spans="1:8" x14ac:dyDescent="0.25">
      <c r="A759" s="55" t="s">
        <v>148</v>
      </c>
      <c r="B759" s="56" t="s">
        <v>23</v>
      </c>
      <c r="C759" s="55">
        <v>2026</v>
      </c>
      <c r="D759" s="57">
        <v>46049</v>
      </c>
      <c r="E759" s="71">
        <v>358.92469999999997</v>
      </c>
      <c r="F759" s="71"/>
      <c r="G759" s="69"/>
      <c r="H759" s="61"/>
    </row>
    <row r="760" spans="1:8" x14ac:dyDescent="0.25">
      <c r="A760" s="55" t="s">
        <v>149</v>
      </c>
      <c r="B760" s="56" t="s">
        <v>23</v>
      </c>
      <c r="C760" s="55">
        <v>2026</v>
      </c>
      <c r="D760" s="57">
        <v>46050</v>
      </c>
      <c r="E760" s="71">
        <v>361.49059999999997</v>
      </c>
      <c r="F760" s="71"/>
      <c r="G760" s="69"/>
      <c r="H760" s="61"/>
    </row>
    <row r="761" spans="1:8" x14ac:dyDescent="0.25">
      <c r="A761" s="55" t="s">
        <v>150</v>
      </c>
      <c r="B761" s="56" t="s">
        <v>23</v>
      </c>
      <c r="C761" s="55">
        <v>2026</v>
      </c>
      <c r="D761" s="57">
        <v>46051</v>
      </c>
      <c r="E761" s="71">
        <v>363.66230000000002</v>
      </c>
      <c r="F761" s="71"/>
      <c r="G761" s="69"/>
      <c r="H761" s="61"/>
    </row>
    <row r="762" spans="1:8" x14ac:dyDescent="0.25">
      <c r="A762" s="55" t="s">
        <v>151</v>
      </c>
      <c r="B762" s="56" t="s">
        <v>23</v>
      </c>
      <c r="C762" s="55">
        <v>2026</v>
      </c>
      <c r="D762" s="57">
        <v>46052</v>
      </c>
      <c r="E762" s="71">
        <v>367.30689999999998</v>
      </c>
      <c r="F762" s="71"/>
      <c r="G762" s="69"/>
      <c r="H762" s="61"/>
    </row>
    <row r="763" spans="1:8" x14ac:dyDescent="0.25">
      <c r="A763" s="55" t="s">
        <v>152</v>
      </c>
      <c r="B763" s="56" t="s">
        <v>23</v>
      </c>
      <c r="C763" s="55">
        <v>2026</v>
      </c>
      <c r="D763" s="57">
        <v>46053</v>
      </c>
      <c r="E763" s="71">
        <v>367.30689999999998</v>
      </c>
      <c r="F763" s="71"/>
      <c r="G763" s="69"/>
      <c r="H763" s="61"/>
    </row>
    <row r="764" spans="1:8" x14ac:dyDescent="0.25">
      <c r="A764" s="55" t="s">
        <v>153</v>
      </c>
      <c r="B764" s="56" t="s">
        <v>24</v>
      </c>
      <c r="C764" s="55">
        <v>2026</v>
      </c>
      <c r="D764" s="57">
        <v>46054</v>
      </c>
      <c r="E764" s="71">
        <v>367.30689999999998</v>
      </c>
      <c r="F764" s="71"/>
      <c r="G764" s="69"/>
      <c r="H764" s="61"/>
    </row>
    <row r="765" spans="1:8" x14ac:dyDescent="0.25">
      <c r="A765" s="55" t="s">
        <v>147</v>
      </c>
      <c r="B765" s="56" t="s">
        <v>24</v>
      </c>
      <c r="C765" s="55">
        <v>2026</v>
      </c>
      <c r="D765" s="57">
        <v>46055</v>
      </c>
      <c r="E765" s="71">
        <v>370.25439999999998</v>
      </c>
      <c r="F765" s="71"/>
      <c r="G765" s="69"/>
      <c r="H765" s="61"/>
    </row>
    <row r="766" spans="1:8" x14ac:dyDescent="0.25">
      <c r="A766" s="55" t="s">
        <v>148</v>
      </c>
      <c r="B766" s="56" t="s">
        <v>24</v>
      </c>
      <c r="C766" s="55">
        <v>2026</v>
      </c>
      <c r="D766" s="57">
        <v>46056</v>
      </c>
      <c r="E766" s="71">
        <v>372.10570000000001</v>
      </c>
      <c r="F766" s="71"/>
      <c r="G766" s="69"/>
      <c r="H766" s="61"/>
    </row>
    <row r="767" spans="1:8" x14ac:dyDescent="0.25">
      <c r="A767" s="55" t="s">
        <v>149</v>
      </c>
      <c r="B767" s="56" t="s">
        <v>24</v>
      </c>
      <c r="C767" s="55">
        <v>2026</v>
      </c>
      <c r="D767" s="57">
        <v>46057</v>
      </c>
      <c r="E767" s="71">
        <v>375.08249999999998</v>
      </c>
      <c r="F767" s="71"/>
      <c r="G767" s="69"/>
      <c r="H767" s="61"/>
    </row>
    <row r="768" spans="1:8" x14ac:dyDescent="0.25">
      <c r="A768" s="55" t="s">
        <v>150</v>
      </c>
      <c r="B768" s="56" t="s">
        <v>24</v>
      </c>
      <c r="C768" s="55">
        <v>2026</v>
      </c>
      <c r="D768" s="57">
        <v>46058</v>
      </c>
      <c r="E768" s="71">
        <v>378.45819999999998</v>
      </c>
      <c r="F768" s="71"/>
      <c r="G768" s="69"/>
      <c r="H768" s="61"/>
    </row>
    <row r="769" spans="1:8" x14ac:dyDescent="0.25">
      <c r="A769" s="55" t="s">
        <v>151</v>
      </c>
      <c r="B769" s="56" t="s">
        <v>24</v>
      </c>
      <c r="C769" s="55">
        <v>2026</v>
      </c>
      <c r="D769" s="57">
        <v>46059</v>
      </c>
      <c r="E769" s="71">
        <v>381.10739999999998</v>
      </c>
      <c r="F769" s="71"/>
      <c r="G769" s="69"/>
      <c r="H769" s="61"/>
    </row>
    <row r="770" spans="1:8" x14ac:dyDescent="0.25">
      <c r="A770" s="55" t="s">
        <v>152</v>
      </c>
      <c r="B770" s="56" t="s">
        <v>24</v>
      </c>
      <c r="C770" s="55">
        <v>2026</v>
      </c>
      <c r="D770" s="57">
        <v>46060</v>
      </c>
      <c r="E770" s="71">
        <v>381.10739999999998</v>
      </c>
      <c r="F770" s="71"/>
      <c r="G770" s="69"/>
      <c r="H770" s="61"/>
    </row>
    <row r="771" spans="1:8" x14ac:dyDescent="0.25">
      <c r="A771" s="55" t="s">
        <v>153</v>
      </c>
      <c r="B771" s="56" t="s">
        <v>24</v>
      </c>
      <c r="C771" s="55">
        <v>2026</v>
      </c>
      <c r="D771" s="57">
        <v>46061</v>
      </c>
      <c r="E771" s="71">
        <v>381.10739999999998</v>
      </c>
      <c r="F771" s="71"/>
      <c r="G771" s="69"/>
      <c r="H771" s="61"/>
    </row>
    <row r="772" spans="1:8" x14ac:dyDescent="0.25">
      <c r="A772" s="55" t="s">
        <v>147</v>
      </c>
      <c r="B772" s="56" t="s">
        <v>24</v>
      </c>
      <c r="C772" s="55">
        <v>2026</v>
      </c>
      <c r="D772" s="57">
        <v>46062</v>
      </c>
      <c r="E772" s="71">
        <v>382.6318</v>
      </c>
      <c r="F772" s="71"/>
      <c r="G772" s="69"/>
      <c r="H772" s="61"/>
    </row>
    <row r="773" spans="1:8" x14ac:dyDescent="0.25">
      <c r="A773" s="55" t="s">
        <v>148</v>
      </c>
      <c r="B773" s="56" t="s">
        <v>24</v>
      </c>
      <c r="C773" s="55">
        <v>2026</v>
      </c>
      <c r="D773" s="57">
        <v>46063</v>
      </c>
      <c r="E773" s="71">
        <v>385.27199999999999</v>
      </c>
      <c r="F773" s="71"/>
      <c r="G773" s="69"/>
      <c r="H773" s="61"/>
    </row>
    <row r="774" spans="1:8" x14ac:dyDescent="0.25">
      <c r="A774" s="55" t="s">
        <v>149</v>
      </c>
      <c r="B774" s="56" t="s">
        <v>24</v>
      </c>
      <c r="C774" s="55">
        <v>2026</v>
      </c>
      <c r="D774" s="57">
        <v>46064</v>
      </c>
      <c r="E774" s="71">
        <v>388.73939999999999</v>
      </c>
      <c r="F774" s="71"/>
      <c r="G774" s="69"/>
      <c r="H774" s="61"/>
    </row>
    <row r="775" spans="1:8" x14ac:dyDescent="0.25">
      <c r="A775" s="55" t="s">
        <v>150</v>
      </c>
      <c r="B775" s="56" t="s">
        <v>24</v>
      </c>
      <c r="C775" s="55">
        <v>2026</v>
      </c>
      <c r="D775" s="57">
        <v>46065</v>
      </c>
      <c r="E775" s="71">
        <v>390.2944</v>
      </c>
      <c r="F775" s="71"/>
      <c r="G775" s="69"/>
      <c r="H775" s="61"/>
    </row>
    <row r="776" spans="1:8" x14ac:dyDescent="0.25">
      <c r="A776" s="55" t="s">
        <v>151</v>
      </c>
      <c r="B776" s="56" t="s">
        <v>24</v>
      </c>
      <c r="C776" s="55">
        <v>2026</v>
      </c>
      <c r="D776" s="57">
        <v>46066</v>
      </c>
      <c r="E776" s="71">
        <v>393.22160000000002</v>
      </c>
      <c r="F776" s="71"/>
      <c r="G776" s="69"/>
      <c r="H776" s="61"/>
    </row>
    <row r="777" spans="1:8" x14ac:dyDescent="0.25">
      <c r="A777" s="55" t="s">
        <v>152</v>
      </c>
      <c r="B777" s="56" t="s">
        <v>24</v>
      </c>
      <c r="C777" s="55">
        <v>2026</v>
      </c>
      <c r="D777" s="57">
        <v>46067</v>
      </c>
      <c r="E777" s="71">
        <v>393.22160000000002</v>
      </c>
      <c r="F777" s="71"/>
      <c r="G777" s="69"/>
      <c r="H777" s="61"/>
    </row>
    <row r="778" spans="1:8" x14ac:dyDescent="0.25">
      <c r="A778" s="55" t="s">
        <v>153</v>
      </c>
      <c r="B778" s="56" t="s">
        <v>24</v>
      </c>
      <c r="C778" s="55">
        <v>2026</v>
      </c>
      <c r="D778" s="57">
        <v>46068</v>
      </c>
      <c r="E778" s="71">
        <v>393.22160000000002</v>
      </c>
      <c r="F778" s="71"/>
      <c r="G778" s="69"/>
      <c r="H778" s="61"/>
    </row>
    <row r="779" spans="1:8" x14ac:dyDescent="0.25">
      <c r="A779" s="55" t="s">
        <v>147</v>
      </c>
      <c r="B779" s="56" t="s">
        <v>24</v>
      </c>
      <c r="C779" s="55">
        <v>2026</v>
      </c>
      <c r="D779" s="57">
        <v>46069</v>
      </c>
      <c r="E779" s="71">
        <v>393.22160000000002</v>
      </c>
      <c r="F779" s="71"/>
      <c r="G779" s="69"/>
      <c r="H779" s="61"/>
    </row>
    <row r="780" spans="1:8" x14ac:dyDescent="0.25">
      <c r="A780" s="55" t="s">
        <v>148</v>
      </c>
      <c r="B780" s="56" t="s">
        <v>24</v>
      </c>
      <c r="C780" s="55">
        <v>2026</v>
      </c>
      <c r="D780" s="57">
        <v>46070</v>
      </c>
      <c r="E780" s="71">
        <v>393.22160000000002</v>
      </c>
      <c r="F780" s="71"/>
      <c r="G780" s="69"/>
      <c r="H780" s="61"/>
    </row>
    <row r="781" spans="1:8" x14ac:dyDescent="0.25">
      <c r="A781" s="55" t="s">
        <v>149</v>
      </c>
      <c r="B781" s="56" t="s">
        <v>24</v>
      </c>
      <c r="C781" s="55">
        <v>2026</v>
      </c>
      <c r="D781" s="57">
        <v>46071</v>
      </c>
      <c r="E781" s="71">
        <v>396.36739999999998</v>
      </c>
      <c r="F781" s="71"/>
      <c r="G781" s="69"/>
      <c r="H781" s="61"/>
    </row>
    <row r="782" spans="1:8" x14ac:dyDescent="0.25">
      <c r="A782" s="55" t="s">
        <v>150</v>
      </c>
      <c r="B782" s="56" t="s">
        <v>24</v>
      </c>
      <c r="C782" s="55">
        <v>2026</v>
      </c>
      <c r="D782" s="57">
        <v>46072</v>
      </c>
      <c r="E782" s="71">
        <v>398.74560000000002</v>
      </c>
      <c r="F782" s="71"/>
      <c r="G782" s="69"/>
      <c r="H782" s="61"/>
    </row>
    <row r="783" spans="1:8" x14ac:dyDescent="0.25">
      <c r="A783" s="55" t="s">
        <v>151</v>
      </c>
      <c r="B783" s="56" t="s">
        <v>24</v>
      </c>
      <c r="C783" s="55">
        <v>2026</v>
      </c>
      <c r="D783" s="57">
        <v>46073</v>
      </c>
      <c r="E783" s="71">
        <v>402.33429999999998</v>
      </c>
      <c r="F783" s="71"/>
      <c r="G783" s="69"/>
      <c r="H783" s="61"/>
    </row>
    <row r="784" spans="1:8" x14ac:dyDescent="0.25">
      <c r="A784" s="55" t="s">
        <v>152</v>
      </c>
      <c r="B784" s="56" t="s">
        <v>24</v>
      </c>
      <c r="C784" s="55">
        <v>2026</v>
      </c>
      <c r="D784" s="57">
        <v>46074</v>
      </c>
      <c r="E784" s="71">
        <v>402.33429999999998</v>
      </c>
      <c r="F784" s="71"/>
      <c r="G784" s="69"/>
      <c r="H784" s="61"/>
    </row>
    <row r="785" spans="1:8" x14ac:dyDescent="0.25">
      <c r="A785" s="55" t="s">
        <v>153</v>
      </c>
      <c r="B785" s="56" t="s">
        <v>24</v>
      </c>
      <c r="C785" s="55">
        <v>2026</v>
      </c>
      <c r="D785" s="57">
        <v>46075</v>
      </c>
      <c r="E785" s="71">
        <v>402.33429999999998</v>
      </c>
      <c r="F785" s="71"/>
      <c r="G785" s="69"/>
      <c r="H785" s="61"/>
    </row>
    <row r="786" spans="1:8" x14ac:dyDescent="0.25">
      <c r="A786" s="55" t="s">
        <v>147</v>
      </c>
      <c r="B786" s="56" t="s">
        <v>24</v>
      </c>
      <c r="C786" s="55">
        <v>2026</v>
      </c>
      <c r="D786" s="57">
        <v>46076</v>
      </c>
      <c r="E786" s="71">
        <v>405.35180000000003</v>
      </c>
      <c r="F786" s="71"/>
      <c r="G786" s="69"/>
      <c r="H786" s="61"/>
    </row>
    <row r="787" spans="1:8" x14ac:dyDescent="0.25">
      <c r="A787" s="55" t="s">
        <v>148</v>
      </c>
      <c r="B787" s="56" t="s">
        <v>24</v>
      </c>
      <c r="C787" s="55">
        <v>2026</v>
      </c>
      <c r="D787" s="57">
        <v>46077</v>
      </c>
      <c r="E787" s="71">
        <v>407.37860000000001</v>
      </c>
      <c r="F787" s="71"/>
      <c r="G787" s="69"/>
      <c r="H787" s="61"/>
    </row>
    <row r="788" spans="1:8" x14ac:dyDescent="0.25">
      <c r="A788" s="55" t="s">
        <v>149</v>
      </c>
      <c r="B788" s="56" t="s">
        <v>24</v>
      </c>
      <c r="C788" s="55">
        <v>2026</v>
      </c>
      <c r="D788" s="57">
        <v>46078</v>
      </c>
      <c r="E788" s="71">
        <v>411.08569999999997</v>
      </c>
      <c r="F788" s="71"/>
      <c r="G788" s="69"/>
      <c r="H788" s="61"/>
    </row>
    <row r="789" spans="1:8" x14ac:dyDescent="0.25">
      <c r="A789" s="55" t="s">
        <v>150</v>
      </c>
      <c r="B789" s="56" t="s">
        <v>24</v>
      </c>
      <c r="C789" s="55">
        <v>2026</v>
      </c>
      <c r="D789" s="57">
        <v>46079</v>
      </c>
      <c r="E789" s="71">
        <v>414.0455</v>
      </c>
      <c r="F789" s="71"/>
      <c r="G789" s="69"/>
      <c r="H789" s="61"/>
    </row>
    <row r="790" spans="1:8" x14ac:dyDescent="0.25">
      <c r="A790" s="55" t="s">
        <v>151</v>
      </c>
      <c r="B790" s="56" t="s">
        <v>24</v>
      </c>
      <c r="C790" s="55">
        <v>2026</v>
      </c>
      <c r="D790" s="57">
        <v>46080</v>
      </c>
      <c r="E790" s="71">
        <v>417.35789999999997</v>
      </c>
      <c r="F790" s="71"/>
      <c r="G790" s="69"/>
      <c r="H790" s="61"/>
    </row>
    <row r="791" spans="1:8" x14ac:dyDescent="0.25">
      <c r="A791" s="55" t="s">
        <v>152</v>
      </c>
      <c r="B791" s="56" t="s">
        <v>24</v>
      </c>
      <c r="C791" s="55">
        <v>2026</v>
      </c>
      <c r="D791" s="57">
        <v>46081</v>
      </c>
      <c r="E791" s="71">
        <v>417.35789999999997</v>
      </c>
      <c r="F791" s="71"/>
      <c r="G791" s="69"/>
      <c r="H791" s="61"/>
    </row>
    <row r="792" spans="1:8" x14ac:dyDescent="0.25">
      <c r="A792" s="55" t="s">
        <v>153</v>
      </c>
      <c r="B792" s="56" t="s">
        <v>25</v>
      </c>
      <c r="C792" s="55">
        <v>2026</v>
      </c>
      <c r="D792" s="57">
        <v>46082</v>
      </c>
      <c r="E792" s="75">
        <v>417.35789999999997</v>
      </c>
      <c r="F792" s="71"/>
      <c r="G792" s="69"/>
      <c r="H792" s="61"/>
    </row>
    <row r="793" spans="1:8" x14ac:dyDescent="0.25">
      <c r="A793" s="55" t="s">
        <v>147</v>
      </c>
      <c r="B793" s="56" t="s">
        <v>25</v>
      </c>
      <c r="C793" s="55">
        <v>2026</v>
      </c>
      <c r="D793" s="57">
        <v>46083</v>
      </c>
      <c r="E793" s="75">
        <v>419.9873</v>
      </c>
      <c r="F793" s="71"/>
      <c r="G793" s="69"/>
      <c r="H793" s="61"/>
    </row>
    <row r="794" spans="1:8" x14ac:dyDescent="0.25">
      <c r="A794" s="55" t="s">
        <v>148</v>
      </c>
      <c r="B794" s="56" t="s">
        <v>25</v>
      </c>
      <c r="C794" s="55">
        <v>2026</v>
      </c>
      <c r="D794" s="57">
        <v>46084</v>
      </c>
      <c r="E794" s="75">
        <v>421.87720000000002</v>
      </c>
      <c r="F794" s="71"/>
      <c r="G794" s="69"/>
      <c r="H794" s="61"/>
    </row>
    <row r="795" spans="1:8" x14ac:dyDescent="0.25">
      <c r="A795" s="55" t="s">
        <v>149</v>
      </c>
      <c r="B795" s="56" t="s">
        <v>25</v>
      </c>
      <c r="C795" s="55">
        <v>2026</v>
      </c>
      <c r="D795" s="57">
        <v>46085</v>
      </c>
      <c r="E795" s="75">
        <v>425.67410000000001</v>
      </c>
      <c r="F795" s="71"/>
      <c r="G795" s="69"/>
      <c r="H795" s="61"/>
    </row>
    <row r="796" spans="1:8" x14ac:dyDescent="0.25">
      <c r="A796" s="55" t="s">
        <v>150</v>
      </c>
      <c r="B796" s="56" t="s">
        <v>25</v>
      </c>
      <c r="C796" s="55">
        <v>2026</v>
      </c>
      <c r="D796" s="57">
        <v>46086</v>
      </c>
      <c r="E796" s="75">
        <v>427.93020000000001</v>
      </c>
      <c r="F796" s="71"/>
      <c r="G796" s="69"/>
      <c r="H796" s="61"/>
    </row>
    <row r="797" spans="1:8" x14ac:dyDescent="0.25">
      <c r="A797" s="55" t="s">
        <v>151</v>
      </c>
      <c r="B797" s="56" t="s">
        <v>25</v>
      </c>
      <c r="C797" s="55">
        <v>2026</v>
      </c>
      <c r="D797" s="57">
        <v>46087</v>
      </c>
      <c r="E797" s="75">
        <v>431.01130000000001</v>
      </c>
      <c r="F797" s="71"/>
      <c r="G797" s="69"/>
      <c r="H797" s="61"/>
    </row>
    <row r="798" spans="1:8" x14ac:dyDescent="0.25">
      <c r="A798" s="55" t="s">
        <v>152</v>
      </c>
      <c r="B798" s="56" t="s">
        <v>25</v>
      </c>
      <c r="C798" s="55">
        <v>2026</v>
      </c>
      <c r="D798" s="57">
        <v>46088</v>
      </c>
      <c r="E798" s="75">
        <v>431.01130000000001</v>
      </c>
      <c r="F798" s="71"/>
      <c r="G798" s="69"/>
      <c r="H798" s="61"/>
    </row>
    <row r="799" spans="1:8" x14ac:dyDescent="0.25">
      <c r="A799" s="55" t="s">
        <v>153</v>
      </c>
      <c r="B799" s="56" t="s">
        <v>25</v>
      </c>
      <c r="C799" s="55">
        <v>2026</v>
      </c>
      <c r="D799" s="57">
        <v>46089</v>
      </c>
      <c r="E799" s="75">
        <v>431.01130000000001</v>
      </c>
      <c r="F799" s="71"/>
      <c r="G799" s="69"/>
      <c r="H799" s="61"/>
    </row>
    <row r="800" spans="1:8" x14ac:dyDescent="0.25">
      <c r="A800" s="55" t="s">
        <v>147</v>
      </c>
      <c r="B800" s="56" t="s">
        <v>25</v>
      </c>
      <c r="C800" s="55">
        <v>2026</v>
      </c>
      <c r="D800" s="57">
        <v>46090</v>
      </c>
      <c r="E800" s="75">
        <v>433.16640000000001</v>
      </c>
      <c r="F800" s="71"/>
      <c r="G800" s="69"/>
      <c r="H800" s="61"/>
    </row>
    <row r="801" spans="1:8" x14ac:dyDescent="0.25">
      <c r="A801" s="55" t="s">
        <v>148</v>
      </c>
      <c r="B801" s="56" t="s">
        <v>25</v>
      </c>
      <c r="C801" s="55">
        <v>2026</v>
      </c>
      <c r="D801" s="57">
        <v>46091</v>
      </c>
      <c r="E801" s="75">
        <v>436.24189999999999</v>
      </c>
      <c r="F801" s="71"/>
      <c r="G801" s="69"/>
      <c r="H801" s="61"/>
    </row>
    <row r="802" spans="1:8" x14ac:dyDescent="0.25">
      <c r="A802" s="55" t="s">
        <v>149</v>
      </c>
      <c r="B802" s="56" t="s">
        <v>25</v>
      </c>
      <c r="C802" s="55">
        <v>2026</v>
      </c>
      <c r="D802" s="57">
        <v>46092</v>
      </c>
      <c r="E802" s="75">
        <v>438.20499999999998</v>
      </c>
      <c r="F802" s="71"/>
      <c r="G802" s="69"/>
      <c r="H802" s="61"/>
    </row>
    <row r="803" spans="1:8" x14ac:dyDescent="0.25">
      <c r="A803" s="55" t="s">
        <v>150</v>
      </c>
      <c r="B803" s="56" t="s">
        <v>25</v>
      </c>
      <c r="C803" s="55">
        <v>2026</v>
      </c>
      <c r="D803" s="57">
        <v>46093</v>
      </c>
      <c r="E803" s="75">
        <v>440.96570000000003</v>
      </c>
      <c r="F803" s="71"/>
      <c r="G803" s="69"/>
      <c r="H803" s="61"/>
    </row>
    <row r="804" spans="1:8" x14ac:dyDescent="0.25">
      <c r="A804" s="55" t="s">
        <v>151</v>
      </c>
      <c r="B804" s="56" t="s">
        <v>25</v>
      </c>
      <c r="C804" s="55">
        <v>2026</v>
      </c>
      <c r="D804" s="57">
        <v>46094</v>
      </c>
      <c r="E804" s="75">
        <v>443.25869999999998</v>
      </c>
      <c r="F804" s="71"/>
      <c r="G804" s="69"/>
      <c r="H804" s="61"/>
    </row>
    <row r="805" spans="1:8" x14ac:dyDescent="0.25">
      <c r="A805" s="55" t="s">
        <v>152</v>
      </c>
      <c r="B805" s="56" t="s">
        <v>25</v>
      </c>
      <c r="C805" s="55">
        <v>2026</v>
      </c>
      <c r="D805" s="57">
        <v>46095</v>
      </c>
      <c r="E805" s="75">
        <v>443.25869999999998</v>
      </c>
      <c r="F805" s="71"/>
      <c r="G805" s="69"/>
      <c r="H805" s="61"/>
    </row>
    <row r="806" spans="1:8" x14ac:dyDescent="0.25">
      <c r="A806" s="55" t="s">
        <v>153</v>
      </c>
      <c r="B806" s="56" t="s">
        <v>25</v>
      </c>
      <c r="C806" s="55">
        <v>2026</v>
      </c>
      <c r="D806" s="57">
        <v>46096</v>
      </c>
      <c r="E806" s="75">
        <v>443.25869999999998</v>
      </c>
      <c r="F806" s="71"/>
      <c r="G806" s="69"/>
      <c r="H806" s="61"/>
    </row>
    <row r="807" spans="1:8" x14ac:dyDescent="0.25">
      <c r="A807" s="55" t="s">
        <v>147</v>
      </c>
      <c r="B807" s="56" t="s">
        <v>25</v>
      </c>
      <c r="C807" s="55">
        <v>2026</v>
      </c>
      <c r="D807" s="57">
        <v>46097</v>
      </c>
      <c r="E807" s="75">
        <v>446.8048</v>
      </c>
      <c r="F807" s="71"/>
      <c r="G807" s="69"/>
      <c r="H807" s="61"/>
    </row>
    <row r="808" spans="1:8" x14ac:dyDescent="0.25">
      <c r="A808" s="55" t="s">
        <v>148</v>
      </c>
      <c r="B808" s="56" t="s">
        <v>25</v>
      </c>
      <c r="C808" s="55">
        <v>2026</v>
      </c>
      <c r="D808" s="57">
        <v>46098</v>
      </c>
      <c r="E808" s="75">
        <v>448.36860000000001</v>
      </c>
      <c r="F808" s="71"/>
      <c r="G808" s="69"/>
      <c r="H808" s="61"/>
    </row>
    <row r="809" spans="1:8" x14ac:dyDescent="0.25">
      <c r="A809" s="55" t="s">
        <v>149</v>
      </c>
      <c r="B809" s="56" t="s">
        <v>25</v>
      </c>
      <c r="C809" s="55">
        <v>2026</v>
      </c>
      <c r="D809" s="57">
        <v>46099</v>
      </c>
      <c r="E809" s="75">
        <v>451.50720000000001</v>
      </c>
      <c r="F809" s="71"/>
      <c r="G809" s="69"/>
      <c r="H809" s="61"/>
    </row>
    <row r="810" spans="1:8" x14ac:dyDescent="0.25">
      <c r="A810" s="55" t="s">
        <v>150</v>
      </c>
      <c r="B810" s="56" t="s">
        <v>25</v>
      </c>
      <c r="C810" s="55">
        <v>2026</v>
      </c>
      <c r="D810" s="57">
        <v>46100</v>
      </c>
      <c r="E810" s="75">
        <v>451.50720000000001</v>
      </c>
      <c r="F810" s="71"/>
      <c r="G810" s="69"/>
      <c r="H810" s="61"/>
    </row>
    <row r="811" spans="1:8" x14ac:dyDescent="0.25">
      <c r="A811" s="55" t="s">
        <v>151</v>
      </c>
      <c r="B811" s="56" t="s">
        <v>25</v>
      </c>
      <c r="C811" s="55">
        <v>2026</v>
      </c>
      <c r="D811" s="57">
        <v>46101</v>
      </c>
      <c r="E811" s="75">
        <v>455.25470000000001</v>
      </c>
      <c r="F811" s="71"/>
      <c r="G811" s="69"/>
      <c r="H811" s="61"/>
    </row>
    <row r="812" spans="1:8" x14ac:dyDescent="0.25">
      <c r="A812" s="55" t="s">
        <v>152</v>
      </c>
      <c r="B812" s="56" t="s">
        <v>25</v>
      </c>
      <c r="C812" s="55">
        <v>2026</v>
      </c>
      <c r="D812" s="57">
        <v>46102</v>
      </c>
      <c r="E812" s="75">
        <v>455.25470000000001</v>
      </c>
      <c r="F812" s="71"/>
      <c r="G812" s="69"/>
      <c r="H812" s="61"/>
    </row>
    <row r="813" spans="1:8" x14ac:dyDescent="0.25">
      <c r="A813" s="55" t="s">
        <v>153</v>
      </c>
      <c r="B813" s="56" t="s">
        <v>25</v>
      </c>
      <c r="C813" s="55">
        <v>2026</v>
      </c>
      <c r="D813" s="57">
        <v>46103</v>
      </c>
      <c r="E813" s="75">
        <v>455.25470000000001</v>
      </c>
      <c r="F813" s="71"/>
      <c r="G813" s="69"/>
      <c r="H813" s="61"/>
    </row>
    <row r="814" spans="1:8" x14ac:dyDescent="0.25">
      <c r="A814" s="55" t="s">
        <v>147</v>
      </c>
      <c r="B814" s="56" t="s">
        <v>25</v>
      </c>
      <c r="C814" s="55">
        <v>2026</v>
      </c>
      <c r="D814" s="57">
        <v>46104</v>
      </c>
      <c r="E814" s="75">
        <v>457.07569999999998</v>
      </c>
      <c r="F814" s="71"/>
      <c r="G814" s="69"/>
      <c r="H814" s="61"/>
    </row>
    <row r="815" spans="1:8" x14ac:dyDescent="0.25">
      <c r="A815" s="55" t="s">
        <v>148</v>
      </c>
      <c r="B815" s="56" t="s">
        <v>25</v>
      </c>
      <c r="C815" s="55">
        <v>2026</v>
      </c>
      <c r="D815" s="57">
        <v>46105</v>
      </c>
      <c r="E815" s="75">
        <v>459.45249999999999</v>
      </c>
      <c r="F815" s="71"/>
      <c r="G815" s="69"/>
      <c r="H815" s="61"/>
    </row>
    <row r="816" spans="1:8" x14ac:dyDescent="0.25">
      <c r="A816" s="55" t="s">
        <v>149</v>
      </c>
      <c r="B816" s="56" t="s">
        <v>25</v>
      </c>
      <c r="C816" s="55">
        <v>2026</v>
      </c>
      <c r="D816" s="57">
        <v>46106</v>
      </c>
      <c r="E816" s="75">
        <v>462.6687</v>
      </c>
      <c r="F816" s="71"/>
      <c r="G816" s="69"/>
      <c r="H816" s="61"/>
    </row>
    <row r="817" spans="1:8" x14ac:dyDescent="0.25">
      <c r="A817" s="55" t="s">
        <v>150</v>
      </c>
      <c r="B817" s="56" t="s">
        <v>25</v>
      </c>
      <c r="C817" s="55">
        <v>2026</v>
      </c>
      <c r="D817" s="57">
        <v>46107</v>
      </c>
      <c r="E817" s="75">
        <v>466.60140000000001</v>
      </c>
      <c r="F817" s="71"/>
      <c r="G817" s="69"/>
      <c r="H817" s="61"/>
    </row>
    <row r="818" spans="1:8" x14ac:dyDescent="0.25">
      <c r="A818" s="55" t="s">
        <v>151</v>
      </c>
      <c r="B818" s="56" t="s">
        <v>25</v>
      </c>
      <c r="C818" s="55">
        <v>2026</v>
      </c>
      <c r="D818" s="57">
        <v>46108</v>
      </c>
      <c r="E818" s="75">
        <v>468.5145</v>
      </c>
      <c r="F818" s="71"/>
      <c r="G818" s="69"/>
      <c r="H818" s="61"/>
    </row>
    <row r="819" spans="1:8" x14ac:dyDescent="0.25">
      <c r="A819" s="55" t="s">
        <v>152</v>
      </c>
      <c r="B819" s="56" t="s">
        <v>25</v>
      </c>
      <c r="C819" s="55">
        <v>2026</v>
      </c>
      <c r="D819" s="57">
        <v>46109</v>
      </c>
      <c r="E819" s="75">
        <v>468.5145</v>
      </c>
      <c r="F819" s="71"/>
      <c r="G819" s="69"/>
      <c r="H819" s="61"/>
    </row>
    <row r="820" spans="1:8" x14ac:dyDescent="0.25">
      <c r="A820" s="55" t="s">
        <v>153</v>
      </c>
      <c r="B820" s="56" t="s">
        <v>25</v>
      </c>
      <c r="C820" s="55">
        <v>2026</v>
      </c>
      <c r="D820" s="57">
        <v>46110</v>
      </c>
      <c r="E820" s="75">
        <v>468.5145</v>
      </c>
      <c r="F820" s="71"/>
      <c r="G820" s="69"/>
      <c r="H820" s="61"/>
    </row>
    <row r="821" spans="1:8" x14ac:dyDescent="0.25">
      <c r="A821" s="55" t="s">
        <v>147</v>
      </c>
      <c r="B821" s="56" t="s">
        <v>25</v>
      </c>
      <c r="C821" s="55">
        <v>2026</v>
      </c>
      <c r="D821" s="57">
        <v>46111</v>
      </c>
      <c r="E821" s="75">
        <v>471.7004</v>
      </c>
      <c r="F821" s="71"/>
      <c r="G821" s="69"/>
      <c r="H821" s="61"/>
    </row>
    <row r="822" spans="1:8" x14ac:dyDescent="0.25">
      <c r="A822" s="55" t="s">
        <v>148</v>
      </c>
      <c r="B822" s="56" t="s">
        <v>25</v>
      </c>
      <c r="C822" s="55">
        <v>2026</v>
      </c>
      <c r="D822" s="57">
        <v>46112</v>
      </c>
      <c r="E822" s="75">
        <v>473.87020000000001</v>
      </c>
      <c r="F822" s="71"/>
      <c r="G822" s="69"/>
      <c r="H822" s="61"/>
    </row>
    <row r="823" spans="1:8" x14ac:dyDescent="0.25">
      <c r="A823" s="55" t="s">
        <v>149</v>
      </c>
      <c r="B823" s="56" t="s">
        <v>26</v>
      </c>
      <c r="C823" s="55">
        <v>2026</v>
      </c>
      <c r="D823" s="57">
        <v>46113</v>
      </c>
      <c r="E823" s="55">
        <v>473.91759999999999</v>
      </c>
      <c r="F823" s="78"/>
      <c r="G823" s="69"/>
      <c r="H823" s="61"/>
    </row>
    <row r="824" spans="1:8" x14ac:dyDescent="0.25">
      <c r="A824" s="55" t="s">
        <v>150</v>
      </c>
      <c r="B824" s="56" t="s">
        <v>26</v>
      </c>
      <c r="C824" s="55">
        <v>2026</v>
      </c>
      <c r="D824" s="57">
        <v>46114</v>
      </c>
      <c r="E824" s="55">
        <v>473.91759999999999</v>
      </c>
      <c r="F824" s="78"/>
      <c r="G824" s="69"/>
      <c r="H824" s="61"/>
    </row>
    <row r="825" spans="1:8" x14ac:dyDescent="0.25">
      <c r="A825" s="55" t="s">
        <v>151</v>
      </c>
      <c r="B825" s="56" t="s">
        <v>26</v>
      </c>
      <c r="C825" s="55">
        <v>2026</v>
      </c>
      <c r="D825" s="57">
        <v>46115</v>
      </c>
      <c r="E825" s="55">
        <v>473.91759999999999</v>
      </c>
      <c r="F825" s="78"/>
      <c r="G825" s="69"/>
      <c r="H825" s="61"/>
    </row>
    <row r="826" spans="1:8" x14ac:dyDescent="0.25">
      <c r="A826" s="55" t="s">
        <v>152</v>
      </c>
      <c r="B826" s="56" t="s">
        <v>26</v>
      </c>
      <c r="C826" s="55">
        <v>2026</v>
      </c>
      <c r="D826" s="57">
        <v>46116</v>
      </c>
      <c r="E826" s="55">
        <v>473.91759999999999</v>
      </c>
      <c r="F826" s="78"/>
      <c r="G826" s="69"/>
      <c r="H826" s="61"/>
    </row>
    <row r="827" spans="1:8" x14ac:dyDescent="0.25">
      <c r="A827" s="55" t="s">
        <v>153</v>
      </c>
      <c r="B827" s="56" t="s">
        <v>26</v>
      </c>
      <c r="C827" s="55">
        <v>2026</v>
      </c>
      <c r="D827" s="57">
        <v>46117</v>
      </c>
      <c r="E827" s="55">
        <v>473.91759999999999</v>
      </c>
      <c r="F827" s="78"/>
      <c r="G827" s="69"/>
      <c r="H827" s="61"/>
    </row>
    <row r="828" spans="1:8" x14ac:dyDescent="0.25">
      <c r="A828" s="55" t="s">
        <v>147</v>
      </c>
      <c r="B828" s="56" t="s">
        <v>26</v>
      </c>
      <c r="C828" s="55">
        <v>2026</v>
      </c>
      <c r="D828" s="57">
        <v>46118</v>
      </c>
      <c r="E828" s="55">
        <v>474.0598</v>
      </c>
      <c r="F828" s="79"/>
      <c r="G828" s="69"/>
      <c r="H828" s="61"/>
    </row>
    <row r="829" spans="1:8" x14ac:dyDescent="0.25">
      <c r="A829" s="55" t="s">
        <v>148</v>
      </c>
      <c r="B829" s="56" t="s">
        <v>26</v>
      </c>
      <c r="C829" s="55">
        <v>2026</v>
      </c>
      <c r="D829" s="57">
        <v>46119</v>
      </c>
      <c r="E829" s="55">
        <v>474.53379999999999</v>
      </c>
      <c r="F829" s="79"/>
      <c r="G829" s="69"/>
      <c r="H829" s="61"/>
    </row>
    <row r="830" spans="1:8" x14ac:dyDescent="0.25">
      <c r="A830" s="55" t="s">
        <v>149</v>
      </c>
      <c r="B830" s="56" t="s">
        <v>26</v>
      </c>
      <c r="C830" s="55">
        <v>2026</v>
      </c>
      <c r="D830" s="57">
        <v>46120</v>
      </c>
      <c r="E830" s="55">
        <v>475.00830000000002</v>
      </c>
      <c r="F830" s="78"/>
      <c r="G830" s="69"/>
      <c r="H830" s="76"/>
    </row>
    <row r="831" spans="1:8" x14ac:dyDescent="0.25">
      <c r="A831" s="55" t="s">
        <v>150</v>
      </c>
      <c r="B831" s="56" t="s">
        <v>26</v>
      </c>
      <c r="C831" s="55">
        <v>2026</v>
      </c>
      <c r="D831" s="57">
        <v>46121</v>
      </c>
      <c r="E831" s="55">
        <v>475.95830000000001</v>
      </c>
    </row>
    <row r="832" spans="1:8" x14ac:dyDescent="0.25">
      <c r="A832" s="55" t="s">
        <v>151</v>
      </c>
      <c r="B832" s="56" t="s">
        <v>26</v>
      </c>
      <c r="C832" s="55">
        <v>2026</v>
      </c>
      <c r="D832" s="57">
        <v>46122</v>
      </c>
      <c r="E832" s="55">
        <v>476.43419999999998</v>
      </c>
    </row>
    <row r="833" spans="1:5" x14ac:dyDescent="0.25">
      <c r="A833" s="55" t="s">
        <v>152</v>
      </c>
      <c r="B833" s="56" t="s">
        <v>26</v>
      </c>
      <c r="C833" s="55">
        <v>2026</v>
      </c>
      <c r="D833" s="57">
        <v>46123</v>
      </c>
      <c r="E833" s="55">
        <v>476.43419999999998</v>
      </c>
    </row>
    <row r="834" spans="1:5" x14ac:dyDescent="0.25">
      <c r="A834" s="55" t="s">
        <v>153</v>
      </c>
      <c r="B834" s="56" t="s">
        <v>26</v>
      </c>
      <c r="C834" s="55">
        <v>2026</v>
      </c>
      <c r="D834" s="57">
        <v>46124</v>
      </c>
      <c r="E834" s="55">
        <v>476.43419999999998</v>
      </c>
    </row>
    <row r="835" spans="1:5" x14ac:dyDescent="0.25">
      <c r="A835" s="55" t="s">
        <v>147</v>
      </c>
      <c r="B835" s="56" t="s">
        <v>26</v>
      </c>
      <c r="C835" s="55">
        <v>2026</v>
      </c>
      <c r="D835" s="57">
        <v>46125</v>
      </c>
      <c r="E835" s="55">
        <v>477.14879999999999</v>
      </c>
    </row>
    <row r="836" spans="1:5" x14ac:dyDescent="0.25">
      <c r="A836" s="55" t="s">
        <v>148</v>
      </c>
      <c r="B836" s="56" t="s">
        <v>26</v>
      </c>
      <c r="C836" s="55">
        <v>2026</v>
      </c>
      <c r="D836" s="57">
        <v>46126</v>
      </c>
      <c r="E836" s="55">
        <v>477.6259</v>
      </c>
    </row>
    <row r="837" spans="1:5" x14ac:dyDescent="0.25">
      <c r="A837" s="55" t="s">
        <v>149</v>
      </c>
      <c r="B837" s="56" t="s">
        <v>26</v>
      </c>
      <c r="C837" s="55">
        <v>2026</v>
      </c>
      <c r="D837" s="57">
        <v>46127</v>
      </c>
      <c r="E837" s="55">
        <v>478.58109999999999</v>
      </c>
    </row>
    <row r="838" spans="1:5" x14ac:dyDescent="0.25">
      <c r="A838" s="55" t="s">
        <v>150</v>
      </c>
      <c r="B838" s="56" t="s">
        <v>26</v>
      </c>
      <c r="C838" s="55">
        <v>2026</v>
      </c>
      <c r="D838" s="57">
        <v>46128</v>
      </c>
      <c r="E838" s="55">
        <v>479.77749999999997</v>
      </c>
    </row>
    <row r="839" spans="1:5" x14ac:dyDescent="0.25">
      <c r="A839" s="55" t="s">
        <v>151</v>
      </c>
      <c r="B839" s="56" t="s">
        <v>26</v>
      </c>
      <c r="C839" s="55">
        <v>2026</v>
      </c>
      <c r="D839" s="57">
        <v>46129</v>
      </c>
      <c r="E839" s="55">
        <v>480.25720000000001</v>
      </c>
    </row>
    <row r="840" spans="1:5" x14ac:dyDescent="0.25">
      <c r="A840" s="55" t="s">
        <v>152</v>
      </c>
      <c r="B840" s="56" t="s">
        <v>26</v>
      </c>
      <c r="C840" s="55">
        <v>2026</v>
      </c>
      <c r="D840" s="57">
        <v>46130</v>
      </c>
      <c r="E840" s="55">
        <v>480.25720000000001</v>
      </c>
    </row>
    <row r="841" spans="1:5" x14ac:dyDescent="0.25">
      <c r="A841" s="55" t="s">
        <v>153</v>
      </c>
      <c r="B841" s="56" t="s">
        <v>26</v>
      </c>
      <c r="C841" s="55">
        <v>2026</v>
      </c>
      <c r="D841" s="57">
        <v>46131</v>
      </c>
      <c r="E841" s="55">
        <v>480.25720000000001</v>
      </c>
    </row>
    <row r="842" spans="1:5" x14ac:dyDescent="0.25">
      <c r="A842" s="55" t="s">
        <v>147</v>
      </c>
      <c r="B842" s="56" t="s">
        <v>26</v>
      </c>
      <c r="C842" s="55">
        <v>2026</v>
      </c>
      <c r="D842" s="57">
        <v>46132</v>
      </c>
      <c r="E842" s="55">
        <v>481.21769999999998</v>
      </c>
    </row>
    <row r="843" spans="1:5" x14ac:dyDescent="0.25">
      <c r="A843" s="55" t="s">
        <v>148</v>
      </c>
      <c r="B843" s="56" t="s">
        <v>26</v>
      </c>
      <c r="C843" s="55">
        <v>2026</v>
      </c>
      <c r="D843" s="57">
        <v>46133</v>
      </c>
      <c r="E843" s="55">
        <v>481.69889999999998</v>
      </c>
    </row>
    <row r="844" spans="1:5" x14ac:dyDescent="0.25">
      <c r="A844" s="55" t="s">
        <v>149</v>
      </c>
      <c r="B844" s="56" t="s">
        <v>26</v>
      </c>
      <c r="C844" s="55">
        <v>2026</v>
      </c>
      <c r="D844" s="57">
        <v>46134</v>
      </c>
      <c r="E844" s="55">
        <v>482.7586</v>
      </c>
    </row>
    <row r="845" spans="1:5" x14ac:dyDescent="0.25">
      <c r="A845" s="55" t="s">
        <v>150</v>
      </c>
      <c r="B845" s="56" t="s">
        <v>26</v>
      </c>
      <c r="C845" s="55">
        <v>2026</v>
      </c>
      <c r="D845" s="57">
        <v>46135</v>
      </c>
      <c r="E845" s="55">
        <v>483.33789999999999</v>
      </c>
    </row>
    <row r="846" spans="1:5" x14ac:dyDescent="0.25">
      <c r="A846" s="55" t="s">
        <v>151</v>
      </c>
      <c r="B846" s="56" t="s">
        <v>26</v>
      </c>
      <c r="C846" s="55">
        <v>2026</v>
      </c>
      <c r="D846" s="57">
        <v>46136</v>
      </c>
      <c r="E846" s="55">
        <v>483.86950000000002</v>
      </c>
    </row>
    <row r="847" spans="1:5" x14ac:dyDescent="0.25">
      <c r="A847" s="55" t="s">
        <v>152</v>
      </c>
      <c r="B847" s="56" t="s">
        <v>26</v>
      </c>
      <c r="C847" s="55">
        <v>2026</v>
      </c>
      <c r="D847" s="57">
        <v>46137</v>
      </c>
      <c r="E847" s="55">
        <v>483.86950000000002</v>
      </c>
    </row>
    <row r="848" spans="1:5" x14ac:dyDescent="0.25">
      <c r="A848" s="55" t="s">
        <v>153</v>
      </c>
      <c r="B848" s="56" t="s">
        <v>26</v>
      </c>
      <c r="C848" s="55">
        <v>2026</v>
      </c>
      <c r="D848" s="57">
        <v>46138</v>
      </c>
      <c r="E848" s="55">
        <v>483.86950000000002</v>
      </c>
    </row>
    <row r="849" spans="1:5" x14ac:dyDescent="0.25">
      <c r="A849" s="55" t="s">
        <v>147</v>
      </c>
      <c r="B849" s="56" t="s">
        <v>26</v>
      </c>
      <c r="C849" s="55">
        <v>2026</v>
      </c>
      <c r="D849" s="57">
        <v>46139</v>
      </c>
      <c r="E849" s="55">
        <v>484.74040000000002</v>
      </c>
    </row>
    <row r="850" spans="1:5" x14ac:dyDescent="0.25">
      <c r="A850" s="55" t="s">
        <v>148</v>
      </c>
      <c r="B850" s="56" t="s">
        <v>26</v>
      </c>
      <c r="C850" s="55">
        <v>2026</v>
      </c>
      <c r="D850" s="57">
        <v>46140</v>
      </c>
      <c r="E850" s="55">
        <v>485.2251</v>
      </c>
    </row>
    <row r="851" spans="1:5" x14ac:dyDescent="0.25">
      <c r="A851" s="55" t="s">
        <v>149</v>
      </c>
      <c r="B851" s="56" t="s">
        <v>26</v>
      </c>
      <c r="C851" s="55">
        <v>2026</v>
      </c>
      <c r="D851" s="57">
        <v>46141</v>
      </c>
      <c r="E851" s="55">
        <v>486.19549999999998</v>
      </c>
    </row>
    <row r="852" spans="1:5" x14ac:dyDescent="0.25">
      <c r="A852" s="55" t="s">
        <v>150</v>
      </c>
      <c r="B852" s="56" t="s">
        <v>26</v>
      </c>
      <c r="C852" s="55">
        <v>2026</v>
      </c>
      <c r="D852" s="57">
        <v>46142</v>
      </c>
      <c r="E852" s="55">
        <v>487.11919999999998</v>
      </c>
    </row>
    <row r="853" spans="1:5" x14ac:dyDescent="0.25">
      <c r="A853" s="55" t="s">
        <v>151</v>
      </c>
      <c r="B853" s="56" t="s">
        <v>27</v>
      </c>
      <c r="C853" s="55">
        <v>2026</v>
      </c>
      <c r="D853" s="57">
        <v>46143</v>
      </c>
      <c r="E853" s="55">
        <v>487.11919999999998</v>
      </c>
    </row>
    <row r="854" spans="1:5" x14ac:dyDescent="0.25">
      <c r="A854" s="55" t="s">
        <v>152</v>
      </c>
      <c r="B854" s="56" t="s">
        <v>27</v>
      </c>
      <c r="C854" s="55">
        <v>2026</v>
      </c>
      <c r="D854" s="57">
        <v>46144</v>
      </c>
      <c r="E854" s="55">
        <v>487.11919999999998</v>
      </c>
    </row>
    <row r="855" spans="1:5" x14ac:dyDescent="0.25">
      <c r="A855" s="55" t="s">
        <v>153</v>
      </c>
      <c r="B855" s="56" t="s">
        <v>27</v>
      </c>
      <c r="C855" s="55">
        <v>2026</v>
      </c>
      <c r="D855" s="57">
        <v>46145</v>
      </c>
      <c r="E855" s="55">
        <v>487.11919999999998</v>
      </c>
    </row>
    <row r="856" spans="1:5" x14ac:dyDescent="0.25">
      <c r="A856" s="55" t="s">
        <v>147</v>
      </c>
      <c r="B856" s="56" t="s">
        <v>27</v>
      </c>
      <c r="C856" s="55">
        <v>2026</v>
      </c>
      <c r="D856" s="57">
        <v>46146</v>
      </c>
      <c r="E856" s="55">
        <v>489.55470000000003</v>
      </c>
    </row>
    <row r="857" spans="1:5" x14ac:dyDescent="0.25">
      <c r="A857" s="55" t="s">
        <v>148</v>
      </c>
      <c r="B857" s="56" t="s">
        <v>27</v>
      </c>
      <c r="C857" s="55">
        <v>2026</v>
      </c>
      <c r="D857" s="57">
        <v>46147</v>
      </c>
    </row>
    <row r="858" spans="1:5" x14ac:dyDescent="0.25">
      <c r="A858" s="55" t="s">
        <v>149</v>
      </c>
      <c r="B858" s="56" t="s">
        <v>27</v>
      </c>
      <c r="C858" s="55">
        <v>2026</v>
      </c>
      <c r="D858" s="57">
        <v>46148</v>
      </c>
    </row>
    <row r="859" spans="1:5" x14ac:dyDescent="0.25">
      <c r="A859" s="55" t="s">
        <v>150</v>
      </c>
      <c r="B859" s="56" t="s">
        <v>27</v>
      </c>
      <c r="C859" s="55">
        <v>2026</v>
      </c>
      <c r="D859" s="57">
        <v>46149</v>
      </c>
    </row>
    <row r="860" spans="1:5" x14ac:dyDescent="0.25">
      <c r="A860" s="55" t="s">
        <v>151</v>
      </c>
      <c r="B860" s="56" t="s">
        <v>27</v>
      </c>
      <c r="C860" s="55">
        <v>2026</v>
      </c>
      <c r="D860" s="57">
        <v>46150</v>
      </c>
    </row>
    <row r="861" spans="1:5" x14ac:dyDescent="0.25">
      <c r="A861" s="55" t="s">
        <v>152</v>
      </c>
      <c r="B861" s="56" t="s">
        <v>27</v>
      </c>
      <c r="C861" s="55">
        <v>2026</v>
      </c>
      <c r="D861" s="57">
        <v>46151</v>
      </c>
    </row>
    <row r="862" spans="1:5" x14ac:dyDescent="0.25">
      <c r="A862" s="55" t="s">
        <v>153</v>
      </c>
      <c r="B862" s="56" t="s">
        <v>27</v>
      </c>
      <c r="C862" s="55">
        <v>2026</v>
      </c>
      <c r="D862" s="57">
        <v>46152</v>
      </c>
    </row>
    <row r="863" spans="1:5" x14ac:dyDescent="0.25">
      <c r="A863" s="55" t="s">
        <v>147</v>
      </c>
      <c r="B863" s="56" t="s">
        <v>27</v>
      </c>
      <c r="C863" s="55">
        <v>2026</v>
      </c>
      <c r="D863" s="57">
        <v>46153</v>
      </c>
    </row>
    <row r="864" spans="1:5" x14ac:dyDescent="0.25">
      <c r="A864" s="55" t="s">
        <v>148</v>
      </c>
      <c r="B864" s="56" t="s">
        <v>27</v>
      </c>
      <c r="C864" s="55">
        <v>2026</v>
      </c>
      <c r="D864" s="57">
        <v>46154</v>
      </c>
    </row>
    <row r="865" spans="1:4" x14ac:dyDescent="0.25">
      <c r="A865" s="55" t="s">
        <v>149</v>
      </c>
      <c r="B865" s="56" t="s">
        <v>27</v>
      </c>
      <c r="C865" s="55">
        <v>2026</v>
      </c>
      <c r="D865" s="57">
        <v>46155</v>
      </c>
    </row>
    <row r="866" spans="1:4" x14ac:dyDescent="0.25">
      <c r="A866" s="55" t="s">
        <v>150</v>
      </c>
      <c r="B866" s="56" t="s">
        <v>27</v>
      </c>
      <c r="C866" s="55">
        <v>2026</v>
      </c>
      <c r="D866" s="57">
        <v>46156</v>
      </c>
    </row>
    <row r="867" spans="1:4" x14ac:dyDescent="0.25">
      <c r="A867" s="55" t="s">
        <v>151</v>
      </c>
      <c r="B867" s="56" t="s">
        <v>27</v>
      </c>
      <c r="C867" s="55">
        <v>2026</v>
      </c>
      <c r="D867" s="57">
        <v>46157</v>
      </c>
    </row>
    <row r="868" spans="1:4" x14ac:dyDescent="0.25">
      <c r="A868" s="55" t="s">
        <v>152</v>
      </c>
      <c r="B868" s="56" t="s">
        <v>27</v>
      </c>
      <c r="C868" s="55">
        <v>2026</v>
      </c>
      <c r="D868" s="57">
        <v>46158</v>
      </c>
    </row>
    <row r="869" spans="1:4" x14ac:dyDescent="0.25">
      <c r="A869" s="55" t="s">
        <v>153</v>
      </c>
      <c r="B869" s="56" t="s">
        <v>27</v>
      </c>
      <c r="C869" s="55">
        <v>2026</v>
      </c>
      <c r="D869" s="57">
        <v>46159</v>
      </c>
    </row>
    <row r="870" spans="1:4" x14ac:dyDescent="0.25">
      <c r="A870" s="55" t="s">
        <v>147</v>
      </c>
      <c r="B870" s="56" t="s">
        <v>27</v>
      </c>
      <c r="C870" s="55">
        <v>2026</v>
      </c>
      <c r="D870" s="57">
        <v>46160</v>
      </c>
    </row>
    <row r="871" spans="1:4" x14ac:dyDescent="0.25">
      <c r="A871" s="55" t="s">
        <v>148</v>
      </c>
      <c r="B871" s="56" t="s">
        <v>27</v>
      </c>
      <c r="C871" s="55">
        <v>2026</v>
      </c>
      <c r="D871" s="57">
        <v>46161</v>
      </c>
    </row>
    <row r="872" spans="1:4" x14ac:dyDescent="0.25">
      <c r="A872" s="55" t="s">
        <v>149</v>
      </c>
      <c r="B872" s="56" t="s">
        <v>27</v>
      </c>
      <c r="C872" s="55">
        <v>2026</v>
      </c>
      <c r="D872" s="57">
        <v>46162</v>
      </c>
    </row>
    <row r="873" spans="1:4" x14ac:dyDescent="0.25">
      <c r="A873" s="55" t="s">
        <v>150</v>
      </c>
      <c r="B873" s="56" t="s">
        <v>27</v>
      </c>
      <c r="C873" s="55">
        <v>2026</v>
      </c>
      <c r="D873" s="57">
        <v>46163</v>
      </c>
    </row>
    <row r="874" spans="1:4" x14ac:dyDescent="0.25">
      <c r="A874" s="55" t="s">
        <v>151</v>
      </c>
      <c r="B874" s="56" t="s">
        <v>27</v>
      </c>
      <c r="C874" s="55">
        <v>2026</v>
      </c>
      <c r="D874" s="57">
        <v>46164</v>
      </c>
    </row>
    <row r="875" spans="1:4" x14ac:dyDescent="0.25">
      <c r="A875" s="55" t="s">
        <v>152</v>
      </c>
      <c r="B875" s="56" t="s">
        <v>27</v>
      </c>
      <c r="C875" s="55">
        <v>2026</v>
      </c>
      <c r="D875" s="57">
        <v>46165</v>
      </c>
    </row>
    <row r="876" spans="1:4" x14ac:dyDescent="0.25">
      <c r="A876" s="55" t="s">
        <v>153</v>
      </c>
      <c r="B876" s="56" t="s">
        <v>27</v>
      </c>
      <c r="C876" s="55">
        <v>2026</v>
      </c>
      <c r="D876" s="57">
        <v>46166</v>
      </c>
    </row>
    <row r="877" spans="1:4" x14ac:dyDescent="0.25">
      <c r="A877" s="55" t="s">
        <v>147</v>
      </c>
      <c r="B877" s="56" t="s">
        <v>27</v>
      </c>
      <c r="C877" s="55">
        <v>2026</v>
      </c>
      <c r="D877" s="57">
        <v>46167</v>
      </c>
    </row>
    <row r="878" spans="1:4" x14ac:dyDescent="0.25">
      <c r="A878" s="55" t="s">
        <v>148</v>
      </c>
      <c r="B878" s="56" t="s">
        <v>27</v>
      </c>
      <c r="C878" s="55">
        <v>2026</v>
      </c>
      <c r="D878" s="57">
        <v>46168</v>
      </c>
    </row>
    <row r="879" spans="1:4" x14ac:dyDescent="0.25">
      <c r="A879" s="55" t="s">
        <v>149</v>
      </c>
      <c r="B879" s="56" t="s">
        <v>27</v>
      </c>
      <c r="C879" s="55">
        <v>2026</v>
      </c>
      <c r="D879" s="57">
        <v>46169</v>
      </c>
    </row>
    <row r="880" spans="1:4" x14ac:dyDescent="0.25">
      <c r="A880" s="55" t="s">
        <v>150</v>
      </c>
      <c r="B880" s="56" t="s">
        <v>27</v>
      </c>
      <c r="C880" s="55">
        <v>2026</v>
      </c>
      <c r="D880" s="57">
        <v>46170</v>
      </c>
    </row>
    <row r="881" spans="1:4" x14ac:dyDescent="0.25">
      <c r="A881" s="55" t="s">
        <v>151</v>
      </c>
      <c r="B881" s="56" t="s">
        <v>27</v>
      </c>
      <c r="C881" s="55">
        <v>2026</v>
      </c>
      <c r="D881" s="57">
        <v>46171</v>
      </c>
    </row>
    <row r="882" spans="1:4" x14ac:dyDescent="0.25">
      <c r="A882" s="55" t="s">
        <v>152</v>
      </c>
      <c r="B882" s="56" t="s">
        <v>27</v>
      </c>
      <c r="C882" s="55">
        <v>2026</v>
      </c>
      <c r="D882" s="57">
        <v>46172</v>
      </c>
    </row>
    <row r="883" spans="1:4" x14ac:dyDescent="0.25">
      <c r="A883" s="55" t="s">
        <v>153</v>
      </c>
      <c r="B883" s="56" t="s">
        <v>27</v>
      </c>
      <c r="C883" s="55">
        <v>2026</v>
      </c>
      <c r="D883" s="57">
        <v>46173</v>
      </c>
    </row>
    <row r="884" spans="1:4" x14ac:dyDescent="0.25">
      <c r="A884" s="55" t="s">
        <v>147</v>
      </c>
      <c r="B884" s="56" t="s">
        <v>28</v>
      </c>
      <c r="C884" s="55">
        <v>2026</v>
      </c>
      <c r="D884" s="57">
        <v>46174</v>
      </c>
    </row>
    <row r="885" spans="1:4" x14ac:dyDescent="0.25">
      <c r="A885" s="55" t="s">
        <v>148</v>
      </c>
      <c r="B885" s="56" t="s">
        <v>28</v>
      </c>
      <c r="C885" s="55">
        <v>2026</v>
      </c>
      <c r="D885" s="57">
        <v>46175</v>
      </c>
    </row>
    <row r="886" spans="1:4" x14ac:dyDescent="0.25">
      <c r="A886" s="55" t="s">
        <v>149</v>
      </c>
      <c r="B886" s="56" t="s">
        <v>28</v>
      </c>
      <c r="C886" s="55">
        <v>2026</v>
      </c>
      <c r="D886" s="57">
        <v>46176</v>
      </c>
    </row>
    <row r="887" spans="1:4" x14ac:dyDescent="0.25">
      <c r="A887" s="55" t="s">
        <v>150</v>
      </c>
      <c r="B887" s="56" t="s">
        <v>28</v>
      </c>
      <c r="C887" s="55">
        <v>2026</v>
      </c>
      <c r="D887" s="57">
        <v>46177</v>
      </c>
    </row>
    <row r="888" spans="1:4" x14ac:dyDescent="0.25">
      <c r="A888" s="55" t="s">
        <v>151</v>
      </c>
      <c r="B888" s="56" t="s">
        <v>28</v>
      </c>
      <c r="C888" s="55">
        <v>2026</v>
      </c>
      <c r="D888" s="57">
        <v>46178</v>
      </c>
    </row>
    <row r="889" spans="1:4" x14ac:dyDescent="0.25">
      <c r="A889" s="55" t="s">
        <v>152</v>
      </c>
      <c r="B889" s="56" t="s">
        <v>28</v>
      </c>
      <c r="C889" s="55">
        <v>2026</v>
      </c>
      <c r="D889" s="57">
        <v>46179</v>
      </c>
    </row>
    <row r="890" spans="1:4" x14ac:dyDescent="0.25">
      <c r="A890" s="55" t="s">
        <v>153</v>
      </c>
      <c r="B890" s="56" t="s">
        <v>28</v>
      </c>
      <c r="C890" s="55">
        <v>2026</v>
      </c>
      <c r="D890" s="57">
        <v>46180</v>
      </c>
    </row>
    <row r="891" spans="1:4" x14ac:dyDescent="0.25">
      <c r="A891" s="55" t="s">
        <v>147</v>
      </c>
      <c r="B891" s="56" t="s">
        <v>28</v>
      </c>
      <c r="C891" s="55">
        <v>2026</v>
      </c>
      <c r="D891" s="57">
        <v>46181</v>
      </c>
    </row>
    <row r="892" spans="1:4" x14ac:dyDescent="0.25">
      <c r="A892" s="55" t="s">
        <v>148</v>
      </c>
      <c r="B892" s="56" t="s">
        <v>28</v>
      </c>
      <c r="C892" s="55">
        <v>2026</v>
      </c>
      <c r="D892" s="57">
        <v>46182</v>
      </c>
    </row>
    <row r="893" spans="1:4" x14ac:dyDescent="0.25">
      <c r="A893" s="55" t="s">
        <v>149</v>
      </c>
      <c r="B893" s="56" t="s">
        <v>28</v>
      </c>
      <c r="C893" s="55">
        <v>2026</v>
      </c>
      <c r="D893" s="57">
        <v>46183</v>
      </c>
    </row>
    <row r="894" spans="1:4" x14ac:dyDescent="0.25">
      <c r="A894" s="55" t="s">
        <v>150</v>
      </c>
      <c r="B894" s="56" t="s">
        <v>28</v>
      </c>
      <c r="C894" s="55">
        <v>2026</v>
      </c>
      <c r="D894" s="57">
        <v>46184</v>
      </c>
    </row>
    <row r="895" spans="1:4" x14ac:dyDescent="0.25">
      <c r="A895" s="55" t="s">
        <v>151</v>
      </c>
      <c r="B895" s="56" t="s">
        <v>28</v>
      </c>
      <c r="C895" s="55">
        <v>2026</v>
      </c>
      <c r="D895" s="57">
        <v>46185</v>
      </c>
    </row>
    <row r="896" spans="1:4" x14ac:dyDescent="0.25">
      <c r="A896" s="55" t="s">
        <v>152</v>
      </c>
      <c r="B896" s="56" t="s">
        <v>28</v>
      </c>
      <c r="C896" s="55">
        <v>2026</v>
      </c>
      <c r="D896" s="57">
        <v>46186</v>
      </c>
    </row>
    <row r="897" spans="1:4" x14ac:dyDescent="0.25">
      <c r="A897" s="55" t="s">
        <v>153</v>
      </c>
      <c r="B897" s="56" t="s">
        <v>28</v>
      </c>
      <c r="C897" s="55">
        <v>2026</v>
      </c>
      <c r="D897" s="57">
        <v>46187</v>
      </c>
    </row>
    <row r="898" spans="1:4" x14ac:dyDescent="0.25">
      <c r="A898" s="55" t="s">
        <v>147</v>
      </c>
      <c r="B898" s="56" t="s">
        <v>28</v>
      </c>
      <c r="C898" s="55">
        <v>2026</v>
      </c>
      <c r="D898" s="57">
        <v>46188</v>
      </c>
    </row>
    <row r="899" spans="1:4" x14ac:dyDescent="0.25">
      <c r="A899" s="55" t="s">
        <v>148</v>
      </c>
      <c r="B899" s="56" t="s">
        <v>28</v>
      </c>
      <c r="C899" s="55">
        <v>2026</v>
      </c>
      <c r="D899" s="57">
        <v>46189</v>
      </c>
    </row>
    <row r="900" spans="1:4" x14ac:dyDescent="0.25">
      <c r="A900" s="55" t="s">
        <v>149</v>
      </c>
      <c r="B900" s="56" t="s">
        <v>28</v>
      </c>
      <c r="C900" s="55">
        <v>2026</v>
      </c>
      <c r="D900" s="57">
        <v>46190</v>
      </c>
    </row>
    <row r="901" spans="1:4" x14ac:dyDescent="0.25">
      <c r="A901" s="55" t="s">
        <v>150</v>
      </c>
      <c r="B901" s="56" t="s">
        <v>28</v>
      </c>
      <c r="C901" s="55">
        <v>2026</v>
      </c>
      <c r="D901" s="57">
        <v>46191</v>
      </c>
    </row>
    <row r="902" spans="1:4" x14ac:dyDescent="0.25">
      <c r="A902" s="55" t="s">
        <v>151</v>
      </c>
      <c r="B902" s="56" t="s">
        <v>28</v>
      </c>
      <c r="C902" s="55">
        <v>2026</v>
      </c>
      <c r="D902" s="57">
        <v>46192</v>
      </c>
    </row>
    <row r="903" spans="1:4" x14ac:dyDescent="0.25">
      <c r="A903" s="55" t="s">
        <v>152</v>
      </c>
      <c r="B903" s="56" t="s">
        <v>28</v>
      </c>
      <c r="C903" s="55">
        <v>2026</v>
      </c>
      <c r="D903" s="57">
        <v>46193</v>
      </c>
    </row>
    <row r="904" spans="1:4" x14ac:dyDescent="0.25">
      <c r="A904" s="55" t="s">
        <v>153</v>
      </c>
      <c r="B904" s="56" t="s">
        <v>28</v>
      </c>
      <c r="C904" s="55">
        <v>2026</v>
      </c>
      <c r="D904" s="57">
        <v>46194</v>
      </c>
    </row>
    <row r="905" spans="1:4" x14ac:dyDescent="0.25">
      <c r="A905" s="55" t="s">
        <v>147</v>
      </c>
      <c r="B905" s="56" t="s">
        <v>28</v>
      </c>
      <c r="C905" s="55">
        <v>2026</v>
      </c>
      <c r="D905" s="57">
        <v>46195</v>
      </c>
    </row>
    <row r="906" spans="1:4" x14ac:dyDescent="0.25">
      <c r="A906" s="55" t="s">
        <v>148</v>
      </c>
      <c r="B906" s="56" t="s">
        <v>28</v>
      </c>
      <c r="C906" s="55">
        <v>2026</v>
      </c>
      <c r="D906" s="57">
        <v>46196</v>
      </c>
    </row>
    <row r="907" spans="1:4" x14ac:dyDescent="0.25">
      <c r="A907" s="55" t="s">
        <v>149</v>
      </c>
      <c r="B907" s="56" t="s">
        <v>28</v>
      </c>
      <c r="C907" s="55">
        <v>2026</v>
      </c>
      <c r="D907" s="57">
        <v>46197</v>
      </c>
    </row>
    <row r="908" spans="1:4" x14ac:dyDescent="0.25">
      <c r="A908" s="55" t="s">
        <v>150</v>
      </c>
      <c r="B908" s="56" t="s">
        <v>28</v>
      </c>
      <c r="C908" s="55">
        <v>2026</v>
      </c>
      <c r="D908" s="57">
        <v>46198</v>
      </c>
    </row>
    <row r="909" spans="1:4" x14ac:dyDescent="0.25">
      <c r="A909" s="55" t="s">
        <v>151</v>
      </c>
      <c r="B909" s="56" t="s">
        <v>28</v>
      </c>
      <c r="C909" s="55">
        <v>2026</v>
      </c>
      <c r="D909" s="57">
        <v>46199</v>
      </c>
    </row>
    <row r="910" spans="1:4" x14ac:dyDescent="0.25">
      <c r="A910" s="55" t="s">
        <v>152</v>
      </c>
      <c r="B910" s="56" t="s">
        <v>28</v>
      </c>
      <c r="C910" s="55">
        <v>2026</v>
      </c>
      <c r="D910" s="57">
        <v>46200</v>
      </c>
    </row>
    <row r="911" spans="1:4" x14ac:dyDescent="0.25">
      <c r="A911" s="55" t="s">
        <v>153</v>
      </c>
      <c r="B911" s="56" t="s">
        <v>28</v>
      </c>
      <c r="C911" s="55">
        <v>2026</v>
      </c>
      <c r="D911" s="57">
        <v>46201</v>
      </c>
    </row>
    <row r="912" spans="1:4" x14ac:dyDescent="0.25">
      <c r="A912" s="55" t="s">
        <v>147</v>
      </c>
      <c r="B912" s="56" t="s">
        <v>28</v>
      </c>
      <c r="C912" s="55">
        <v>2026</v>
      </c>
      <c r="D912" s="57">
        <v>46202</v>
      </c>
    </row>
    <row r="913" spans="1:4" x14ac:dyDescent="0.25">
      <c r="A913" s="55" t="s">
        <v>148</v>
      </c>
      <c r="B913" s="56" t="s">
        <v>28</v>
      </c>
      <c r="C913" s="55">
        <v>2026</v>
      </c>
      <c r="D913" s="57">
        <v>46203</v>
      </c>
    </row>
    <row r="914" spans="1:4" x14ac:dyDescent="0.25">
      <c r="A914" s="55" t="s">
        <v>149</v>
      </c>
      <c r="B914" s="56" t="s">
        <v>29</v>
      </c>
      <c r="C914" s="55">
        <v>2026</v>
      </c>
      <c r="D914" s="57">
        <v>46204</v>
      </c>
    </row>
    <row r="915" spans="1:4" x14ac:dyDescent="0.25">
      <c r="A915" s="55" t="s">
        <v>150</v>
      </c>
      <c r="B915" s="56" t="s">
        <v>29</v>
      </c>
      <c r="C915" s="55">
        <v>2026</v>
      </c>
      <c r="D915" s="57">
        <v>46205</v>
      </c>
    </row>
    <row r="916" spans="1:4" x14ac:dyDescent="0.25">
      <c r="A916" s="55" t="s">
        <v>151</v>
      </c>
      <c r="B916" s="56" t="s">
        <v>29</v>
      </c>
      <c r="C916" s="55">
        <v>2026</v>
      </c>
      <c r="D916" s="57">
        <v>46206</v>
      </c>
    </row>
    <row r="917" spans="1:4" x14ac:dyDescent="0.25">
      <c r="A917" s="55" t="s">
        <v>152</v>
      </c>
      <c r="B917" s="56" t="s">
        <v>29</v>
      </c>
      <c r="C917" s="55">
        <v>2026</v>
      </c>
      <c r="D917" s="57">
        <v>46207</v>
      </c>
    </row>
    <row r="918" spans="1:4" x14ac:dyDescent="0.25">
      <c r="A918" s="55" t="s">
        <v>153</v>
      </c>
      <c r="B918" s="56" t="s">
        <v>29</v>
      </c>
      <c r="C918" s="55">
        <v>2026</v>
      </c>
      <c r="D918" s="57">
        <v>46208</v>
      </c>
    </row>
    <row r="919" spans="1:4" x14ac:dyDescent="0.25">
      <c r="A919" s="55" t="s">
        <v>147</v>
      </c>
      <c r="B919" s="56" t="s">
        <v>29</v>
      </c>
      <c r="C919" s="55">
        <v>2026</v>
      </c>
      <c r="D919" s="57">
        <v>46209</v>
      </c>
    </row>
    <row r="920" spans="1:4" x14ac:dyDescent="0.25">
      <c r="A920" s="55" t="s">
        <v>148</v>
      </c>
      <c r="B920" s="56" t="s">
        <v>29</v>
      </c>
      <c r="C920" s="55">
        <v>2026</v>
      </c>
      <c r="D920" s="57">
        <v>46210</v>
      </c>
    </row>
    <row r="921" spans="1:4" x14ac:dyDescent="0.25">
      <c r="A921" s="55" t="s">
        <v>149</v>
      </c>
      <c r="B921" s="56" t="s">
        <v>29</v>
      </c>
      <c r="C921" s="55">
        <v>2026</v>
      </c>
      <c r="D921" s="57">
        <v>46211</v>
      </c>
    </row>
    <row r="922" spans="1:4" x14ac:dyDescent="0.25">
      <c r="A922" s="55" t="s">
        <v>150</v>
      </c>
      <c r="B922" s="56" t="s">
        <v>29</v>
      </c>
      <c r="C922" s="55">
        <v>2026</v>
      </c>
      <c r="D922" s="57">
        <v>46212</v>
      </c>
    </row>
    <row r="923" spans="1:4" x14ac:dyDescent="0.25">
      <c r="A923" s="55" t="s">
        <v>151</v>
      </c>
      <c r="B923" s="56" t="s">
        <v>29</v>
      </c>
      <c r="C923" s="55">
        <v>2026</v>
      </c>
      <c r="D923" s="57">
        <v>46213</v>
      </c>
    </row>
    <row r="924" spans="1:4" x14ac:dyDescent="0.25">
      <c r="A924" s="55" t="s">
        <v>152</v>
      </c>
      <c r="B924" s="56" t="s">
        <v>29</v>
      </c>
      <c r="C924" s="55">
        <v>2026</v>
      </c>
      <c r="D924" s="57">
        <v>46214</v>
      </c>
    </row>
    <row r="925" spans="1:4" x14ac:dyDescent="0.25">
      <c r="A925" s="55" t="s">
        <v>153</v>
      </c>
      <c r="B925" s="56" t="s">
        <v>29</v>
      </c>
      <c r="C925" s="55">
        <v>2026</v>
      </c>
      <c r="D925" s="57">
        <v>46215</v>
      </c>
    </row>
    <row r="926" spans="1:4" x14ac:dyDescent="0.25">
      <c r="A926" s="55" t="s">
        <v>147</v>
      </c>
      <c r="B926" s="56" t="s">
        <v>29</v>
      </c>
      <c r="C926" s="55">
        <v>2026</v>
      </c>
      <c r="D926" s="57">
        <v>46216</v>
      </c>
    </row>
    <row r="927" spans="1:4" x14ac:dyDescent="0.25">
      <c r="A927" s="55" t="s">
        <v>148</v>
      </c>
      <c r="B927" s="56" t="s">
        <v>29</v>
      </c>
      <c r="C927" s="55">
        <v>2026</v>
      </c>
      <c r="D927" s="57">
        <v>46217</v>
      </c>
    </row>
    <row r="928" spans="1:4" x14ac:dyDescent="0.25">
      <c r="A928" s="55" t="s">
        <v>149</v>
      </c>
      <c r="B928" s="56" t="s">
        <v>29</v>
      </c>
      <c r="C928" s="55">
        <v>2026</v>
      </c>
      <c r="D928" s="57">
        <v>46218</v>
      </c>
    </row>
    <row r="929" spans="1:4" x14ac:dyDescent="0.25">
      <c r="A929" s="55" t="s">
        <v>150</v>
      </c>
      <c r="B929" s="56" t="s">
        <v>29</v>
      </c>
      <c r="C929" s="55">
        <v>2026</v>
      </c>
      <c r="D929" s="57">
        <v>46219</v>
      </c>
    </row>
    <row r="930" spans="1:4" x14ac:dyDescent="0.25">
      <c r="A930" s="55" t="s">
        <v>151</v>
      </c>
      <c r="B930" s="56" t="s">
        <v>29</v>
      </c>
      <c r="C930" s="55">
        <v>2026</v>
      </c>
      <c r="D930" s="57">
        <v>46220</v>
      </c>
    </row>
    <row r="931" spans="1:4" x14ac:dyDescent="0.25">
      <c r="A931" s="55" t="s">
        <v>152</v>
      </c>
      <c r="B931" s="56" t="s">
        <v>29</v>
      </c>
      <c r="C931" s="55">
        <v>2026</v>
      </c>
      <c r="D931" s="57">
        <v>46221</v>
      </c>
    </row>
    <row r="932" spans="1:4" x14ac:dyDescent="0.25">
      <c r="A932" s="55" t="s">
        <v>153</v>
      </c>
      <c r="B932" s="56" t="s">
        <v>29</v>
      </c>
      <c r="C932" s="55">
        <v>2026</v>
      </c>
      <c r="D932" s="57">
        <v>46222</v>
      </c>
    </row>
    <row r="933" spans="1:4" x14ac:dyDescent="0.25">
      <c r="A933" s="55" t="s">
        <v>147</v>
      </c>
      <c r="B933" s="56" t="s">
        <v>29</v>
      </c>
      <c r="C933" s="55">
        <v>2026</v>
      </c>
      <c r="D933" s="57">
        <v>46223</v>
      </c>
    </row>
    <row r="934" spans="1:4" x14ac:dyDescent="0.25">
      <c r="A934" s="55" t="s">
        <v>148</v>
      </c>
      <c r="B934" s="56" t="s">
        <v>29</v>
      </c>
      <c r="C934" s="55">
        <v>2026</v>
      </c>
      <c r="D934" s="57">
        <v>46224</v>
      </c>
    </row>
    <row r="935" spans="1:4" x14ac:dyDescent="0.25">
      <c r="A935" s="55" t="s">
        <v>149</v>
      </c>
      <c r="B935" s="56" t="s">
        <v>29</v>
      </c>
      <c r="C935" s="55">
        <v>2026</v>
      </c>
      <c r="D935" s="57">
        <v>46225</v>
      </c>
    </row>
    <row r="936" spans="1:4" x14ac:dyDescent="0.25">
      <c r="A936" s="55" t="s">
        <v>150</v>
      </c>
      <c r="B936" s="56" t="s">
        <v>29</v>
      </c>
      <c r="C936" s="55">
        <v>2026</v>
      </c>
      <c r="D936" s="57">
        <v>46226</v>
      </c>
    </row>
  </sheetData>
  <autoFilter ref="A1:K426" xr:uid="{8DDCA29F-B1D8-42F3-9523-7AE340D619B5}"/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0120-F86F-4D4B-9D37-BE2BADEED9B4}">
  <dimension ref="A2:N594"/>
  <sheetViews>
    <sheetView showGridLines="0" topLeftCell="A555" zoomScale="106" zoomScaleNormal="106" workbookViewId="0">
      <selection activeCell="F567" sqref="F567"/>
    </sheetView>
  </sheetViews>
  <sheetFormatPr baseColWidth="10" defaultColWidth="11.42578125" defaultRowHeight="15" customHeight="1" x14ac:dyDescent="0.25"/>
  <cols>
    <col min="1" max="1" width="3.140625" customWidth="1"/>
    <col min="3" max="4" width="18.7109375" customWidth="1"/>
    <col min="5" max="5" width="28.42578125" customWidth="1"/>
    <col min="6" max="6" width="19.28515625" customWidth="1"/>
    <col min="9" max="9" width="14.42578125" bestFit="1" customWidth="1"/>
    <col min="10" max="10" width="21" customWidth="1"/>
  </cols>
  <sheetData>
    <row r="2" spans="2:7" x14ac:dyDescent="0.25">
      <c r="D2" t="s">
        <v>0</v>
      </c>
      <c r="E2" s="80" t="s">
        <v>169</v>
      </c>
      <c r="F2" s="80" t="s">
        <v>67</v>
      </c>
      <c r="G2" s="80" t="s">
        <v>170</v>
      </c>
    </row>
    <row r="3" spans="2:7" x14ac:dyDescent="0.25">
      <c r="B3" s="37">
        <v>45582</v>
      </c>
      <c r="C3" s="37" t="s">
        <v>171</v>
      </c>
      <c r="D3" s="16">
        <v>2024</v>
      </c>
      <c r="E3" s="81">
        <v>47.136000000000003</v>
      </c>
      <c r="F3" s="81">
        <v>39.0366</v>
      </c>
      <c r="G3" s="1">
        <f t="shared" ref="G3:G66" si="0">E3/F3-1</f>
        <v>0.20748220900385794</v>
      </c>
    </row>
    <row r="4" spans="2:7" x14ac:dyDescent="0.25">
      <c r="B4" s="37">
        <v>45583</v>
      </c>
      <c r="C4" s="37" t="s">
        <v>171</v>
      </c>
      <c r="D4" s="16">
        <v>2024</v>
      </c>
      <c r="E4" s="81">
        <v>47.127000000000002</v>
      </c>
      <c r="F4" s="81">
        <v>39.072000000000003</v>
      </c>
      <c r="G4" s="1">
        <f t="shared" si="0"/>
        <v>0.20615786240786238</v>
      </c>
    </row>
    <row r="5" spans="2:7" x14ac:dyDescent="0.25">
      <c r="B5" s="37">
        <v>45584</v>
      </c>
      <c r="C5" s="37" t="s">
        <v>171</v>
      </c>
      <c r="D5" s="16">
        <v>2024</v>
      </c>
      <c r="E5" s="81">
        <v>47.125</v>
      </c>
      <c r="F5" s="81">
        <v>39.072000000000003</v>
      </c>
      <c r="G5" s="1">
        <f t="shared" si="0"/>
        <v>0.20610667485667467</v>
      </c>
    </row>
    <row r="6" spans="2:7" x14ac:dyDescent="0.25">
      <c r="B6" s="37">
        <v>45585</v>
      </c>
      <c r="C6" s="37" t="s">
        <v>171</v>
      </c>
      <c r="D6" s="16">
        <v>2024</v>
      </c>
      <c r="E6" s="81">
        <v>47.295999999999999</v>
      </c>
      <c r="F6" s="81">
        <v>39.072000000000003</v>
      </c>
      <c r="G6" s="1">
        <f t="shared" si="0"/>
        <v>0.21048321048321039</v>
      </c>
    </row>
    <row r="7" spans="2:7" x14ac:dyDescent="0.25">
      <c r="B7" s="37">
        <v>45586</v>
      </c>
      <c r="C7" s="37" t="s">
        <v>171</v>
      </c>
      <c r="D7" s="16">
        <v>2024</v>
      </c>
      <c r="E7" s="81">
        <v>47.889000000000003</v>
      </c>
      <c r="F7" s="81">
        <v>39.083300000000001</v>
      </c>
      <c r="G7" s="1">
        <f t="shared" si="0"/>
        <v>0.22530594908822943</v>
      </c>
    </row>
    <row r="8" spans="2:7" x14ac:dyDescent="0.25">
      <c r="B8" s="37">
        <v>45587</v>
      </c>
      <c r="C8" s="37" t="s">
        <v>171</v>
      </c>
      <c r="D8" s="16">
        <v>2024</v>
      </c>
      <c r="E8" s="81">
        <v>48.531399999999998</v>
      </c>
      <c r="F8" s="81">
        <v>39.224699999999999</v>
      </c>
      <c r="G8" s="1">
        <f t="shared" si="0"/>
        <v>0.23726631433764944</v>
      </c>
    </row>
    <row r="9" spans="2:7" x14ac:dyDescent="0.25">
      <c r="B9" s="37">
        <v>45588</v>
      </c>
      <c r="C9" s="37" t="s">
        <v>171</v>
      </c>
      <c r="D9" s="16">
        <v>2024</v>
      </c>
      <c r="E9" s="81">
        <v>49.130800000000001</v>
      </c>
      <c r="F9" s="81">
        <v>39.363</v>
      </c>
      <c r="G9" s="1">
        <f t="shared" si="0"/>
        <v>0.2481467367832737</v>
      </c>
    </row>
    <row r="10" spans="2:7" x14ac:dyDescent="0.25">
      <c r="B10" s="37">
        <v>45589</v>
      </c>
      <c r="C10" s="37" t="s">
        <v>171</v>
      </c>
      <c r="D10" s="16">
        <v>2024</v>
      </c>
      <c r="E10" s="81">
        <v>49.613199999999999</v>
      </c>
      <c r="F10" s="81">
        <v>40.778100000000002</v>
      </c>
      <c r="G10" s="1">
        <f t="shared" si="0"/>
        <v>0.21666286560678394</v>
      </c>
    </row>
    <row r="11" spans="2:7" x14ac:dyDescent="0.25">
      <c r="B11" s="37">
        <v>45590</v>
      </c>
      <c r="C11" s="37" t="s">
        <v>171</v>
      </c>
      <c r="D11" s="16">
        <v>2024</v>
      </c>
      <c r="E11" s="81">
        <v>48.895200000000003</v>
      </c>
      <c r="F11" s="81">
        <v>40.940300000000001</v>
      </c>
      <c r="G11" s="1">
        <f t="shared" si="0"/>
        <v>0.19430487807856811</v>
      </c>
    </row>
    <row r="12" spans="2:7" x14ac:dyDescent="0.25">
      <c r="B12" s="37">
        <v>45591</v>
      </c>
      <c r="C12" s="37" t="s">
        <v>171</v>
      </c>
      <c r="D12" s="16">
        <v>2024</v>
      </c>
      <c r="E12" s="81">
        <v>49.0334</v>
      </c>
      <c r="F12" s="81">
        <v>40.940300000000001</v>
      </c>
      <c r="G12" s="1">
        <f t="shared" si="0"/>
        <v>0.19768052505721756</v>
      </c>
    </row>
    <row r="13" spans="2:7" x14ac:dyDescent="0.25">
      <c r="B13" s="37">
        <v>45592</v>
      </c>
      <c r="C13" s="37" t="s">
        <v>171</v>
      </c>
      <c r="D13" s="16">
        <v>2024</v>
      </c>
      <c r="E13" s="81">
        <v>49.081600000000002</v>
      </c>
      <c r="F13" s="81">
        <v>40.940300000000001</v>
      </c>
      <c r="G13" s="1">
        <f t="shared" si="0"/>
        <v>0.19885784911199966</v>
      </c>
    </row>
    <row r="14" spans="2:7" x14ac:dyDescent="0.25">
      <c r="B14" s="37">
        <v>45593</v>
      </c>
      <c r="C14" s="37" t="s">
        <v>171</v>
      </c>
      <c r="D14" s="16">
        <v>2024</v>
      </c>
      <c r="E14" s="81">
        <v>50.107799999999997</v>
      </c>
      <c r="F14" s="81">
        <v>41.631799999999998</v>
      </c>
      <c r="G14" s="1">
        <f t="shared" si="0"/>
        <v>0.20359436776694739</v>
      </c>
    </row>
    <row r="15" spans="2:7" x14ac:dyDescent="0.25">
      <c r="B15" s="37">
        <v>45594</v>
      </c>
      <c r="C15" s="37" t="s">
        <v>171</v>
      </c>
      <c r="D15" s="16">
        <v>2024</v>
      </c>
      <c r="E15" s="81">
        <v>52.134</v>
      </c>
      <c r="F15" s="81">
        <v>42.12</v>
      </c>
      <c r="G15" s="1">
        <f t="shared" si="0"/>
        <v>0.23774928774928794</v>
      </c>
    </row>
    <row r="16" spans="2:7" x14ac:dyDescent="0.25">
      <c r="B16" s="37">
        <v>45595</v>
      </c>
      <c r="C16" s="37" t="s">
        <v>171</v>
      </c>
      <c r="D16" s="16">
        <v>2024</v>
      </c>
      <c r="E16" s="81">
        <v>51.998800000000003</v>
      </c>
      <c r="F16" s="81">
        <v>42.455800000000004</v>
      </c>
      <c r="G16" s="1">
        <f t="shared" si="0"/>
        <v>0.22477494241069529</v>
      </c>
    </row>
    <row r="17" spans="2:7" x14ac:dyDescent="0.25">
      <c r="B17" s="37">
        <v>45596</v>
      </c>
      <c r="C17" s="37" t="s">
        <v>171</v>
      </c>
      <c r="D17" s="16">
        <v>2024</v>
      </c>
      <c r="E17" s="81">
        <v>51.189799999999998</v>
      </c>
      <c r="F17" s="81">
        <v>42.603299999999997</v>
      </c>
      <c r="G17" s="1">
        <f t="shared" si="0"/>
        <v>0.20154542019045474</v>
      </c>
    </row>
    <row r="18" spans="2:7" x14ac:dyDescent="0.25">
      <c r="B18" s="37">
        <v>45597</v>
      </c>
      <c r="C18" s="37" t="s">
        <v>172</v>
      </c>
      <c r="D18" s="16">
        <v>2024</v>
      </c>
      <c r="E18" s="81">
        <v>50.525599999999997</v>
      </c>
      <c r="F18" s="81">
        <v>42.7498</v>
      </c>
      <c r="G18" s="1">
        <f t="shared" si="0"/>
        <v>0.18189090943115516</v>
      </c>
    </row>
    <row r="19" spans="2:7" x14ac:dyDescent="0.25">
      <c r="B19" s="37">
        <v>45598</v>
      </c>
      <c r="C19" s="37" t="s">
        <v>172</v>
      </c>
      <c r="D19" s="16">
        <v>2024</v>
      </c>
      <c r="E19" s="81">
        <v>50.729199999999999</v>
      </c>
      <c r="F19" s="81">
        <v>42.7498</v>
      </c>
      <c r="G19" s="1">
        <f t="shared" si="0"/>
        <v>0.18665350481171838</v>
      </c>
    </row>
    <row r="20" spans="2:7" x14ac:dyDescent="0.25">
      <c r="B20" s="37">
        <v>45599</v>
      </c>
      <c r="C20" s="37" t="s">
        <v>172</v>
      </c>
      <c r="D20" s="16">
        <v>2024</v>
      </c>
      <c r="E20" s="81">
        <v>51.201999999999998</v>
      </c>
      <c r="F20" s="81">
        <v>42.7498</v>
      </c>
      <c r="G20" s="1">
        <f t="shared" si="0"/>
        <v>0.19771320567581596</v>
      </c>
    </row>
    <row r="21" spans="2:7" x14ac:dyDescent="0.25">
      <c r="B21" s="37">
        <v>45600</v>
      </c>
      <c r="C21" s="37" t="s">
        <v>172</v>
      </c>
      <c r="D21" s="16">
        <v>2024</v>
      </c>
      <c r="E21" s="81">
        <v>50.892000000000003</v>
      </c>
      <c r="F21" s="81">
        <v>42.7498</v>
      </c>
      <c r="G21" s="1">
        <f t="shared" si="0"/>
        <v>0.19046170976238486</v>
      </c>
    </row>
    <row r="22" spans="2:7" x14ac:dyDescent="0.25">
      <c r="B22" s="37">
        <v>45601</v>
      </c>
      <c r="C22" s="37" t="s">
        <v>172</v>
      </c>
      <c r="D22" s="16">
        <v>2024</v>
      </c>
      <c r="E22" s="81">
        <v>51.801400000000001</v>
      </c>
      <c r="F22" s="81">
        <v>43.348999999999997</v>
      </c>
      <c r="G22" s="1">
        <f t="shared" si="0"/>
        <v>0.19498489007820252</v>
      </c>
    </row>
    <row r="23" spans="2:7" x14ac:dyDescent="0.25">
      <c r="B23" s="37">
        <v>45602</v>
      </c>
      <c r="C23" s="37" t="s">
        <v>172</v>
      </c>
      <c r="D23" s="16">
        <v>2024</v>
      </c>
      <c r="E23" s="81">
        <v>52.9878</v>
      </c>
      <c r="F23" s="81">
        <v>43.672699999999999</v>
      </c>
      <c r="G23" s="1">
        <f t="shared" si="0"/>
        <v>0.21329343044968607</v>
      </c>
    </row>
    <row r="24" spans="2:7" x14ac:dyDescent="0.25">
      <c r="B24" s="37">
        <v>45603</v>
      </c>
      <c r="C24" s="37" t="s">
        <v>172</v>
      </c>
      <c r="D24" s="16">
        <v>2024</v>
      </c>
      <c r="E24" s="81">
        <v>52.128999999999998</v>
      </c>
      <c r="F24" s="81">
        <v>44.075600000000001</v>
      </c>
      <c r="G24" s="1">
        <f t="shared" si="0"/>
        <v>0.1827178756500194</v>
      </c>
    </row>
    <row r="25" spans="2:7" x14ac:dyDescent="0.25">
      <c r="B25" s="37">
        <v>45604</v>
      </c>
      <c r="C25" s="37" t="s">
        <v>172</v>
      </c>
      <c r="D25" s="16">
        <v>2024</v>
      </c>
      <c r="E25" s="81">
        <v>51.9482</v>
      </c>
      <c r="F25" s="81">
        <v>44.591700000000003</v>
      </c>
      <c r="G25" s="1">
        <f t="shared" si="0"/>
        <v>0.1649746477483478</v>
      </c>
    </row>
    <row r="26" spans="2:7" x14ac:dyDescent="0.25">
      <c r="B26" s="37">
        <v>45605</v>
      </c>
      <c r="C26" s="37" t="s">
        <v>172</v>
      </c>
      <c r="D26" s="16">
        <v>2024</v>
      </c>
      <c r="E26" s="81">
        <v>51.853200000000001</v>
      </c>
      <c r="F26" s="81">
        <v>44.591700000000003</v>
      </c>
      <c r="G26" s="1">
        <f t="shared" si="0"/>
        <v>0.16284420643303577</v>
      </c>
    </row>
    <row r="27" spans="2:7" x14ac:dyDescent="0.25">
      <c r="B27" s="37">
        <v>45606</v>
      </c>
      <c r="C27" s="37" t="s">
        <v>172</v>
      </c>
      <c r="D27" s="16">
        <v>2024</v>
      </c>
      <c r="E27" s="81">
        <v>51.8232</v>
      </c>
      <c r="F27" s="81">
        <v>44.591700000000003</v>
      </c>
      <c r="G27" s="1">
        <f t="shared" si="0"/>
        <v>0.16217143549135815</v>
      </c>
    </row>
    <row r="28" spans="2:7" x14ac:dyDescent="0.25">
      <c r="B28" s="37">
        <v>45607</v>
      </c>
      <c r="C28" s="37" t="s">
        <v>172</v>
      </c>
      <c r="D28" s="16">
        <v>2024</v>
      </c>
      <c r="E28" s="81">
        <v>52.393999999999998</v>
      </c>
      <c r="F28" s="81">
        <v>44.642499999999998</v>
      </c>
      <c r="G28" s="1">
        <f t="shared" si="0"/>
        <v>0.1736349890799127</v>
      </c>
    </row>
    <row r="29" spans="2:7" x14ac:dyDescent="0.25">
      <c r="B29" s="37">
        <v>45608</v>
      </c>
      <c r="C29" s="37" t="s">
        <v>172</v>
      </c>
      <c r="D29" s="16">
        <v>2024</v>
      </c>
      <c r="E29" s="81">
        <v>53.160600000000002</v>
      </c>
      <c r="F29" s="81">
        <v>44.816600000000001</v>
      </c>
      <c r="G29" s="1">
        <f t="shared" si="0"/>
        <v>0.18618101328525594</v>
      </c>
    </row>
    <row r="30" spans="2:7" x14ac:dyDescent="0.25">
      <c r="B30" s="37">
        <v>45609</v>
      </c>
      <c r="C30" s="37" t="s">
        <v>172</v>
      </c>
      <c r="D30" s="16">
        <v>2024</v>
      </c>
      <c r="E30" s="81">
        <v>53.631</v>
      </c>
      <c r="F30" s="81">
        <v>44.940399999999997</v>
      </c>
      <c r="G30" s="1">
        <f t="shared" si="0"/>
        <v>0.19338056626109257</v>
      </c>
    </row>
    <row r="31" spans="2:7" x14ac:dyDescent="0.25">
      <c r="B31" s="37">
        <v>45610</v>
      </c>
      <c r="C31" s="37" t="s">
        <v>172</v>
      </c>
      <c r="D31" s="16">
        <v>2024</v>
      </c>
      <c r="E31" s="81">
        <v>53.543199999999999</v>
      </c>
      <c r="F31" s="81">
        <v>45.3932</v>
      </c>
      <c r="G31" s="1">
        <f t="shared" si="0"/>
        <v>0.17954231030198353</v>
      </c>
    </row>
    <row r="32" spans="2:7" x14ac:dyDescent="0.25">
      <c r="B32" s="37">
        <v>45611</v>
      </c>
      <c r="C32" s="37" t="s">
        <v>172</v>
      </c>
      <c r="D32" s="16">
        <v>2024</v>
      </c>
      <c r="E32" s="81">
        <v>53.3322</v>
      </c>
      <c r="F32" s="81">
        <v>45.674900000000001</v>
      </c>
      <c r="G32" s="1">
        <f t="shared" si="0"/>
        <v>0.16764787662370351</v>
      </c>
    </row>
    <row r="33" spans="2:7" x14ac:dyDescent="0.25">
      <c r="B33" s="37">
        <v>45612</v>
      </c>
      <c r="C33" s="37" t="s">
        <v>172</v>
      </c>
      <c r="D33" s="16">
        <v>2024</v>
      </c>
      <c r="E33" s="81">
        <v>53.396599999999999</v>
      </c>
      <c r="F33" s="81">
        <v>45.674900000000001</v>
      </c>
      <c r="G33" s="1">
        <f t="shared" si="0"/>
        <v>0.16905784139647806</v>
      </c>
    </row>
    <row r="34" spans="2:7" x14ac:dyDescent="0.25">
      <c r="B34" s="37">
        <v>45613</v>
      </c>
      <c r="C34" s="37" t="s">
        <v>172</v>
      </c>
      <c r="D34" s="16">
        <v>2024</v>
      </c>
      <c r="E34" s="81">
        <v>53.854399999999998</v>
      </c>
      <c r="F34" s="81">
        <v>45.674900000000001</v>
      </c>
      <c r="G34" s="1">
        <f t="shared" si="0"/>
        <v>0.17908085184641886</v>
      </c>
    </row>
    <row r="35" spans="2:7" x14ac:dyDescent="0.25">
      <c r="B35" s="37">
        <v>45614</v>
      </c>
      <c r="C35" s="37" t="s">
        <v>172</v>
      </c>
      <c r="D35" s="16">
        <v>2024</v>
      </c>
      <c r="E35" s="81">
        <v>54.829799999999999</v>
      </c>
      <c r="F35" s="81">
        <v>45.674900000000001</v>
      </c>
      <c r="G35" s="1">
        <f t="shared" si="0"/>
        <v>0.20043612574959102</v>
      </c>
    </row>
    <row r="36" spans="2:7" x14ac:dyDescent="0.25">
      <c r="B36" s="37">
        <v>45615</v>
      </c>
      <c r="C36" s="37" t="s">
        <v>172</v>
      </c>
      <c r="D36" s="16">
        <v>2024</v>
      </c>
      <c r="E36" s="81">
        <v>55.938000000000002</v>
      </c>
      <c r="F36" s="81">
        <v>45.726399999999998</v>
      </c>
      <c r="G36" s="1">
        <f t="shared" si="0"/>
        <v>0.22331957031386684</v>
      </c>
    </row>
    <row r="37" spans="2:7" x14ac:dyDescent="0.25">
      <c r="B37" s="37">
        <v>45616</v>
      </c>
      <c r="C37" s="37" t="s">
        <v>172</v>
      </c>
      <c r="D37" s="16">
        <v>2024</v>
      </c>
      <c r="E37" s="81">
        <v>57.956400000000002</v>
      </c>
      <c r="F37" s="81">
        <v>45.9437</v>
      </c>
      <c r="G37" s="1">
        <f t="shared" si="0"/>
        <v>0.26146566340978206</v>
      </c>
    </row>
    <row r="38" spans="2:7" x14ac:dyDescent="0.25">
      <c r="B38" s="37">
        <v>45617</v>
      </c>
      <c r="C38" s="37" t="s">
        <v>172</v>
      </c>
      <c r="D38" s="16">
        <v>2024</v>
      </c>
      <c r="E38" s="81">
        <v>56.768799999999999</v>
      </c>
      <c r="F38" s="81">
        <v>46.211500000000001</v>
      </c>
      <c r="G38" s="1">
        <f t="shared" si="0"/>
        <v>0.22845612022981276</v>
      </c>
    </row>
    <row r="39" spans="2:7" x14ac:dyDescent="0.25">
      <c r="B39" s="37">
        <v>45618</v>
      </c>
      <c r="C39" s="37" t="s">
        <v>172</v>
      </c>
      <c r="D39" s="16">
        <v>2024</v>
      </c>
      <c r="E39" s="81">
        <v>56.589799999999997</v>
      </c>
      <c r="F39" s="81">
        <v>46.501100000000001</v>
      </c>
      <c r="G39" s="1">
        <f t="shared" si="0"/>
        <v>0.21695615802636925</v>
      </c>
    </row>
    <row r="40" spans="2:7" x14ac:dyDescent="0.25">
      <c r="B40" s="37">
        <v>45619</v>
      </c>
      <c r="C40" s="37" t="s">
        <v>172</v>
      </c>
      <c r="D40" s="16">
        <v>2024</v>
      </c>
      <c r="E40" s="81">
        <v>56.691800000000001</v>
      </c>
      <c r="F40" s="81">
        <v>46.501100000000001</v>
      </c>
      <c r="G40" s="1">
        <f t="shared" si="0"/>
        <v>0.21914965452430146</v>
      </c>
    </row>
    <row r="41" spans="2:7" x14ac:dyDescent="0.25">
      <c r="B41" s="37">
        <v>45620</v>
      </c>
      <c r="C41" s="37" t="s">
        <v>172</v>
      </c>
      <c r="D41" s="16">
        <v>2024</v>
      </c>
      <c r="E41" s="81">
        <v>56.835000000000001</v>
      </c>
      <c r="F41" s="81">
        <v>46.501100000000001</v>
      </c>
      <c r="G41" s="1">
        <f t="shared" si="0"/>
        <v>0.22222915156845757</v>
      </c>
    </row>
    <row r="42" spans="2:7" x14ac:dyDescent="0.25">
      <c r="B42" s="37">
        <v>45621</v>
      </c>
      <c r="C42" s="37" t="s">
        <v>172</v>
      </c>
      <c r="D42" s="16">
        <v>2024</v>
      </c>
      <c r="E42" s="81">
        <v>57.345599999999997</v>
      </c>
      <c r="F42" s="81">
        <v>46.5261</v>
      </c>
      <c r="G42" s="1">
        <f t="shared" si="0"/>
        <v>0.23254689303423226</v>
      </c>
    </row>
    <row r="43" spans="2:7" x14ac:dyDescent="0.25">
      <c r="B43" s="37">
        <v>45622</v>
      </c>
      <c r="C43" s="37" t="s">
        <v>172</v>
      </c>
      <c r="D43" s="16">
        <v>2024</v>
      </c>
      <c r="E43" s="81">
        <v>57.897599999999997</v>
      </c>
      <c r="F43" s="81">
        <v>46.636800000000001</v>
      </c>
      <c r="G43" s="1">
        <f t="shared" si="0"/>
        <v>0.24145738987237531</v>
      </c>
    </row>
    <row r="44" spans="2:7" x14ac:dyDescent="0.25">
      <c r="B44" s="37">
        <v>45623</v>
      </c>
      <c r="C44" s="37" t="s">
        <v>172</v>
      </c>
      <c r="D44" s="16">
        <v>2024</v>
      </c>
      <c r="E44" s="81">
        <v>58.1526</v>
      </c>
      <c r="F44" s="81">
        <v>46.738300000000002</v>
      </c>
      <c r="G44" s="1">
        <f t="shared" si="0"/>
        <v>0.24421726934869259</v>
      </c>
    </row>
    <row r="45" spans="2:7" x14ac:dyDescent="0.25">
      <c r="B45" s="37">
        <v>45624</v>
      </c>
      <c r="C45" s="37" t="s">
        <v>172</v>
      </c>
      <c r="D45" s="16">
        <v>2024</v>
      </c>
      <c r="E45" s="81">
        <v>57.370800000000003</v>
      </c>
      <c r="F45" s="81">
        <v>47.195500000000003</v>
      </c>
      <c r="G45" s="1">
        <f t="shared" si="0"/>
        <v>0.21559894481465403</v>
      </c>
    </row>
    <row r="46" spans="2:7" x14ac:dyDescent="0.25">
      <c r="B46" s="37">
        <v>45625</v>
      </c>
      <c r="C46" s="37" t="s">
        <v>172</v>
      </c>
      <c r="D46" s="16">
        <v>2024</v>
      </c>
      <c r="E46" s="81">
        <v>55.864800000000002</v>
      </c>
      <c r="F46" s="81">
        <v>47.488399999999999</v>
      </c>
      <c r="G46" s="1">
        <f t="shared" si="0"/>
        <v>0.17638833904700957</v>
      </c>
    </row>
    <row r="47" spans="2:7" x14ac:dyDescent="0.25">
      <c r="B47" s="37">
        <v>45626</v>
      </c>
      <c r="C47" s="37" t="s">
        <v>172</v>
      </c>
      <c r="D47" s="16">
        <v>2024</v>
      </c>
      <c r="E47" s="81">
        <v>55.753999999999998</v>
      </c>
      <c r="F47" s="81">
        <v>47.488399999999999</v>
      </c>
      <c r="G47" s="1">
        <f t="shared" si="0"/>
        <v>0.17405513767572711</v>
      </c>
    </row>
    <row r="48" spans="2:7" x14ac:dyDescent="0.25">
      <c r="B48" s="37">
        <v>45627</v>
      </c>
      <c r="C48" s="37" t="s">
        <v>173</v>
      </c>
      <c r="D48" s="16">
        <v>2024</v>
      </c>
      <c r="E48" s="81">
        <v>55.973799999999997</v>
      </c>
      <c r="F48" s="81">
        <v>47.488399999999999</v>
      </c>
      <c r="G48" s="1">
        <f t="shared" si="0"/>
        <v>0.17868363642489538</v>
      </c>
    </row>
    <row r="49" spans="2:7" x14ac:dyDescent="0.25">
      <c r="B49" s="37">
        <v>45628</v>
      </c>
      <c r="C49" s="37" t="s">
        <v>173</v>
      </c>
      <c r="D49" s="16">
        <v>2024</v>
      </c>
      <c r="E49" s="81">
        <v>57.085799999999999</v>
      </c>
      <c r="F49" s="81">
        <v>47.61</v>
      </c>
      <c r="G49" s="1">
        <f t="shared" si="0"/>
        <v>0.19902961562696908</v>
      </c>
    </row>
    <row r="50" spans="2:7" x14ac:dyDescent="0.25">
      <c r="B50" s="37">
        <v>45629</v>
      </c>
      <c r="C50" s="37" t="s">
        <v>173</v>
      </c>
      <c r="D50" s="16">
        <v>2024</v>
      </c>
      <c r="E50" s="81">
        <v>57.53</v>
      </c>
      <c r="F50" s="81">
        <v>47.735599999999998</v>
      </c>
      <c r="G50" s="1">
        <f t="shared" si="0"/>
        <v>0.20518020094017886</v>
      </c>
    </row>
    <row r="51" spans="2:7" x14ac:dyDescent="0.25">
      <c r="B51" s="37">
        <v>45630</v>
      </c>
      <c r="C51" s="37" t="s">
        <v>173</v>
      </c>
      <c r="D51" s="16">
        <v>2024</v>
      </c>
      <c r="E51" s="81">
        <v>57.787999999999997</v>
      </c>
      <c r="F51" s="81">
        <v>47.997999999999998</v>
      </c>
      <c r="G51" s="1">
        <f t="shared" si="0"/>
        <v>0.20396683195133125</v>
      </c>
    </row>
    <row r="52" spans="2:7" x14ac:dyDescent="0.25">
      <c r="B52" s="37">
        <v>45631</v>
      </c>
      <c r="C52" s="37" t="s">
        <v>173</v>
      </c>
      <c r="D52" s="16">
        <v>2024</v>
      </c>
      <c r="E52" s="81">
        <v>57.395600000000002</v>
      </c>
      <c r="F52" s="81">
        <v>48.2057</v>
      </c>
      <c r="G52" s="1">
        <f t="shared" si="0"/>
        <v>0.19063928124682361</v>
      </c>
    </row>
    <row r="53" spans="2:7" x14ac:dyDescent="0.25">
      <c r="B53" s="37">
        <v>45632</v>
      </c>
      <c r="C53" s="37" t="s">
        <v>173</v>
      </c>
      <c r="D53" s="16">
        <v>2024</v>
      </c>
      <c r="E53" s="81">
        <v>56.726999999999997</v>
      </c>
      <c r="F53" s="81">
        <v>48.668300000000002</v>
      </c>
      <c r="G53" s="1">
        <f t="shared" si="0"/>
        <v>0.16558416875050064</v>
      </c>
    </row>
    <row r="54" spans="2:7" x14ac:dyDescent="0.25">
      <c r="B54" s="37">
        <v>45633</v>
      </c>
      <c r="C54" s="37" t="s">
        <v>173</v>
      </c>
      <c r="D54" s="16">
        <v>2024</v>
      </c>
      <c r="E54" s="81">
        <v>56.427599999999998</v>
      </c>
      <c r="F54" s="81">
        <v>48.747300000000003</v>
      </c>
      <c r="G54" s="1">
        <f t="shared" si="0"/>
        <v>0.1575533414158321</v>
      </c>
    </row>
    <row r="55" spans="2:7" x14ac:dyDescent="0.25">
      <c r="B55" s="37">
        <v>45634</v>
      </c>
      <c r="C55" s="37" t="s">
        <v>173</v>
      </c>
      <c r="D55" s="16">
        <v>2024</v>
      </c>
      <c r="E55" s="81">
        <v>56.566200000000002</v>
      </c>
      <c r="F55" s="81">
        <v>48.747300000000003</v>
      </c>
      <c r="G55" s="1">
        <f t="shared" si="0"/>
        <v>0.16039657581035249</v>
      </c>
    </row>
    <row r="56" spans="2:7" x14ac:dyDescent="0.25">
      <c r="B56" s="37">
        <v>45635</v>
      </c>
      <c r="C56" s="37" t="s">
        <v>173</v>
      </c>
      <c r="D56" s="16">
        <v>2024</v>
      </c>
      <c r="E56" s="81">
        <v>57.697600000000001</v>
      </c>
      <c r="F56" s="81">
        <v>48.747300000000003</v>
      </c>
      <c r="G56" s="1">
        <f t="shared" si="0"/>
        <v>0.18360606638726651</v>
      </c>
    </row>
    <row r="57" spans="2:7" x14ac:dyDescent="0.25">
      <c r="B57" s="37">
        <v>45636</v>
      </c>
      <c r="C57" s="37" t="s">
        <v>173</v>
      </c>
      <c r="D57" s="16">
        <v>2024</v>
      </c>
      <c r="E57" s="81">
        <v>57.892000000000003</v>
      </c>
      <c r="F57" s="81">
        <v>48.988300000000002</v>
      </c>
      <c r="G57" s="1">
        <f t="shared" si="0"/>
        <v>0.18175156108703505</v>
      </c>
    </row>
    <row r="58" spans="2:7" x14ac:dyDescent="0.25">
      <c r="B58" s="37">
        <v>45637</v>
      </c>
      <c r="C58" s="37" t="s">
        <v>173</v>
      </c>
      <c r="D58" s="16">
        <v>2024</v>
      </c>
      <c r="E58" s="81">
        <v>57.667400000000001</v>
      </c>
      <c r="F58" s="81">
        <v>49.351999999999997</v>
      </c>
      <c r="G58" s="1">
        <f t="shared" si="0"/>
        <v>0.1684916518074242</v>
      </c>
    </row>
    <row r="59" spans="2:7" x14ac:dyDescent="0.25">
      <c r="B59" s="37">
        <v>45638</v>
      </c>
      <c r="C59" s="37" t="s">
        <v>173</v>
      </c>
      <c r="D59" s="16">
        <v>2024</v>
      </c>
      <c r="E59" s="81">
        <v>58.049599999999998</v>
      </c>
      <c r="F59" s="81">
        <v>49.781999999999996</v>
      </c>
      <c r="G59" s="1">
        <f t="shared" si="0"/>
        <v>0.16607609176007387</v>
      </c>
    </row>
    <row r="60" spans="2:7" x14ac:dyDescent="0.25">
      <c r="B60" s="37">
        <v>45639</v>
      </c>
      <c r="C60" s="37" t="s">
        <v>173</v>
      </c>
      <c r="D60" s="16">
        <v>2024</v>
      </c>
      <c r="E60" s="81">
        <v>57.9786</v>
      </c>
      <c r="F60" s="81">
        <v>50.206099999999999</v>
      </c>
      <c r="G60" s="1">
        <f t="shared" si="0"/>
        <v>0.15481186549044845</v>
      </c>
    </row>
    <row r="61" spans="2:7" x14ac:dyDescent="0.25">
      <c r="B61" s="37">
        <v>45640</v>
      </c>
      <c r="C61" s="37" t="s">
        <v>173</v>
      </c>
      <c r="D61" s="16">
        <v>2024</v>
      </c>
      <c r="E61" s="81">
        <v>58.1432</v>
      </c>
      <c r="F61" s="81">
        <v>50.245100000000001</v>
      </c>
      <c r="G61" s="1">
        <f t="shared" si="0"/>
        <v>0.15719144752423619</v>
      </c>
    </row>
    <row r="62" spans="2:7" x14ac:dyDescent="0.25">
      <c r="B62" s="37">
        <v>45641</v>
      </c>
      <c r="C62" s="37" t="s">
        <v>173</v>
      </c>
      <c r="D62" s="16">
        <v>2024</v>
      </c>
      <c r="E62" s="81">
        <v>58.4298</v>
      </c>
      <c r="F62" s="81">
        <v>50.245100000000001</v>
      </c>
      <c r="G62" s="1">
        <f t="shared" si="0"/>
        <v>0.16289548632602968</v>
      </c>
    </row>
    <row r="63" spans="2:7" x14ac:dyDescent="0.25">
      <c r="B63" s="37">
        <v>45642</v>
      </c>
      <c r="C63" s="37" t="s">
        <v>173</v>
      </c>
      <c r="D63" s="16">
        <v>2024</v>
      </c>
      <c r="E63" s="81">
        <v>59.807000000000002</v>
      </c>
      <c r="F63" s="81">
        <v>50.245100000000001</v>
      </c>
      <c r="G63" s="1">
        <f t="shared" si="0"/>
        <v>0.19030512428077562</v>
      </c>
    </row>
    <row r="64" spans="2:7" x14ac:dyDescent="0.25">
      <c r="B64" s="37">
        <v>45643</v>
      </c>
      <c r="C64" s="37" t="s">
        <v>173</v>
      </c>
      <c r="D64" s="16">
        <v>2024</v>
      </c>
      <c r="E64" s="81">
        <v>61.724400000000003</v>
      </c>
      <c r="F64" s="81">
        <v>50.415500000000002</v>
      </c>
      <c r="G64" s="1">
        <f t="shared" si="0"/>
        <v>0.22431395106663632</v>
      </c>
    </row>
    <row r="65" spans="1:7" x14ac:dyDescent="0.25">
      <c r="B65" s="37">
        <v>45644</v>
      </c>
      <c r="C65" s="37" t="s">
        <v>173</v>
      </c>
      <c r="D65" s="16">
        <v>2024</v>
      </c>
      <c r="E65" s="81">
        <v>63.2682</v>
      </c>
      <c r="F65" s="81">
        <v>50.827100000000002</v>
      </c>
      <c r="G65" s="1">
        <f t="shared" si="0"/>
        <v>0.24477296560299533</v>
      </c>
    </row>
    <row r="66" spans="1:7" x14ac:dyDescent="0.25">
      <c r="B66" s="37">
        <v>45645</v>
      </c>
      <c r="C66" s="37" t="s">
        <v>173</v>
      </c>
      <c r="D66" s="16">
        <v>2024</v>
      </c>
      <c r="E66" s="81">
        <v>64.929599999999994</v>
      </c>
      <c r="F66" s="81">
        <v>51.222000000000001</v>
      </c>
      <c r="G66" s="1">
        <f t="shared" si="0"/>
        <v>0.26761157315216111</v>
      </c>
    </row>
    <row r="67" spans="1:7" x14ac:dyDescent="0.25">
      <c r="B67" s="37">
        <v>45646</v>
      </c>
      <c r="C67" s="37" t="s">
        <v>173</v>
      </c>
      <c r="D67" s="16">
        <v>2024</v>
      </c>
      <c r="E67" s="81">
        <v>64.038600000000002</v>
      </c>
      <c r="F67" s="81">
        <v>51.410899999999998</v>
      </c>
      <c r="G67" s="1">
        <f t="shared" ref="G67:G130" si="1">E67/F67-1</f>
        <v>0.24562300990645958</v>
      </c>
    </row>
    <row r="68" spans="1:7" x14ac:dyDescent="0.25">
      <c r="B68" s="37">
        <v>45647</v>
      </c>
      <c r="C68" s="37" t="s">
        <v>173</v>
      </c>
      <c r="D68" s="16">
        <v>2024</v>
      </c>
      <c r="E68" s="81">
        <v>64.082599999999999</v>
      </c>
      <c r="F68" s="81">
        <v>51.410899999999998</v>
      </c>
      <c r="G68" s="1">
        <f t="shared" si="1"/>
        <v>0.24647885954145909</v>
      </c>
    </row>
    <row r="69" spans="1:7" x14ac:dyDescent="0.25">
      <c r="B69" s="37">
        <v>45648</v>
      </c>
      <c r="C69" s="37" t="s">
        <v>173</v>
      </c>
      <c r="D69" s="16">
        <v>2024</v>
      </c>
      <c r="E69" s="81">
        <v>64.458799999999997</v>
      </c>
      <c r="F69" s="81">
        <v>51.410899999999998</v>
      </c>
      <c r="G69" s="1">
        <f t="shared" si="1"/>
        <v>0.25379637392070542</v>
      </c>
    </row>
    <row r="70" spans="1:7" x14ac:dyDescent="0.25">
      <c r="B70" s="37">
        <v>45649</v>
      </c>
      <c r="C70" s="37" t="s">
        <v>173</v>
      </c>
      <c r="D70" s="16">
        <v>2024</v>
      </c>
      <c r="E70" s="81">
        <v>64.437799999999996</v>
      </c>
      <c r="F70" s="81">
        <v>51.510899999999999</v>
      </c>
      <c r="G70" s="1">
        <f t="shared" si="1"/>
        <v>0.25095465231630576</v>
      </c>
    </row>
    <row r="71" spans="1:7" x14ac:dyDescent="0.25">
      <c r="B71" s="37">
        <v>45650</v>
      </c>
      <c r="C71" s="37" t="s">
        <v>173</v>
      </c>
      <c r="D71" s="16">
        <v>2024</v>
      </c>
      <c r="E71" s="81">
        <v>64.291799999999995</v>
      </c>
      <c r="F71" s="81">
        <v>51.510899999999999</v>
      </c>
      <c r="G71" s="1">
        <f t="shared" si="1"/>
        <v>0.24812030075187952</v>
      </c>
    </row>
    <row r="72" spans="1:7" x14ac:dyDescent="0.25">
      <c r="B72" s="37">
        <v>45651</v>
      </c>
      <c r="C72" s="37" t="s">
        <v>173</v>
      </c>
      <c r="D72" s="16">
        <v>2024</v>
      </c>
      <c r="E72" s="81">
        <v>64.974599999999995</v>
      </c>
      <c r="F72" s="81">
        <v>51.510899999999999</v>
      </c>
      <c r="G72" s="1">
        <f t="shared" si="1"/>
        <v>0.26137574765729177</v>
      </c>
    </row>
    <row r="73" spans="1:7" x14ac:dyDescent="0.25">
      <c r="B73" s="37">
        <v>45652</v>
      </c>
      <c r="C73" s="37" t="s">
        <v>173</v>
      </c>
      <c r="D73" s="16">
        <v>2024</v>
      </c>
      <c r="E73" s="81">
        <v>68.977800000000002</v>
      </c>
      <c r="F73" s="81">
        <v>51.636499999999998</v>
      </c>
      <c r="G73" s="1">
        <f t="shared" si="1"/>
        <v>0.33583414832531266</v>
      </c>
    </row>
    <row r="74" spans="1:7" x14ac:dyDescent="0.25">
      <c r="B74" s="37">
        <v>45653</v>
      </c>
      <c r="C74" s="37" t="s">
        <v>173</v>
      </c>
      <c r="D74" s="16">
        <v>2024</v>
      </c>
      <c r="E74" s="81">
        <v>69.193200000000004</v>
      </c>
      <c r="F74" s="81">
        <v>51.804699999999997</v>
      </c>
      <c r="G74" s="1">
        <f t="shared" si="1"/>
        <v>0.33565487301345254</v>
      </c>
    </row>
    <row r="75" spans="1:7" x14ac:dyDescent="0.25">
      <c r="B75" s="37">
        <v>45654</v>
      </c>
      <c r="C75" s="37" t="s">
        <v>173</v>
      </c>
      <c r="D75" s="16">
        <v>2024</v>
      </c>
      <c r="E75" s="81">
        <v>68.051400000000001</v>
      </c>
      <c r="F75" s="81">
        <v>51.804699999999997</v>
      </c>
      <c r="G75" s="1">
        <f t="shared" si="1"/>
        <v>0.31361440178207789</v>
      </c>
    </row>
    <row r="76" spans="1:7" x14ac:dyDescent="0.25">
      <c r="B76" s="37">
        <v>45655</v>
      </c>
      <c r="C76" s="37" t="s">
        <v>173</v>
      </c>
      <c r="D76" s="16">
        <v>2024</v>
      </c>
      <c r="E76" s="81">
        <v>67.343800000000002</v>
      </c>
      <c r="F76" s="81">
        <v>51.804699999999997</v>
      </c>
      <c r="G76" s="1">
        <f t="shared" si="1"/>
        <v>0.2999554094512662</v>
      </c>
    </row>
    <row r="77" spans="1:7" x14ac:dyDescent="0.25">
      <c r="B77" s="37">
        <v>45656</v>
      </c>
      <c r="C77" s="37" t="s">
        <v>173</v>
      </c>
      <c r="D77" s="16">
        <v>2024</v>
      </c>
      <c r="E77" s="81">
        <v>66.665999999999997</v>
      </c>
      <c r="F77" s="81">
        <v>51.896999999999998</v>
      </c>
      <c r="G77" s="1">
        <f t="shared" si="1"/>
        <v>0.28458292386843165</v>
      </c>
    </row>
    <row r="78" spans="1:7" x14ac:dyDescent="0.25">
      <c r="B78" s="37">
        <v>45657</v>
      </c>
      <c r="C78" s="37" t="s">
        <v>173</v>
      </c>
      <c r="D78" s="16">
        <v>2024</v>
      </c>
      <c r="E78" s="81">
        <v>65.847999999999999</v>
      </c>
      <c r="F78" s="81">
        <v>51.896999999999998</v>
      </c>
      <c r="G78" s="1">
        <f t="shared" si="1"/>
        <v>0.26882093377266503</v>
      </c>
    </row>
    <row r="79" spans="1:7" x14ac:dyDescent="0.25">
      <c r="A79" t="s">
        <v>174</v>
      </c>
      <c r="B79" s="82">
        <v>45658</v>
      </c>
      <c r="C79" s="82" t="s">
        <v>175</v>
      </c>
      <c r="D79" s="83">
        <v>2025</v>
      </c>
      <c r="E79" s="84">
        <v>68.251599999999996</v>
      </c>
      <c r="F79" s="84">
        <v>51.9345</v>
      </c>
      <c r="G79" s="85">
        <f t="shared" si="1"/>
        <v>0.31418613830883135</v>
      </c>
    </row>
    <row r="80" spans="1:7" x14ac:dyDescent="0.25">
      <c r="A80" t="s">
        <v>174</v>
      </c>
      <c r="B80" s="82">
        <v>45659</v>
      </c>
      <c r="C80" s="82" t="s">
        <v>175</v>
      </c>
      <c r="D80" s="83">
        <v>2025</v>
      </c>
      <c r="E80" s="84">
        <v>66.880600000000001</v>
      </c>
      <c r="F80" s="84">
        <v>52.027099999999997</v>
      </c>
      <c r="G80" s="85">
        <f t="shared" si="1"/>
        <v>0.28549544372067648</v>
      </c>
    </row>
    <row r="81" spans="1:7" x14ac:dyDescent="0.25">
      <c r="A81" t="s">
        <v>174</v>
      </c>
      <c r="B81" s="82">
        <v>45660</v>
      </c>
      <c r="C81" s="82" t="s">
        <v>175</v>
      </c>
      <c r="D81" s="83">
        <v>2025</v>
      </c>
      <c r="E81" s="84">
        <v>67.007800000000003</v>
      </c>
      <c r="F81" s="84">
        <v>52.572299999999998</v>
      </c>
      <c r="G81" s="85">
        <f t="shared" si="1"/>
        <v>0.27458376369304749</v>
      </c>
    </row>
    <row r="82" spans="1:7" x14ac:dyDescent="0.25">
      <c r="A82" t="s">
        <v>174</v>
      </c>
      <c r="B82" s="82">
        <v>45661</v>
      </c>
      <c r="C82" s="82" t="s">
        <v>175</v>
      </c>
      <c r="D82" s="83">
        <v>2025</v>
      </c>
      <c r="E82" s="84">
        <v>66.483800000000002</v>
      </c>
      <c r="F82" s="84">
        <v>52.572299999999998</v>
      </c>
      <c r="G82" s="85">
        <f t="shared" si="1"/>
        <v>0.2646165376063061</v>
      </c>
    </row>
    <row r="83" spans="1:7" x14ac:dyDescent="0.25">
      <c r="A83" t="s">
        <v>174</v>
      </c>
      <c r="B83" s="82">
        <v>45662</v>
      </c>
      <c r="C83" s="82" t="s">
        <v>175</v>
      </c>
      <c r="D83" s="83">
        <v>2025</v>
      </c>
      <c r="E83" s="84">
        <v>64.869</v>
      </c>
      <c r="F83" s="84">
        <v>52.572299999999998</v>
      </c>
      <c r="G83" s="85">
        <f t="shared" si="1"/>
        <v>0.23390074240617209</v>
      </c>
    </row>
    <row r="84" spans="1:7" x14ac:dyDescent="0.25">
      <c r="A84" t="s">
        <v>174</v>
      </c>
      <c r="B84" s="82">
        <v>45663</v>
      </c>
      <c r="C84" s="82" t="s">
        <v>175</v>
      </c>
      <c r="D84" s="83">
        <v>2025</v>
      </c>
      <c r="E84" s="84">
        <v>65.252399999999994</v>
      </c>
      <c r="F84" s="84">
        <v>52.572299999999998</v>
      </c>
      <c r="G84" s="85">
        <f t="shared" si="1"/>
        <v>0.24119355630246342</v>
      </c>
    </row>
    <row r="85" spans="1:7" x14ac:dyDescent="0.25">
      <c r="A85" t="s">
        <v>174</v>
      </c>
      <c r="B85" s="82">
        <v>45664</v>
      </c>
      <c r="C85" s="82" t="s">
        <v>175</v>
      </c>
      <c r="D85" s="83">
        <v>2025</v>
      </c>
      <c r="E85" s="84">
        <v>65.587999999999994</v>
      </c>
      <c r="F85" s="84">
        <v>53.012</v>
      </c>
      <c r="G85" s="85">
        <f t="shared" si="1"/>
        <v>0.23722930657209673</v>
      </c>
    </row>
    <row r="86" spans="1:7" x14ac:dyDescent="0.25">
      <c r="A86" t="s">
        <v>174</v>
      </c>
      <c r="B86" s="82">
        <v>45665</v>
      </c>
      <c r="C86" s="82" t="s">
        <v>175</v>
      </c>
      <c r="D86" s="83">
        <v>2025</v>
      </c>
      <c r="E86" s="84">
        <v>66.906800000000004</v>
      </c>
      <c r="F86" s="84">
        <v>53.070399999999999</v>
      </c>
      <c r="G86" s="85">
        <f t="shared" si="1"/>
        <v>0.26071783894600387</v>
      </c>
    </row>
    <row r="87" spans="1:7" x14ac:dyDescent="0.25">
      <c r="A87" t="s">
        <v>174</v>
      </c>
      <c r="B87" s="82">
        <v>45666</v>
      </c>
      <c r="C87" s="82" t="s">
        <v>175</v>
      </c>
      <c r="D87" s="83">
        <v>2025</v>
      </c>
      <c r="E87" s="84">
        <v>67.927800000000005</v>
      </c>
      <c r="F87" s="84">
        <v>53.282699999999998</v>
      </c>
      <c r="G87" s="85">
        <f t="shared" si="1"/>
        <v>0.27485656695325145</v>
      </c>
    </row>
    <row r="88" spans="1:7" x14ac:dyDescent="0.25">
      <c r="A88" t="s">
        <v>174</v>
      </c>
      <c r="B88" s="82">
        <v>45667</v>
      </c>
      <c r="C88" s="82" t="s">
        <v>175</v>
      </c>
      <c r="D88" s="83">
        <v>2025</v>
      </c>
      <c r="E88" s="84">
        <v>67.351399999999998</v>
      </c>
      <c r="F88" s="84">
        <v>53.852200000000003</v>
      </c>
      <c r="G88" s="85">
        <f t="shared" si="1"/>
        <v>0.25067128176750431</v>
      </c>
    </row>
    <row r="89" spans="1:7" x14ac:dyDescent="0.25">
      <c r="A89" t="s">
        <v>174</v>
      </c>
      <c r="B89" s="82">
        <v>45668</v>
      </c>
      <c r="C89" s="82" t="s">
        <v>175</v>
      </c>
      <c r="D89" s="83">
        <v>2025</v>
      </c>
      <c r="E89" s="84">
        <v>66.184600000000003</v>
      </c>
      <c r="F89" s="84">
        <v>53.852200000000003</v>
      </c>
      <c r="G89" s="85">
        <f t="shared" si="1"/>
        <v>0.22900457177236944</v>
      </c>
    </row>
    <row r="90" spans="1:7" x14ac:dyDescent="0.25">
      <c r="A90" t="s">
        <v>174</v>
      </c>
      <c r="B90" s="82">
        <v>45669</v>
      </c>
      <c r="C90" s="82" t="s">
        <v>175</v>
      </c>
      <c r="D90" s="83">
        <v>2025</v>
      </c>
      <c r="E90" s="84">
        <v>66.149000000000001</v>
      </c>
      <c r="F90" s="84">
        <v>53.852200000000003</v>
      </c>
      <c r="G90" s="85">
        <f t="shared" si="1"/>
        <v>0.22834350314378971</v>
      </c>
    </row>
    <row r="91" spans="1:7" x14ac:dyDescent="0.25">
      <c r="A91" t="s">
        <v>174</v>
      </c>
      <c r="B91" s="82">
        <v>45670</v>
      </c>
      <c r="C91" s="82" t="s">
        <v>175</v>
      </c>
      <c r="D91" s="83">
        <v>2025</v>
      </c>
      <c r="E91" s="84">
        <v>64.962000000000003</v>
      </c>
      <c r="F91" s="84">
        <v>53.852200000000003</v>
      </c>
      <c r="G91" s="85">
        <f t="shared" si="1"/>
        <v>0.20630169240996654</v>
      </c>
    </row>
    <row r="92" spans="1:7" x14ac:dyDescent="0.25">
      <c r="A92" t="s">
        <v>174</v>
      </c>
      <c r="B92" s="82">
        <v>45671</v>
      </c>
      <c r="C92" s="82" t="s">
        <v>175</v>
      </c>
      <c r="D92" s="83">
        <v>2025</v>
      </c>
      <c r="E92" s="84">
        <v>64.993600000000001</v>
      </c>
      <c r="F92" s="84">
        <v>53.879100000000001</v>
      </c>
      <c r="G92" s="85">
        <f t="shared" si="1"/>
        <v>0.20628592534025247</v>
      </c>
    </row>
    <row r="93" spans="1:7" x14ac:dyDescent="0.25">
      <c r="A93" t="s">
        <v>174</v>
      </c>
      <c r="B93" s="82">
        <v>45672</v>
      </c>
      <c r="C93" s="82" t="s">
        <v>175</v>
      </c>
      <c r="D93" s="83">
        <v>2025</v>
      </c>
      <c r="E93" s="84">
        <v>64.529600000000002</v>
      </c>
      <c r="F93" s="84">
        <v>53.964199999999998</v>
      </c>
      <c r="G93" s="85">
        <f t="shared" si="1"/>
        <v>0.19578535399394426</v>
      </c>
    </row>
    <row r="94" spans="1:7" x14ac:dyDescent="0.25">
      <c r="A94" t="s">
        <v>174</v>
      </c>
      <c r="B94" s="82">
        <v>45673</v>
      </c>
      <c r="C94" s="82" t="s">
        <v>175</v>
      </c>
      <c r="D94" s="83">
        <v>2025</v>
      </c>
      <c r="E94" s="84">
        <v>64.7196</v>
      </c>
      <c r="F94" s="84">
        <v>54.369399999999999</v>
      </c>
      <c r="G94" s="85">
        <f t="shared" si="1"/>
        <v>0.19036811147446908</v>
      </c>
    </row>
    <row r="95" spans="1:7" x14ac:dyDescent="0.25">
      <c r="A95" t="s">
        <v>174</v>
      </c>
      <c r="B95" s="82">
        <v>45674</v>
      </c>
      <c r="C95" s="82" t="s">
        <v>175</v>
      </c>
      <c r="D95" s="83">
        <v>2025</v>
      </c>
      <c r="E95" s="84">
        <v>64.199399999999997</v>
      </c>
      <c r="F95" s="84">
        <v>54.76</v>
      </c>
      <c r="G95" s="85">
        <f t="shared" si="1"/>
        <v>0.17237764791818844</v>
      </c>
    </row>
    <row r="96" spans="1:7" x14ac:dyDescent="0.25">
      <c r="A96" t="s">
        <v>174</v>
      </c>
      <c r="B96" s="82">
        <v>45675</v>
      </c>
      <c r="C96" s="82" t="s">
        <v>175</v>
      </c>
      <c r="D96" s="83">
        <v>2025</v>
      </c>
      <c r="E96" s="84">
        <v>64.157200000000003</v>
      </c>
      <c r="F96" s="84">
        <v>54.76</v>
      </c>
      <c r="G96" s="85">
        <f t="shared" si="1"/>
        <v>0.17160701241782328</v>
      </c>
    </row>
    <row r="97" spans="1:7" x14ac:dyDescent="0.25">
      <c r="A97" t="s">
        <v>174</v>
      </c>
      <c r="B97" s="82">
        <v>45676</v>
      </c>
      <c r="C97" s="82" t="s">
        <v>175</v>
      </c>
      <c r="D97" s="83">
        <v>2025</v>
      </c>
      <c r="E97" s="84">
        <v>64.358999999999995</v>
      </c>
      <c r="F97" s="84">
        <v>54.76</v>
      </c>
      <c r="G97" s="85">
        <f t="shared" si="1"/>
        <v>0.17529218407596781</v>
      </c>
    </row>
    <row r="98" spans="1:7" x14ac:dyDescent="0.25">
      <c r="A98" t="s">
        <v>174</v>
      </c>
      <c r="B98" s="82">
        <v>45677</v>
      </c>
      <c r="C98" s="82" t="s">
        <v>175</v>
      </c>
      <c r="D98" s="83">
        <v>2025</v>
      </c>
      <c r="E98" s="84">
        <v>64.637600000000006</v>
      </c>
      <c r="F98" s="84">
        <v>54.911299999999997</v>
      </c>
      <c r="G98" s="85">
        <f t="shared" si="1"/>
        <v>0.17712747649390947</v>
      </c>
    </row>
    <row r="99" spans="1:7" x14ac:dyDescent="0.25">
      <c r="A99" t="s">
        <v>174</v>
      </c>
      <c r="B99" s="82">
        <v>45678</v>
      </c>
      <c r="C99" s="82" t="s">
        <v>175</v>
      </c>
      <c r="D99" s="83">
        <v>2025</v>
      </c>
      <c r="E99" s="84">
        <v>65.929599999999994</v>
      </c>
      <c r="F99" s="84">
        <v>54.985199999999999</v>
      </c>
      <c r="G99" s="85">
        <f t="shared" si="1"/>
        <v>0.19904265147712463</v>
      </c>
    </row>
    <row r="100" spans="1:7" x14ac:dyDescent="0.25">
      <c r="A100" t="s">
        <v>174</v>
      </c>
      <c r="B100" s="82">
        <v>45679</v>
      </c>
      <c r="C100" s="82" t="s">
        <v>175</v>
      </c>
      <c r="D100" s="83">
        <v>2025</v>
      </c>
      <c r="E100" s="84">
        <v>67.161600000000007</v>
      </c>
      <c r="F100" s="84">
        <v>55.299900000000001</v>
      </c>
      <c r="G100" s="85">
        <f t="shared" si="1"/>
        <v>0.21449767540266818</v>
      </c>
    </row>
    <row r="101" spans="1:7" x14ac:dyDescent="0.25">
      <c r="A101" t="s">
        <v>174</v>
      </c>
      <c r="B101" s="82">
        <v>45680</v>
      </c>
      <c r="C101" s="82" t="s">
        <v>175</v>
      </c>
      <c r="D101" s="83">
        <v>2025</v>
      </c>
      <c r="E101" s="84">
        <v>66.497799999999998</v>
      </c>
      <c r="F101" s="84">
        <v>55.761099999999999</v>
      </c>
      <c r="G101" s="85">
        <f t="shared" si="1"/>
        <v>0.19254821013215295</v>
      </c>
    </row>
    <row r="102" spans="1:7" x14ac:dyDescent="0.25">
      <c r="A102" t="s">
        <v>174</v>
      </c>
      <c r="B102" s="82">
        <v>45681</v>
      </c>
      <c r="C102" s="82" t="s">
        <v>175</v>
      </c>
      <c r="D102" s="83">
        <v>2025</v>
      </c>
      <c r="E102" s="84">
        <v>65.938400000000001</v>
      </c>
      <c r="F102" s="84">
        <v>56.283000000000001</v>
      </c>
      <c r="G102" s="85">
        <f t="shared" si="1"/>
        <v>0.17155091235364139</v>
      </c>
    </row>
    <row r="103" spans="1:7" x14ac:dyDescent="0.25">
      <c r="A103" t="s">
        <v>174</v>
      </c>
      <c r="B103" s="82">
        <v>45682</v>
      </c>
      <c r="C103" s="82" t="s">
        <v>175</v>
      </c>
      <c r="D103" s="83">
        <v>2025</v>
      </c>
      <c r="E103" s="84">
        <v>65.25</v>
      </c>
      <c r="F103" s="84">
        <v>56.283000000000001</v>
      </c>
      <c r="G103" s="85">
        <f t="shared" si="1"/>
        <v>0.15931986567880174</v>
      </c>
    </row>
    <row r="104" spans="1:7" x14ac:dyDescent="0.25">
      <c r="A104" t="s">
        <v>174</v>
      </c>
      <c r="B104" s="82">
        <v>45683</v>
      </c>
      <c r="C104" s="82" t="s">
        <v>175</v>
      </c>
      <c r="D104" s="83">
        <v>2025</v>
      </c>
      <c r="E104" s="84">
        <v>65.209599999999995</v>
      </c>
      <c r="F104" s="84">
        <v>56.283000000000001</v>
      </c>
      <c r="G104" s="85">
        <f t="shared" si="1"/>
        <v>0.15860206456656534</v>
      </c>
    </row>
    <row r="105" spans="1:7" x14ac:dyDescent="0.25">
      <c r="A105" t="s">
        <v>174</v>
      </c>
      <c r="B105" s="82">
        <v>45684</v>
      </c>
      <c r="C105" s="82" t="s">
        <v>175</v>
      </c>
      <c r="D105" s="83">
        <v>2025</v>
      </c>
      <c r="E105" s="84">
        <v>67.583200000000005</v>
      </c>
      <c r="F105" s="84">
        <v>56.652200000000001</v>
      </c>
      <c r="G105" s="85">
        <f t="shared" si="1"/>
        <v>0.19294925881077885</v>
      </c>
    </row>
    <row r="106" spans="1:7" x14ac:dyDescent="0.25">
      <c r="A106" t="s">
        <v>174</v>
      </c>
      <c r="B106" s="82">
        <v>45685</v>
      </c>
      <c r="C106" s="82" t="s">
        <v>175</v>
      </c>
      <c r="D106" s="83">
        <v>2025</v>
      </c>
      <c r="E106" s="84">
        <v>68.625399999999999</v>
      </c>
      <c r="F106" s="84">
        <v>56.856200000000001</v>
      </c>
      <c r="G106" s="85">
        <f t="shared" si="1"/>
        <v>0.20699941255307253</v>
      </c>
    </row>
    <row r="107" spans="1:7" x14ac:dyDescent="0.25">
      <c r="A107" t="s">
        <v>174</v>
      </c>
      <c r="B107" s="82">
        <v>45686</v>
      </c>
      <c r="C107" s="82" t="s">
        <v>175</v>
      </c>
      <c r="D107" s="83">
        <v>2025</v>
      </c>
      <c r="E107" s="84">
        <v>70.373400000000004</v>
      </c>
      <c r="F107" s="84">
        <v>57.297400000000003</v>
      </c>
      <c r="G107" s="85">
        <f t="shared" si="1"/>
        <v>0.22821279848649323</v>
      </c>
    </row>
    <row r="108" spans="1:7" x14ac:dyDescent="0.25">
      <c r="A108" t="s">
        <v>174</v>
      </c>
      <c r="B108" s="82">
        <v>45687</v>
      </c>
      <c r="C108" s="82" t="s">
        <v>175</v>
      </c>
      <c r="D108" s="83">
        <v>2025</v>
      </c>
      <c r="E108" s="84">
        <v>69.383799999999994</v>
      </c>
      <c r="F108" s="84">
        <v>57.392899999999997</v>
      </c>
      <c r="G108" s="85">
        <f t="shared" si="1"/>
        <v>0.20892653969393415</v>
      </c>
    </row>
    <row r="109" spans="1:7" x14ac:dyDescent="0.25">
      <c r="A109" t="s">
        <v>174</v>
      </c>
      <c r="B109" s="82">
        <v>45688</v>
      </c>
      <c r="C109" s="82" t="s">
        <v>175</v>
      </c>
      <c r="D109" s="83">
        <v>2025</v>
      </c>
      <c r="E109" s="84">
        <v>68.131</v>
      </c>
      <c r="F109" s="84">
        <v>57.9666</v>
      </c>
      <c r="G109" s="85">
        <f t="shared" si="1"/>
        <v>0.17534925284560421</v>
      </c>
    </row>
    <row r="110" spans="1:7" x14ac:dyDescent="0.25">
      <c r="A110" t="s">
        <v>174</v>
      </c>
      <c r="B110" s="82">
        <v>45689</v>
      </c>
      <c r="C110" s="82" t="s">
        <v>176</v>
      </c>
      <c r="D110" s="83">
        <v>2025</v>
      </c>
      <c r="E110" s="84">
        <v>68.065399999999997</v>
      </c>
      <c r="F110" s="84">
        <v>57.9666</v>
      </c>
      <c r="G110" s="85">
        <f t="shared" si="1"/>
        <v>0.17421756666770172</v>
      </c>
    </row>
    <row r="111" spans="1:7" x14ac:dyDescent="0.25">
      <c r="A111" t="s">
        <v>174</v>
      </c>
      <c r="B111" s="82">
        <v>45690</v>
      </c>
      <c r="C111" s="82" t="s">
        <v>176</v>
      </c>
      <c r="D111" s="83">
        <v>2025</v>
      </c>
      <c r="E111" s="84">
        <v>68.457599999999999</v>
      </c>
      <c r="F111" s="84">
        <v>57.9666</v>
      </c>
      <c r="G111" s="85">
        <f t="shared" si="1"/>
        <v>0.18098353189595384</v>
      </c>
    </row>
    <row r="112" spans="1:7" x14ac:dyDescent="0.25">
      <c r="A112" t="s">
        <v>174</v>
      </c>
      <c r="B112" s="82">
        <v>45691</v>
      </c>
      <c r="C112" s="82" t="s">
        <v>176</v>
      </c>
      <c r="D112" s="83">
        <v>2025</v>
      </c>
      <c r="E112" s="84">
        <v>69.923000000000002</v>
      </c>
      <c r="F112" s="84">
        <v>58.4437</v>
      </c>
      <c r="G112" s="85">
        <f t="shared" si="1"/>
        <v>0.19641638020864538</v>
      </c>
    </row>
    <row r="113" spans="1:7" x14ac:dyDescent="0.25">
      <c r="A113" t="s">
        <v>174</v>
      </c>
      <c r="B113" s="82">
        <v>45692</v>
      </c>
      <c r="C113" s="82" t="s">
        <v>176</v>
      </c>
      <c r="D113" s="83">
        <v>2025</v>
      </c>
      <c r="E113" s="84">
        <v>71.999600000000001</v>
      </c>
      <c r="F113" s="84">
        <v>58.540399999999998</v>
      </c>
      <c r="G113" s="85">
        <f t="shared" si="1"/>
        <v>0.229913017335037</v>
      </c>
    </row>
    <row r="114" spans="1:7" x14ac:dyDescent="0.25">
      <c r="A114" t="s">
        <v>174</v>
      </c>
      <c r="B114" s="82">
        <v>45693</v>
      </c>
      <c r="C114" s="82" t="s">
        <v>176</v>
      </c>
      <c r="D114" s="83">
        <v>2025</v>
      </c>
      <c r="E114" s="84">
        <v>72.954800000000006</v>
      </c>
      <c r="F114" s="84">
        <v>58.793799999999997</v>
      </c>
      <c r="G114" s="85">
        <f t="shared" si="1"/>
        <v>0.2408587300021432</v>
      </c>
    </row>
    <row r="115" spans="1:7" x14ac:dyDescent="0.25">
      <c r="A115" t="s">
        <v>174</v>
      </c>
      <c r="B115" s="82">
        <v>45694</v>
      </c>
      <c r="C115" s="82" t="s">
        <v>176</v>
      </c>
      <c r="D115" s="83">
        <v>2025</v>
      </c>
      <c r="E115" s="84">
        <v>72.177599999999998</v>
      </c>
      <c r="F115" s="84">
        <v>59.460500000000003</v>
      </c>
      <c r="G115" s="85">
        <f t="shared" si="1"/>
        <v>0.21387475719174898</v>
      </c>
    </row>
    <row r="116" spans="1:7" x14ac:dyDescent="0.25">
      <c r="A116" t="s">
        <v>174</v>
      </c>
      <c r="B116" s="82">
        <v>45695</v>
      </c>
      <c r="C116" s="82" t="s">
        <v>176</v>
      </c>
      <c r="D116" s="83">
        <v>2025</v>
      </c>
      <c r="E116" s="84">
        <v>71.960800000000006</v>
      </c>
      <c r="F116" s="84">
        <v>60.1417</v>
      </c>
      <c r="G116" s="85">
        <f t="shared" si="1"/>
        <v>0.19652088318088801</v>
      </c>
    </row>
    <row r="117" spans="1:7" x14ac:dyDescent="0.25">
      <c r="A117" t="s">
        <v>174</v>
      </c>
      <c r="B117" s="82">
        <v>45696</v>
      </c>
      <c r="C117" s="82" t="s">
        <v>176</v>
      </c>
      <c r="D117" s="83">
        <v>2025</v>
      </c>
      <c r="E117" s="84">
        <v>71.927599999999998</v>
      </c>
      <c r="F117" s="84">
        <v>60.1417</v>
      </c>
      <c r="G117" s="85">
        <f t="shared" si="1"/>
        <v>0.19596885355751503</v>
      </c>
    </row>
    <row r="118" spans="1:7" x14ac:dyDescent="0.25">
      <c r="A118" t="s">
        <v>174</v>
      </c>
      <c r="B118" s="82">
        <v>45697</v>
      </c>
      <c r="C118" s="82" t="s">
        <v>176</v>
      </c>
      <c r="D118" s="83">
        <v>2025</v>
      </c>
      <c r="E118" s="84">
        <v>72.13</v>
      </c>
      <c r="F118" s="84">
        <v>60.1417</v>
      </c>
      <c r="G118" s="85">
        <f t="shared" si="1"/>
        <v>0.19933423897229363</v>
      </c>
    </row>
    <row r="119" spans="1:7" x14ac:dyDescent="0.25">
      <c r="A119" t="s">
        <v>174</v>
      </c>
      <c r="B119" s="82">
        <v>45698</v>
      </c>
      <c r="C119" s="82" t="s">
        <v>176</v>
      </c>
      <c r="D119" s="83">
        <v>2025</v>
      </c>
      <c r="E119" s="84">
        <v>73.337800000000001</v>
      </c>
      <c r="F119" s="84">
        <v>60.521099999999997</v>
      </c>
      <c r="G119" s="85">
        <f t="shared" si="1"/>
        <v>0.21177242317142286</v>
      </c>
    </row>
    <row r="120" spans="1:7" x14ac:dyDescent="0.25">
      <c r="A120" t="s">
        <v>174</v>
      </c>
      <c r="B120" s="82">
        <v>45699</v>
      </c>
      <c r="C120" s="82" t="s">
        <v>176</v>
      </c>
      <c r="D120" s="83">
        <v>2025</v>
      </c>
      <c r="E120" s="84">
        <v>75.439599999999999</v>
      </c>
      <c r="F120" s="84">
        <v>60.5428</v>
      </c>
      <c r="G120" s="85">
        <f t="shared" si="1"/>
        <v>0.24605403119776414</v>
      </c>
    </row>
    <row r="121" spans="1:7" x14ac:dyDescent="0.25">
      <c r="A121" t="s">
        <v>174</v>
      </c>
      <c r="B121" s="82">
        <v>45700</v>
      </c>
      <c r="C121" s="82" t="s">
        <v>176</v>
      </c>
      <c r="D121" s="83">
        <v>2025</v>
      </c>
      <c r="E121" s="84">
        <v>76.589799999999997</v>
      </c>
      <c r="F121" s="84">
        <v>61.027799999999999</v>
      </c>
      <c r="G121" s="85">
        <f t="shared" si="1"/>
        <v>0.25499854164823232</v>
      </c>
    </row>
    <row r="122" spans="1:7" x14ac:dyDescent="0.25">
      <c r="A122" t="s">
        <v>174</v>
      </c>
      <c r="B122" s="82">
        <v>45701</v>
      </c>
      <c r="C122" s="82" t="s">
        <v>176</v>
      </c>
      <c r="D122" s="83">
        <v>2025</v>
      </c>
      <c r="E122" s="84">
        <v>77.413600000000002</v>
      </c>
      <c r="F122" s="84">
        <v>61.346200000000003</v>
      </c>
      <c r="G122" s="85">
        <f t="shared" si="1"/>
        <v>0.2619135333565894</v>
      </c>
    </row>
    <row r="123" spans="1:7" x14ac:dyDescent="0.25">
      <c r="A123" t="s">
        <v>174</v>
      </c>
      <c r="B123" s="82">
        <v>45702</v>
      </c>
      <c r="C123" s="82" t="s">
        <v>176</v>
      </c>
      <c r="D123" s="83">
        <v>2025</v>
      </c>
      <c r="E123" s="84">
        <v>75.658799999999999</v>
      </c>
      <c r="F123" s="84">
        <v>61.822699999999998</v>
      </c>
      <c r="G123" s="85">
        <f t="shared" si="1"/>
        <v>0.22380290734633079</v>
      </c>
    </row>
    <row r="124" spans="1:7" x14ac:dyDescent="0.25">
      <c r="A124" t="s">
        <v>174</v>
      </c>
      <c r="B124" s="82">
        <v>45703</v>
      </c>
      <c r="C124" s="82" t="s">
        <v>176</v>
      </c>
      <c r="D124" s="83">
        <v>2025</v>
      </c>
      <c r="E124" s="84">
        <v>75.575400000000002</v>
      </c>
      <c r="F124" s="84">
        <v>61.822699999999998</v>
      </c>
      <c r="G124" s="85">
        <f t="shared" si="1"/>
        <v>0.22245388829669377</v>
      </c>
    </row>
    <row r="125" spans="1:7" x14ac:dyDescent="0.25">
      <c r="A125" t="s">
        <v>174</v>
      </c>
      <c r="B125" s="82">
        <v>45704</v>
      </c>
      <c r="C125" s="82" t="s">
        <v>176</v>
      </c>
      <c r="D125" s="83">
        <v>2025</v>
      </c>
      <c r="E125" s="84">
        <v>76.094999999999999</v>
      </c>
      <c r="F125" s="84">
        <v>61.822699999999998</v>
      </c>
      <c r="G125" s="85">
        <f t="shared" si="1"/>
        <v>0.23085856813112349</v>
      </c>
    </row>
    <row r="126" spans="1:7" x14ac:dyDescent="0.25">
      <c r="A126" t="s">
        <v>174</v>
      </c>
      <c r="B126" s="82">
        <v>45705</v>
      </c>
      <c r="C126" s="82" t="s">
        <v>176</v>
      </c>
      <c r="D126" s="83">
        <v>2025</v>
      </c>
      <c r="E126" s="84">
        <v>78.194999999999993</v>
      </c>
      <c r="F126" s="84">
        <v>62.070799999999998</v>
      </c>
      <c r="G126" s="85">
        <f t="shared" si="1"/>
        <v>0.25977110009859694</v>
      </c>
    </row>
    <row r="127" spans="1:7" x14ac:dyDescent="0.25">
      <c r="A127" t="s">
        <v>174</v>
      </c>
      <c r="B127" s="82">
        <v>45706</v>
      </c>
      <c r="C127" s="82" t="s">
        <v>176</v>
      </c>
      <c r="D127" s="83">
        <v>2025</v>
      </c>
      <c r="E127" s="84">
        <v>80.295000000000002</v>
      </c>
      <c r="F127" s="84">
        <v>62.099899999999998</v>
      </c>
      <c r="G127" s="85">
        <f t="shared" si="1"/>
        <v>0.29299725120330322</v>
      </c>
    </row>
    <row r="128" spans="1:7" x14ac:dyDescent="0.25">
      <c r="A128" t="s">
        <v>174</v>
      </c>
      <c r="B128" s="82">
        <v>45707</v>
      </c>
      <c r="C128" s="82" t="s">
        <v>176</v>
      </c>
      <c r="D128" s="83">
        <v>2025</v>
      </c>
      <c r="E128" s="84">
        <v>80.861999999999995</v>
      </c>
      <c r="F128" s="84">
        <v>62.183399999999999</v>
      </c>
      <c r="G128" s="85">
        <f t="shared" si="1"/>
        <v>0.30037920087997749</v>
      </c>
    </row>
    <row r="129" spans="1:7" x14ac:dyDescent="0.25">
      <c r="A129" t="s">
        <v>174</v>
      </c>
      <c r="B129" s="82">
        <v>45708</v>
      </c>
      <c r="C129" s="82" t="s">
        <v>176</v>
      </c>
      <c r="D129" s="83">
        <v>2025</v>
      </c>
      <c r="E129" s="84">
        <v>79.019400000000005</v>
      </c>
      <c r="F129" s="84">
        <v>62.5107</v>
      </c>
      <c r="G129" s="85">
        <f t="shared" si="1"/>
        <v>0.26409398710940701</v>
      </c>
    </row>
    <row r="130" spans="1:7" x14ac:dyDescent="0.25">
      <c r="A130" t="s">
        <v>174</v>
      </c>
      <c r="B130" s="82">
        <v>45709</v>
      </c>
      <c r="C130" s="82" t="s">
        <v>176</v>
      </c>
      <c r="D130" s="83">
        <v>2025</v>
      </c>
      <c r="E130" s="84">
        <v>79.06</v>
      </c>
      <c r="F130" s="84">
        <v>63.206499999999998</v>
      </c>
      <c r="G130" s="85">
        <f t="shared" si="1"/>
        <v>0.25082072255226917</v>
      </c>
    </row>
    <row r="131" spans="1:7" x14ac:dyDescent="0.25">
      <c r="A131" t="s">
        <v>174</v>
      </c>
      <c r="B131" s="82">
        <v>45710</v>
      </c>
      <c r="C131" s="82" t="s">
        <v>176</v>
      </c>
      <c r="D131" s="83">
        <v>2025</v>
      </c>
      <c r="E131" s="84">
        <v>78.975399999999993</v>
      </c>
      <c r="F131" s="84">
        <v>63.206499999999998</v>
      </c>
      <c r="G131" s="85">
        <f t="shared" ref="G131:G194" si="2">E131/F131-1</f>
        <v>0.24948225261642376</v>
      </c>
    </row>
    <row r="132" spans="1:7" x14ac:dyDescent="0.25">
      <c r="A132" t="s">
        <v>174</v>
      </c>
      <c r="B132" s="82">
        <v>45711</v>
      </c>
      <c r="C132" s="82" t="s">
        <v>176</v>
      </c>
      <c r="D132" s="83">
        <v>2025</v>
      </c>
      <c r="E132" s="84">
        <v>79.013999999999996</v>
      </c>
      <c r="F132" s="84">
        <v>63.206499999999998</v>
      </c>
      <c r="G132" s="85">
        <f t="shared" si="2"/>
        <v>0.25009294930110038</v>
      </c>
    </row>
    <row r="133" spans="1:7" x14ac:dyDescent="0.25">
      <c r="A133" t="s">
        <v>174</v>
      </c>
      <c r="B133" s="82">
        <v>45712</v>
      </c>
      <c r="C133" s="82" t="s">
        <v>176</v>
      </c>
      <c r="D133" s="83">
        <v>2025</v>
      </c>
      <c r="E133" s="84">
        <v>80.969399999999993</v>
      </c>
      <c r="F133" s="84">
        <v>63.413899999999998</v>
      </c>
      <c r="G133" s="85">
        <f t="shared" si="2"/>
        <v>0.27683993572387111</v>
      </c>
    </row>
    <row r="134" spans="1:7" x14ac:dyDescent="0.25">
      <c r="A134" t="s">
        <v>174</v>
      </c>
      <c r="B134" s="82">
        <v>45713</v>
      </c>
      <c r="C134" s="82" t="s">
        <v>176</v>
      </c>
      <c r="D134" s="83">
        <v>2025</v>
      </c>
      <c r="E134" s="84">
        <v>82.269000000000005</v>
      </c>
      <c r="F134" s="84">
        <v>63.4938</v>
      </c>
      <c r="G134" s="85">
        <f t="shared" si="2"/>
        <v>0.29570131256910126</v>
      </c>
    </row>
    <row r="135" spans="1:7" x14ac:dyDescent="0.25">
      <c r="A135" t="s">
        <v>174</v>
      </c>
      <c r="B135" s="82">
        <v>45714</v>
      </c>
      <c r="C135" s="82" t="s">
        <v>176</v>
      </c>
      <c r="D135" s="83">
        <v>2025</v>
      </c>
      <c r="E135" s="84">
        <v>82.001000000000005</v>
      </c>
      <c r="F135" s="84">
        <v>64.019099999999995</v>
      </c>
      <c r="G135" s="85">
        <f t="shared" si="2"/>
        <v>0.28088336137184067</v>
      </c>
    </row>
    <row r="136" spans="1:7" x14ac:dyDescent="0.25">
      <c r="A136" t="s">
        <v>174</v>
      </c>
      <c r="B136" s="82">
        <v>45715</v>
      </c>
      <c r="C136" s="82" t="s">
        <v>176</v>
      </c>
      <c r="D136" s="83">
        <v>2025</v>
      </c>
      <c r="E136" s="84">
        <v>80.058400000000006</v>
      </c>
      <c r="F136" s="84">
        <v>64.240600000000001</v>
      </c>
      <c r="G136" s="85">
        <f t="shared" si="2"/>
        <v>0.24622746362892012</v>
      </c>
    </row>
    <row r="137" spans="1:7" x14ac:dyDescent="0.25">
      <c r="A137" t="s">
        <v>174</v>
      </c>
      <c r="B137" s="82">
        <v>45716</v>
      </c>
      <c r="C137" s="82" t="s">
        <v>176</v>
      </c>
      <c r="D137" s="83">
        <v>2025</v>
      </c>
      <c r="E137" s="84">
        <v>78.92</v>
      </c>
      <c r="F137" s="84">
        <v>64.246399999999994</v>
      </c>
      <c r="G137" s="85">
        <f t="shared" si="2"/>
        <v>0.22839567664491711</v>
      </c>
    </row>
    <row r="138" spans="1:7" x14ac:dyDescent="0.25">
      <c r="A138" t="s">
        <v>174</v>
      </c>
      <c r="B138" s="82">
        <v>45717</v>
      </c>
      <c r="C138" s="82" t="s">
        <v>177</v>
      </c>
      <c r="D138" s="83">
        <v>2025</v>
      </c>
      <c r="E138" s="84">
        <v>77.843199999999996</v>
      </c>
      <c r="F138" s="84">
        <v>64.246399999999994</v>
      </c>
      <c r="G138" s="85">
        <f t="shared" si="2"/>
        <v>0.21163520446281825</v>
      </c>
    </row>
    <row r="139" spans="1:7" x14ac:dyDescent="0.25">
      <c r="A139" t="s">
        <v>174</v>
      </c>
      <c r="B139" s="82">
        <v>45718</v>
      </c>
      <c r="C139" s="82" t="s">
        <v>177</v>
      </c>
      <c r="D139" s="83">
        <v>2025</v>
      </c>
      <c r="E139" s="84">
        <v>78.899799999999999</v>
      </c>
      <c r="F139" s="84">
        <v>64.246399999999994</v>
      </c>
      <c r="G139" s="85">
        <f t="shared" si="2"/>
        <v>0.22808126214075819</v>
      </c>
    </row>
    <row r="140" spans="1:7" x14ac:dyDescent="0.25">
      <c r="A140" t="s">
        <v>174</v>
      </c>
      <c r="B140" s="82">
        <v>45719</v>
      </c>
      <c r="C140" s="82" t="s">
        <v>177</v>
      </c>
      <c r="D140" s="83">
        <v>2025</v>
      </c>
      <c r="E140" s="84">
        <v>78.0732</v>
      </c>
      <c r="F140" s="84">
        <v>64.246399999999994</v>
      </c>
      <c r="G140" s="85">
        <f t="shared" si="2"/>
        <v>0.21521517158938108</v>
      </c>
    </row>
    <row r="141" spans="1:7" x14ac:dyDescent="0.25">
      <c r="A141" t="s">
        <v>174</v>
      </c>
      <c r="B141" s="82">
        <v>45720</v>
      </c>
      <c r="C141" s="82" t="s">
        <v>177</v>
      </c>
      <c r="D141" s="83">
        <v>2025</v>
      </c>
      <c r="E141" s="84">
        <v>78.217600000000004</v>
      </c>
      <c r="F141" s="84">
        <v>64.246399999999994</v>
      </c>
      <c r="G141" s="85">
        <f t="shared" si="2"/>
        <v>0.21746276834188394</v>
      </c>
    </row>
    <row r="142" spans="1:7" x14ac:dyDescent="0.25">
      <c r="A142" t="s">
        <v>174</v>
      </c>
      <c r="B142" s="82">
        <v>45721</v>
      </c>
      <c r="C142" s="82" t="s">
        <v>177</v>
      </c>
      <c r="D142" s="83">
        <v>2025</v>
      </c>
      <c r="E142" s="84">
        <v>78.924199999999999</v>
      </c>
      <c r="F142" s="84">
        <v>64.484399999999994</v>
      </c>
      <c r="G142" s="85">
        <f t="shared" si="2"/>
        <v>0.22392702731203218</v>
      </c>
    </row>
    <row r="143" spans="1:7" x14ac:dyDescent="0.25">
      <c r="A143" t="s">
        <v>174</v>
      </c>
      <c r="B143" s="82">
        <v>45722</v>
      </c>
      <c r="C143" s="82" t="s">
        <v>177</v>
      </c>
      <c r="D143" s="83">
        <v>2025</v>
      </c>
      <c r="E143" s="84">
        <v>79.300200000000004</v>
      </c>
      <c r="F143" s="84">
        <v>64.611599999999996</v>
      </c>
      <c r="G143" s="85">
        <f t="shared" si="2"/>
        <v>0.22733688687480291</v>
      </c>
    </row>
    <row r="144" spans="1:7" x14ac:dyDescent="0.25">
      <c r="A144" t="s">
        <v>174</v>
      </c>
      <c r="B144" s="82">
        <v>45723</v>
      </c>
      <c r="C144" s="82" t="s">
        <v>177</v>
      </c>
      <c r="D144" s="83">
        <v>2025</v>
      </c>
      <c r="E144" s="84">
        <v>78.015799999999999</v>
      </c>
      <c r="F144" s="84">
        <v>64.745999999999995</v>
      </c>
      <c r="G144" s="85">
        <f t="shared" si="2"/>
        <v>0.20495165724523523</v>
      </c>
    </row>
    <row r="145" spans="1:7" x14ac:dyDescent="0.25">
      <c r="A145" t="s">
        <v>174</v>
      </c>
      <c r="B145" s="82">
        <v>45724</v>
      </c>
      <c r="C145" s="82" t="s">
        <v>177</v>
      </c>
      <c r="D145" s="83">
        <v>2025</v>
      </c>
      <c r="E145" s="84">
        <v>77.595600000000005</v>
      </c>
      <c r="F145" s="84">
        <v>64.745999999999995</v>
      </c>
      <c r="G145" s="85">
        <f t="shared" si="2"/>
        <v>0.19846168103048845</v>
      </c>
    </row>
    <row r="146" spans="1:7" x14ac:dyDescent="0.25">
      <c r="A146" t="s">
        <v>174</v>
      </c>
      <c r="B146" s="82">
        <v>45725</v>
      </c>
      <c r="C146" s="82" t="s">
        <v>177</v>
      </c>
      <c r="D146" s="83">
        <v>2025</v>
      </c>
      <c r="E146" s="84">
        <v>78.007800000000003</v>
      </c>
      <c r="F146" s="84">
        <v>64.745999999999995</v>
      </c>
      <c r="G146" s="85">
        <f t="shared" si="2"/>
        <v>0.20482809748864805</v>
      </c>
    </row>
    <row r="147" spans="1:7" x14ac:dyDescent="0.25">
      <c r="A147" t="s">
        <v>174</v>
      </c>
      <c r="B147" s="82">
        <v>45726</v>
      </c>
      <c r="C147" s="82" t="s">
        <v>177</v>
      </c>
      <c r="D147" s="83">
        <v>2025</v>
      </c>
      <c r="E147" s="84">
        <v>79.863799999999998</v>
      </c>
      <c r="F147" s="84">
        <v>65.266199999999998</v>
      </c>
      <c r="G147" s="85">
        <f t="shared" si="2"/>
        <v>0.22366247766837977</v>
      </c>
    </row>
    <row r="148" spans="1:7" x14ac:dyDescent="0.25">
      <c r="A148" t="s">
        <v>174</v>
      </c>
      <c r="B148" s="82">
        <v>45727</v>
      </c>
      <c r="C148" s="82" t="s">
        <v>177</v>
      </c>
      <c r="D148" s="83">
        <v>2025</v>
      </c>
      <c r="E148" s="84">
        <v>80.840199999999996</v>
      </c>
      <c r="F148" s="84">
        <v>65.415099999999995</v>
      </c>
      <c r="G148" s="85">
        <f t="shared" si="2"/>
        <v>0.23580335427141441</v>
      </c>
    </row>
    <row r="149" spans="1:7" x14ac:dyDescent="0.25">
      <c r="A149" t="s">
        <v>174</v>
      </c>
      <c r="B149" s="82">
        <v>45728</v>
      </c>
      <c r="C149" s="82" t="s">
        <v>177</v>
      </c>
      <c r="D149" s="83">
        <v>2025</v>
      </c>
      <c r="E149" s="84">
        <v>79.943799999999996</v>
      </c>
      <c r="F149" s="84">
        <v>65.626800000000003</v>
      </c>
      <c r="G149" s="85">
        <f t="shared" si="2"/>
        <v>0.2181578257663026</v>
      </c>
    </row>
    <row r="150" spans="1:7" x14ac:dyDescent="0.25">
      <c r="A150" t="s">
        <v>174</v>
      </c>
      <c r="B150" s="82">
        <v>45729</v>
      </c>
      <c r="C150" s="82" t="s">
        <v>177</v>
      </c>
      <c r="D150" s="83">
        <v>2025</v>
      </c>
      <c r="E150" s="84">
        <v>80.535600000000002</v>
      </c>
      <c r="F150" s="84">
        <v>66.254199999999997</v>
      </c>
      <c r="G150" s="85">
        <f t="shared" si="2"/>
        <v>0.21555463653624996</v>
      </c>
    </row>
    <row r="151" spans="1:7" x14ac:dyDescent="0.25">
      <c r="A151" t="s">
        <v>174</v>
      </c>
      <c r="B151" s="82">
        <v>45730</v>
      </c>
      <c r="C151" s="82" t="s">
        <v>177</v>
      </c>
      <c r="D151" s="83">
        <v>2025</v>
      </c>
      <c r="E151" s="84">
        <v>80.227800000000002</v>
      </c>
      <c r="F151" s="84">
        <v>66.436800000000005</v>
      </c>
      <c r="G151" s="85">
        <f t="shared" si="2"/>
        <v>0.2075807383859547</v>
      </c>
    </row>
    <row r="152" spans="1:7" x14ac:dyDescent="0.25">
      <c r="A152" t="s">
        <v>174</v>
      </c>
      <c r="B152" s="82">
        <v>45731</v>
      </c>
      <c r="C152" s="82" t="s">
        <v>177</v>
      </c>
      <c r="D152" s="83">
        <v>2025</v>
      </c>
      <c r="E152" s="84">
        <v>79.9876</v>
      </c>
      <c r="F152" s="84">
        <v>66.436800000000005</v>
      </c>
      <c r="G152" s="85">
        <f t="shared" si="2"/>
        <v>0.20396527225874816</v>
      </c>
    </row>
    <row r="153" spans="1:7" x14ac:dyDescent="0.25">
      <c r="A153" t="s">
        <v>174</v>
      </c>
      <c r="B153" s="82">
        <v>45732</v>
      </c>
      <c r="C153" s="82" t="s">
        <v>177</v>
      </c>
      <c r="D153" s="83">
        <v>2025</v>
      </c>
      <c r="E153" s="84">
        <v>80.217600000000004</v>
      </c>
      <c r="F153" s="84">
        <v>66.436800000000005</v>
      </c>
      <c r="G153" s="85">
        <f t="shared" si="2"/>
        <v>0.20742720901668954</v>
      </c>
    </row>
    <row r="154" spans="1:7" x14ac:dyDescent="0.25">
      <c r="A154" t="s">
        <v>174</v>
      </c>
      <c r="B154" s="82">
        <v>45733</v>
      </c>
      <c r="C154" s="82" t="s">
        <v>177</v>
      </c>
      <c r="D154" s="83">
        <v>2025</v>
      </c>
      <c r="E154" s="84">
        <v>82.318799999999996</v>
      </c>
      <c r="F154" s="84">
        <v>66.557299999999998</v>
      </c>
      <c r="G154" s="85">
        <f t="shared" si="2"/>
        <v>0.23681098842651371</v>
      </c>
    </row>
    <row r="155" spans="1:7" x14ac:dyDescent="0.25">
      <c r="A155" t="s">
        <v>174</v>
      </c>
      <c r="B155" s="82">
        <v>45734</v>
      </c>
      <c r="C155" s="82" t="s">
        <v>177</v>
      </c>
      <c r="D155" s="83">
        <v>2025</v>
      </c>
      <c r="E155" s="84">
        <v>85.774600000000007</v>
      </c>
      <c r="F155" s="84">
        <v>66.787999999999997</v>
      </c>
      <c r="G155" s="85">
        <f t="shared" si="2"/>
        <v>0.28428160747439679</v>
      </c>
    </row>
    <row r="156" spans="1:7" x14ac:dyDescent="0.25">
      <c r="A156" t="s">
        <v>174</v>
      </c>
      <c r="B156" s="82">
        <v>45735</v>
      </c>
      <c r="C156" s="82" t="s">
        <v>177</v>
      </c>
      <c r="D156" s="83">
        <v>2025</v>
      </c>
      <c r="E156" s="84">
        <v>86.224599999999995</v>
      </c>
      <c r="F156" s="84">
        <v>66.787999999999997</v>
      </c>
      <c r="G156" s="85">
        <f t="shared" si="2"/>
        <v>0.2910193447924776</v>
      </c>
    </row>
    <row r="157" spans="1:7" x14ac:dyDescent="0.25">
      <c r="A157" t="s">
        <v>174</v>
      </c>
      <c r="B157" s="82">
        <v>45736</v>
      </c>
      <c r="C157" s="82" t="s">
        <v>177</v>
      </c>
      <c r="D157" s="83">
        <v>2025</v>
      </c>
      <c r="E157" s="84">
        <v>86.879599999999996</v>
      </c>
      <c r="F157" s="84">
        <v>67.634399999999999</v>
      </c>
      <c r="G157" s="85">
        <f t="shared" si="2"/>
        <v>0.28454750836852249</v>
      </c>
    </row>
    <row r="158" spans="1:7" x14ac:dyDescent="0.25">
      <c r="A158" t="s">
        <v>174</v>
      </c>
      <c r="B158" s="82">
        <v>45737</v>
      </c>
      <c r="C158" s="82" t="s">
        <v>177</v>
      </c>
      <c r="D158" s="83">
        <v>2025</v>
      </c>
      <c r="E158" s="84">
        <v>88.941400000000002</v>
      </c>
      <c r="F158" s="84">
        <v>67.8583</v>
      </c>
      <c r="G158" s="85">
        <f t="shared" si="2"/>
        <v>0.31069301765590951</v>
      </c>
    </row>
    <row r="159" spans="1:7" x14ac:dyDescent="0.25">
      <c r="A159" t="s">
        <v>174</v>
      </c>
      <c r="B159" s="82">
        <v>45738</v>
      </c>
      <c r="C159" s="82" t="s">
        <v>177</v>
      </c>
      <c r="D159" s="83">
        <v>2025</v>
      </c>
      <c r="E159" s="84">
        <v>88.213800000000006</v>
      </c>
      <c r="F159" s="84">
        <v>67.8583</v>
      </c>
      <c r="G159" s="85">
        <f t="shared" si="2"/>
        <v>0.29997067418429291</v>
      </c>
    </row>
    <row r="160" spans="1:7" x14ac:dyDescent="0.25">
      <c r="A160" t="s">
        <v>174</v>
      </c>
      <c r="B160" s="82">
        <v>45739</v>
      </c>
      <c r="C160" s="82" t="s">
        <v>177</v>
      </c>
      <c r="D160" s="83">
        <v>2025</v>
      </c>
      <c r="E160" s="84">
        <v>88.143600000000006</v>
      </c>
      <c r="F160" s="84">
        <v>67.8583</v>
      </c>
      <c r="G160" s="85">
        <f t="shared" si="2"/>
        <v>0.29893616550959878</v>
      </c>
    </row>
    <row r="161" spans="1:7" x14ac:dyDescent="0.25">
      <c r="A161" t="s">
        <v>174</v>
      </c>
      <c r="B161" s="82">
        <v>45740</v>
      </c>
      <c r="C161" s="82" t="s">
        <v>177</v>
      </c>
      <c r="D161" s="83">
        <v>2025</v>
      </c>
      <c r="E161" s="84">
        <v>92.555999999999997</v>
      </c>
      <c r="F161" s="84">
        <v>68.311599999999999</v>
      </c>
      <c r="G161" s="85">
        <f t="shared" si="2"/>
        <v>0.35490897592795356</v>
      </c>
    </row>
    <row r="162" spans="1:7" x14ac:dyDescent="0.25">
      <c r="A162" t="s">
        <v>174</v>
      </c>
      <c r="B162" s="82">
        <v>45741</v>
      </c>
      <c r="C162" s="82" t="s">
        <v>177</v>
      </c>
      <c r="D162" s="83">
        <v>2025</v>
      </c>
      <c r="E162" s="84">
        <v>98.119200000000006</v>
      </c>
      <c r="F162" s="84">
        <v>68.393600000000006</v>
      </c>
      <c r="G162" s="85">
        <f t="shared" si="2"/>
        <v>0.43462546203153507</v>
      </c>
    </row>
    <row r="163" spans="1:7" x14ac:dyDescent="0.25">
      <c r="A163" t="s">
        <v>178</v>
      </c>
      <c r="B163" s="86">
        <v>45742</v>
      </c>
      <c r="C163" s="86" t="s">
        <v>177</v>
      </c>
      <c r="D163" s="87">
        <v>2025</v>
      </c>
      <c r="E163" s="88">
        <v>104.9478</v>
      </c>
      <c r="F163" s="88">
        <v>68.699399999999997</v>
      </c>
      <c r="G163" s="89">
        <f t="shared" si="2"/>
        <v>0.52763779596328364</v>
      </c>
    </row>
    <row r="164" spans="1:7" x14ac:dyDescent="0.25">
      <c r="A164" t="s">
        <v>178</v>
      </c>
      <c r="B164" s="86">
        <v>45743</v>
      </c>
      <c r="C164" s="86" t="s">
        <v>177</v>
      </c>
      <c r="D164" s="87">
        <v>2025</v>
      </c>
      <c r="E164" s="88">
        <v>108.1298</v>
      </c>
      <c r="F164" s="88">
        <v>69.018799999999999</v>
      </c>
      <c r="G164" s="89">
        <f t="shared" si="2"/>
        <v>0.56667168945272883</v>
      </c>
    </row>
    <row r="165" spans="1:7" x14ac:dyDescent="0.25">
      <c r="A165" t="s">
        <v>178</v>
      </c>
      <c r="B165" s="86">
        <v>45744</v>
      </c>
      <c r="C165" s="86" t="s">
        <v>177</v>
      </c>
      <c r="D165" s="87">
        <v>2025</v>
      </c>
      <c r="E165" s="88">
        <v>99.116</v>
      </c>
      <c r="F165" s="88">
        <v>69.438699999999997</v>
      </c>
      <c r="G165" s="89">
        <f t="shared" si="2"/>
        <v>0.42738847357453413</v>
      </c>
    </row>
    <row r="166" spans="1:7" x14ac:dyDescent="0.25">
      <c r="A166" t="s">
        <v>178</v>
      </c>
      <c r="B166" s="86">
        <v>45745</v>
      </c>
      <c r="C166" s="86" t="s">
        <v>177</v>
      </c>
      <c r="D166" s="87">
        <v>2025</v>
      </c>
      <c r="E166" s="88">
        <v>97.327600000000004</v>
      </c>
      <c r="F166" s="88">
        <v>69.438699999999997</v>
      </c>
      <c r="G166" s="89">
        <f t="shared" si="2"/>
        <v>0.40163338311345131</v>
      </c>
    </row>
    <row r="167" spans="1:7" x14ac:dyDescent="0.25">
      <c r="A167" t="s">
        <v>178</v>
      </c>
      <c r="B167" s="86">
        <v>45746</v>
      </c>
      <c r="C167" s="86" t="s">
        <v>177</v>
      </c>
      <c r="D167" s="87">
        <v>2025</v>
      </c>
      <c r="E167" s="88">
        <v>97.649600000000007</v>
      </c>
      <c r="F167" s="88">
        <v>69.438699999999997</v>
      </c>
      <c r="G167" s="89">
        <f t="shared" si="2"/>
        <v>0.40627056670127759</v>
      </c>
    </row>
    <row r="168" spans="1:7" x14ac:dyDescent="0.25">
      <c r="A168" t="s">
        <v>178</v>
      </c>
      <c r="B168" s="86">
        <v>45747</v>
      </c>
      <c r="C168" s="86" t="s">
        <v>177</v>
      </c>
      <c r="D168" s="87">
        <v>2025</v>
      </c>
      <c r="E168" s="88">
        <v>100.14100000000001</v>
      </c>
      <c r="F168" s="88">
        <v>69.566400000000002</v>
      </c>
      <c r="G168" s="89">
        <f t="shared" si="2"/>
        <v>0.43950240345914127</v>
      </c>
    </row>
    <row r="169" spans="1:7" x14ac:dyDescent="0.25">
      <c r="A169" t="s">
        <v>178</v>
      </c>
      <c r="B169" s="86">
        <v>45748</v>
      </c>
      <c r="C169" s="86" t="s">
        <v>179</v>
      </c>
      <c r="D169" s="87">
        <v>2025</v>
      </c>
      <c r="E169" s="88">
        <v>103.0976</v>
      </c>
      <c r="F169" s="88">
        <v>69.775999999999996</v>
      </c>
      <c r="G169" s="89">
        <f t="shared" si="2"/>
        <v>0.47755102040816344</v>
      </c>
    </row>
    <row r="170" spans="1:7" x14ac:dyDescent="0.25">
      <c r="A170" t="s">
        <v>178</v>
      </c>
      <c r="B170" s="86">
        <v>45749</v>
      </c>
      <c r="C170" s="86" t="s">
        <v>179</v>
      </c>
      <c r="D170" s="87">
        <v>2025</v>
      </c>
      <c r="E170" s="88">
        <v>103.11360000000001</v>
      </c>
      <c r="F170" s="88">
        <v>70.014099999999999</v>
      </c>
      <c r="G170" s="89">
        <f t="shared" si="2"/>
        <v>0.47275477368130137</v>
      </c>
    </row>
    <row r="171" spans="1:7" x14ac:dyDescent="0.25">
      <c r="A171" t="s">
        <v>178</v>
      </c>
      <c r="B171" s="86">
        <v>45750</v>
      </c>
      <c r="C171" s="86" t="s">
        <v>179</v>
      </c>
      <c r="D171" s="87">
        <v>2025</v>
      </c>
      <c r="E171" s="88">
        <v>99.053399999999996</v>
      </c>
      <c r="F171" s="88">
        <v>70.249300000000005</v>
      </c>
      <c r="G171" s="89">
        <f t="shared" si="2"/>
        <v>0.41002686147762302</v>
      </c>
    </row>
    <row r="172" spans="1:7" x14ac:dyDescent="0.25">
      <c r="A172" t="s">
        <v>178</v>
      </c>
      <c r="B172" s="86">
        <v>45751</v>
      </c>
      <c r="C172" s="86" t="s">
        <v>179</v>
      </c>
      <c r="D172" s="87">
        <v>2025</v>
      </c>
      <c r="E172" s="88">
        <v>97.1892</v>
      </c>
      <c r="F172" s="88">
        <v>70.5852</v>
      </c>
      <c r="G172" s="89">
        <f t="shared" si="2"/>
        <v>0.37690620696689958</v>
      </c>
    </row>
    <row r="173" spans="1:7" x14ac:dyDescent="0.25">
      <c r="A173" t="s">
        <v>178</v>
      </c>
      <c r="B173" s="86">
        <v>45752</v>
      </c>
      <c r="C173" s="86" t="s">
        <v>179</v>
      </c>
      <c r="D173" s="87">
        <v>2025</v>
      </c>
      <c r="E173" s="88">
        <v>96.758600000000001</v>
      </c>
      <c r="F173" s="88">
        <v>70.5852</v>
      </c>
      <c r="G173" s="89">
        <f t="shared" si="2"/>
        <v>0.3708057779817866</v>
      </c>
    </row>
    <row r="174" spans="1:7" x14ac:dyDescent="0.25">
      <c r="A174" t="s">
        <v>178</v>
      </c>
      <c r="B174" s="86">
        <v>45753</v>
      </c>
      <c r="C174" s="86" t="s">
        <v>179</v>
      </c>
      <c r="D174" s="87">
        <v>2025</v>
      </c>
      <c r="E174" s="88">
        <v>96.605800000000002</v>
      </c>
      <c r="F174" s="88">
        <v>70.5852</v>
      </c>
      <c r="G174" s="89">
        <f t="shared" si="2"/>
        <v>0.3686410182304507</v>
      </c>
    </row>
    <row r="175" spans="1:7" x14ac:dyDescent="0.25">
      <c r="A175" t="s">
        <v>178</v>
      </c>
      <c r="B175" s="86">
        <v>45754</v>
      </c>
      <c r="C175" s="86" t="s">
        <v>179</v>
      </c>
      <c r="D175" s="87">
        <v>2025</v>
      </c>
      <c r="E175" s="88">
        <v>101.85939999999999</v>
      </c>
      <c r="F175" s="88">
        <v>72.185599999999994</v>
      </c>
      <c r="G175" s="89">
        <f t="shared" si="2"/>
        <v>0.41107644738008697</v>
      </c>
    </row>
    <row r="176" spans="1:7" x14ac:dyDescent="0.25">
      <c r="A176" t="s">
        <v>178</v>
      </c>
      <c r="B176" s="86">
        <v>45755</v>
      </c>
      <c r="C176" s="86" t="s">
        <v>179</v>
      </c>
      <c r="D176" s="87">
        <v>2025</v>
      </c>
      <c r="E176" s="88">
        <v>105.42100000000001</v>
      </c>
      <c r="F176" s="88">
        <v>73.357600000000005</v>
      </c>
      <c r="G176" s="89">
        <f t="shared" si="2"/>
        <v>0.43708354689902618</v>
      </c>
    </row>
    <row r="177" spans="1:7" x14ac:dyDescent="0.25">
      <c r="A177" t="s">
        <v>178</v>
      </c>
      <c r="B177" s="86">
        <v>45756</v>
      </c>
      <c r="C177" s="86" t="s">
        <v>179</v>
      </c>
      <c r="D177" s="87">
        <v>2025</v>
      </c>
      <c r="E177" s="88">
        <v>102.9748</v>
      </c>
      <c r="F177" s="88">
        <v>74.278700000000001</v>
      </c>
      <c r="G177" s="89">
        <f t="shared" si="2"/>
        <v>0.38633013232595625</v>
      </c>
    </row>
    <row r="178" spans="1:7" x14ac:dyDescent="0.25">
      <c r="A178" t="s">
        <v>178</v>
      </c>
      <c r="B178" s="86">
        <v>45757</v>
      </c>
      <c r="C178" s="86" t="s">
        <v>179</v>
      </c>
      <c r="D178" s="87">
        <v>2025</v>
      </c>
      <c r="E178" s="88">
        <v>100.3198</v>
      </c>
      <c r="F178" s="88">
        <v>75.802499999999995</v>
      </c>
      <c r="G178" s="89">
        <f t="shared" si="2"/>
        <v>0.32343656211866367</v>
      </c>
    </row>
    <row r="179" spans="1:7" x14ac:dyDescent="0.25">
      <c r="A179" t="s">
        <v>178</v>
      </c>
      <c r="B179" s="86">
        <v>45758</v>
      </c>
      <c r="C179" s="86" t="s">
        <v>179</v>
      </c>
      <c r="D179" s="87">
        <v>2025</v>
      </c>
      <c r="E179" s="88">
        <v>101.64960000000001</v>
      </c>
      <c r="F179" s="88">
        <v>77.264600000000002</v>
      </c>
      <c r="G179" s="89">
        <f t="shared" si="2"/>
        <v>0.31560378232722375</v>
      </c>
    </row>
    <row r="180" spans="1:7" x14ac:dyDescent="0.25">
      <c r="A180" t="s">
        <v>178</v>
      </c>
      <c r="B180" s="86">
        <v>45759</v>
      </c>
      <c r="C180" s="86" t="s">
        <v>179</v>
      </c>
      <c r="D180" s="87">
        <v>2025</v>
      </c>
      <c r="E180" s="88">
        <v>100.2136</v>
      </c>
      <c r="F180" s="88">
        <v>77.264600000000002</v>
      </c>
      <c r="G180" s="89">
        <f t="shared" si="2"/>
        <v>0.29701829815982994</v>
      </c>
    </row>
    <row r="181" spans="1:7" x14ac:dyDescent="0.25">
      <c r="A181" t="s">
        <v>178</v>
      </c>
      <c r="B181" s="86">
        <v>45760</v>
      </c>
      <c r="C181" s="86" t="s">
        <v>179</v>
      </c>
      <c r="D181" s="87">
        <v>2025</v>
      </c>
      <c r="E181" s="88">
        <v>100.27200000000001</v>
      </c>
      <c r="F181" s="88">
        <v>77.264600000000002</v>
      </c>
      <c r="G181" s="89">
        <f t="shared" si="2"/>
        <v>0.29777414236273803</v>
      </c>
    </row>
    <row r="182" spans="1:7" x14ac:dyDescent="0.25">
      <c r="A182" t="s">
        <v>178</v>
      </c>
      <c r="B182" s="86">
        <v>45761</v>
      </c>
      <c r="C182" s="86" t="s">
        <v>179</v>
      </c>
      <c r="D182" s="87">
        <v>2025</v>
      </c>
      <c r="E182" s="88">
        <v>100.5038</v>
      </c>
      <c r="F182" s="88">
        <v>78.363500000000002</v>
      </c>
      <c r="G182" s="89">
        <f t="shared" si="2"/>
        <v>0.28253332227376271</v>
      </c>
    </row>
    <row r="183" spans="1:7" x14ac:dyDescent="0.25">
      <c r="A183" t="s">
        <v>178</v>
      </c>
      <c r="B183" s="86">
        <v>45762</v>
      </c>
      <c r="C183" s="86" t="s">
        <v>179</v>
      </c>
      <c r="D183" s="87">
        <v>2025</v>
      </c>
      <c r="E183" s="88">
        <v>100.45</v>
      </c>
      <c r="F183" s="88">
        <v>78.591399999999993</v>
      </c>
      <c r="G183" s="89">
        <f t="shared" si="2"/>
        <v>0.27812966813162787</v>
      </c>
    </row>
    <row r="184" spans="1:7" x14ac:dyDescent="0.25">
      <c r="A184" t="s">
        <v>178</v>
      </c>
      <c r="B184" s="86">
        <v>45763</v>
      </c>
      <c r="C184" s="86" t="s">
        <v>179</v>
      </c>
      <c r="D184" s="87">
        <v>2025</v>
      </c>
      <c r="E184" s="88">
        <v>100.8032</v>
      </c>
      <c r="F184" s="88">
        <v>79.784400000000005</v>
      </c>
      <c r="G184" s="89">
        <f t="shared" si="2"/>
        <v>0.26344498423250662</v>
      </c>
    </row>
    <row r="185" spans="1:7" x14ac:dyDescent="0.25">
      <c r="A185" t="s">
        <v>178</v>
      </c>
      <c r="B185" s="86">
        <v>45764</v>
      </c>
      <c r="C185" s="86" t="s">
        <v>179</v>
      </c>
      <c r="D185" s="87">
        <v>2025</v>
      </c>
      <c r="E185" s="88">
        <v>101.3788</v>
      </c>
      <c r="F185" s="88">
        <v>79.784400000000005</v>
      </c>
      <c r="G185" s="89">
        <f t="shared" si="2"/>
        <v>0.27065942715618574</v>
      </c>
    </row>
    <row r="186" spans="1:7" x14ac:dyDescent="0.25">
      <c r="A186" t="s">
        <v>178</v>
      </c>
      <c r="B186" s="86">
        <v>45765</v>
      </c>
      <c r="C186" s="86" t="s">
        <v>179</v>
      </c>
      <c r="D186" s="87">
        <v>2025</v>
      </c>
      <c r="E186" s="88">
        <v>100.75320000000001</v>
      </c>
      <c r="F186" s="88">
        <v>79.784400000000005</v>
      </c>
      <c r="G186" s="89">
        <f t="shared" si="2"/>
        <v>0.26281829530584933</v>
      </c>
    </row>
    <row r="187" spans="1:7" x14ac:dyDescent="0.25">
      <c r="A187" t="s">
        <v>178</v>
      </c>
      <c r="B187" s="86">
        <v>45766</v>
      </c>
      <c r="C187" s="86" t="s">
        <v>179</v>
      </c>
      <c r="D187" s="87">
        <v>2025</v>
      </c>
      <c r="E187" s="88">
        <v>100.2978</v>
      </c>
      <c r="F187" s="88">
        <v>79.784400000000005</v>
      </c>
      <c r="G187" s="89">
        <f t="shared" si="2"/>
        <v>0.25711041256185396</v>
      </c>
    </row>
    <row r="188" spans="1:7" x14ac:dyDescent="0.25">
      <c r="A188" t="s">
        <v>178</v>
      </c>
      <c r="B188" s="86">
        <v>45767</v>
      </c>
      <c r="C188" s="86" t="s">
        <v>179</v>
      </c>
      <c r="D188" s="87">
        <v>2025</v>
      </c>
      <c r="E188" s="88">
        <v>100.67959999999999</v>
      </c>
      <c r="F188" s="88">
        <v>79.784400000000005</v>
      </c>
      <c r="G188" s="89">
        <f t="shared" si="2"/>
        <v>0.26189580920580946</v>
      </c>
    </row>
    <row r="189" spans="1:7" x14ac:dyDescent="0.25">
      <c r="A189" t="s">
        <v>178</v>
      </c>
      <c r="B189" s="86">
        <v>45768</v>
      </c>
      <c r="C189" s="86" t="s">
        <v>179</v>
      </c>
      <c r="D189" s="87">
        <v>2025</v>
      </c>
      <c r="E189" s="88">
        <v>102.756</v>
      </c>
      <c r="F189" s="88">
        <v>80.959800000000001</v>
      </c>
      <c r="G189" s="89">
        <f t="shared" si="2"/>
        <v>0.26922250302001727</v>
      </c>
    </row>
    <row r="190" spans="1:7" x14ac:dyDescent="0.25">
      <c r="A190" t="s">
        <v>178</v>
      </c>
      <c r="B190" s="86">
        <v>45769</v>
      </c>
      <c r="C190" s="86" t="s">
        <v>179</v>
      </c>
      <c r="D190" s="87">
        <v>2025</v>
      </c>
      <c r="E190" s="88">
        <v>105.7088</v>
      </c>
      <c r="F190" s="88">
        <v>81.761300000000006</v>
      </c>
      <c r="G190" s="89">
        <f t="shared" si="2"/>
        <v>0.2928952939838283</v>
      </c>
    </row>
    <row r="191" spans="1:7" x14ac:dyDescent="0.25">
      <c r="A191" t="s">
        <v>178</v>
      </c>
      <c r="B191" s="86">
        <v>45770</v>
      </c>
      <c r="C191" s="86" t="s">
        <v>179</v>
      </c>
      <c r="D191" s="87">
        <v>2025</v>
      </c>
      <c r="E191" s="88">
        <v>105.9196</v>
      </c>
      <c r="F191" s="88">
        <v>82.378799999999998</v>
      </c>
      <c r="G191" s="89">
        <f t="shared" si="2"/>
        <v>0.28576284189621615</v>
      </c>
    </row>
    <row r="192" spans="1:7" x14ac:dyDescent="0.25">
      <c r="A192" t="s">
        <v>178</v>
      </c>
      <c r="B192" s="86">
        <v>45771</v>
      </c>
      <c r="C192" s="86" t="s">
        <v>179</v>
      </c>
      <c r="D192" s="87">
        <v>2025</v>
      </c>
      <c r="E192" s="88">
        <v>105.2786</v>
      </c>
      <c r="F192" s="88">
        <v>83.418199999999999</v>
      </c>
      <c r="G192" s="89">
        <f t="shared" si="2"/>
        <v>0.26205792021405405</v>
      </c>
    </row>
    <row r="193" spans="1:7" x14ac:dyDescent="0.25">
      <c r="A193" t="s">
        <v>178</v>
      </c>
      <c r="B193" s="86">
        <v>45772</v>
      </c>
      <c r="C193" s="86" t="s">
        <v>179</v>
      </c>
      <c r="D193" s="87">
        <v>2025</v>
      </c>
      <c r="E193" s="88">
        <v>105.0258</v>
      </c>
      <c r="F193" s="88">
        <v>84.420400000000001</v>
      </c>
      <c r="G193" s="89">
        <f t="shared" si="2"/>
        <v>0.24408081458983855</v>
      </c>
    </row>
    <row r="194" spans="1:7" x14ac:dyDescent="0.25">
      <c r="A194" t="s">
        <v>178</v>
      </c>
      <c r="B194" s="86">
        <v>45773</v>
      </c>
      <c r="C194" s="86" t="s">
        <v>179</v>
      </c>
      <c r="D194" s="87">
        <v>2025</v>
      </c>
      <c r="E194" s="88">
        <v>103.9984</v>
      </c>
      <c r="F194" s="88">
        <v>84.420400000000001</v>
      </c>
      <c r="G194" s="89">
        <f t="shared" si="2"/>
        <v>0.23191077038251429</v>
      </c>
    </row>
    <row r="195" spans="1:7" x14ac:dyDescent="0.25">
      <c r="A195" t="s">
        <v>178</v>
      </c>
      <c r="B195" s="86">
        <v>45774</v>
      </c>
      <c r="C195" s="86" t="s">
        <v>179</v>
      </c>
      <c r="D195" s="87">
        <v>2025</v>
      </c>
      <c r="E195" s="88">
        <v>104.3366</v>
      </c>
      <c r="F195" s="88">
        <v>84.420400000000001</v>
      </c>
      <c r="G195" s="89">
        <f t="shared" ref="G195:G258" si="3">E195/F195-1</f>
        <v>0.23591691107836499</v>
      </c>
    </row>
    <row r="196" spans="1:7" x14ac:dyDescent="0.25">
      <c r="A196" t="s">
        <v>178</v>
      </c>
      <c r="B196" s="86">
        <v>45775</v>
      </c>
      <c r="C196" s="86" t="s">
        <v>179</v>
      </c>
      <c r="D196" s="87">
        <v>2025</v>
      </c>
      <c r="E196" s="88">
        <v>108.8164</v>
      </c>
      <c r="F196" s="88">
        <v>86.1143</v>
      </c>
      <c r="G196" s="89">
        <f t="shared" si="3"/>
        <v>0.26362752759994557</v>
      </c>
    </row>
    <row r="197" spans="1:7" x14ac:dyDescent="0.25">
      <c r="A197" t="s">
        <v>178</v>
      </c>
      <c r="B197" s="86">
        <v>45776</v>
      </c>
      <c r="C197" s="86" t="s">
        <v>179</v>
      </c>
      <c r="D197" s="87">
        <v>2025</v>
      </c>
      <c r="E197" s="88">
        <v>111.14400000000001</v>
      </c>
      <c r="F197" s="88">
        <v>86.656400000000005</v>
      </c>
      <c r="G197" s="89">
        <f t="shared" si="3"/>
        <v>0.2825827059513204</v>
      </c>
    </row>
    <row r="198" spans="1:7" x14ac:dyDescent="0.25">
      <c r="A198" t="s">
        <v>178</v>
      </c>
      <c r="B198" s="86">
        <v>45777</v>
      </c>
      <c r="C198" s="86" t="s">
        <v>179</v>
      </c>
      <c r="D198" s="87">
        <v>2025</v>
      </c>
      <c r="E198" s="88">
        <v>108.3784</v>
      </c>
      <c r="F198" s="88">
        <v>86.846500000000006</v>
      </c>
      <c r="G198" s="89">
        <f t="shared" si="3"/>
        <v>0.24793054412094895</v>
      </c>
    </row>
    <row r="199" spans="1:7" x14ac:dyDescent="0.25">
      <c r="A199" t="s">
        <v>178</v>
      </c>
      <c r="B199" s="86">
        <v>45778</v>
      </c>
      <c r="C199" s="86" t="s">
        <v>180</v>
      </c>
      <c r="D199" s="87">
        <v>2025</v>
      </c>
      <c r="E199" s="88">
        <v>109.0992</v>
      </c>
      <c r="F199" s="88">
        <v>86.846500000000006</v>
      </c>
      <c r="G199" s="89">
        <f t="shared" si="3"/>
        <v>0.25623024531788841</v>
      </c>
    </row>
    <row r="200" spans="1:7" x14ac:dyDescent="0.25">
      <c r="A200" t="s">
        <v>178</v>
      </c>
      <c r="B200" s="86">
        <v>45779</v>
      </c>
      <c r="C200" s="86" t="s">
        <v>180</v>
      </c>
      <c r="D200" s="87">
        <v>2025</v>
      </c>
      <c r="E200" s="88">
        <v>108.9376</v>
      </c>
      <c r="F200" s="88">
        <v>87.568100000000001</v>
      </c>
      <c r="G200" s="89">
        <f t="shared" si="3"/>
        <v>0.24403292979977875</v>
      </c>
    </row>
    <row r="201" spans="1:7" x14ac:dyDescent="0.25">
      <c r="A201" t="s">
        <v>178</v>
      </c>
      <c r="B201" s="86">
        <v>45780</v>
      </c>
      <c r="C201" s="86" t="s">
        <v>180</v>
      </c>
      <c r="D201" s="87">
        <v>2025</v>
      </c>
      <c r="E201" s="88">
        <v>108.6618</v>
      </c>
      <c r="F201" s="88">
        <v>87.568100000000001</v>
      </c>
      <c r="G201" s="89">
        <f t="shared" si="3"/>
        <v>0.2408833810485782</v>
      </c>
    </row>
    <row r="202" spans="1:7" x14ac:dyDescent="0.25">
      <c r="A202" t="s">
        <v>178</v>
      </c>
      <c r="B202" s="86">
        <v>45781</v>
      </c>
      <c r="C202" s="86" t="s">
        <v>180</v>
      </c>
      <c r="D202" s="87">
        <v>2025</v>
      </c>
      <c r="E202" s="88">
        <v>109.19</v>
      </c>
      <c r="F202" s="88">
        <v>87.568100000000001</v>
      </c>
      <c r="G202" s="89">
        <f t="shared" si="3"/>
        <v>0.24691525795352409</v>
      </c>
    </row>
    <row r="203" spans="1:7" x14ac:dyDescent="0.25">
      <c r="A203" t="s">
        <v>178</v>
      </c>
      <c r="B203" s="86">
        <v>45782</v>
      </c>
      <c r="C203" s="86" t="s">
        <v>180</v>
      </c>
      <c r="D203" s="87">
        <v>2025</v>
      </c>
      <c r="E203" s="88">
        <v>114.8456</v>
      </c>
      <c r="F203" s="88">
        <v>88.640500000000003</v>
      </c>
      <c r="G203" s="89">
        <f t="shared" si="3"/>
        <v>0.2956334858219436</v>
      </c>
    </row>
    <row r="204" spans="1:7" x14ac:dyDescent="0.25">
      <c r="A204" t="s">
        <v>178</v>
      </c>
      <c r="B204" s="86">
        <v>45783</v>
      </c>
      <c r="C204" s="86" t="s">
        <v>180</v>
      </c>
      <c r="D204" s="87">
        <v>2025</v>
      </c>
      <c r="E204" s="88">
        <v>114.3818</v>
      </c>
      <c r="F204" s="88">
        <v>88.722399999999993</v>
      </c>
      <c r="G204" s="89">
        <f t="shared" si="3"/>
        <v>0.28920994021802837</v>
      </c>
    </row>
    <row r="205" spans="1:7" x14ac:dyDescent="0.25">
      <c r="A205" t="s">
        <v>178</v>
      </c>
      <c r="B205" s="86">
        <v>45784</v>
      </c>
      <c r="C205" s="86" t="s">
        <v>180</v>
      </c>
      <c r="D205" s="87">
        <v>2025</v>
      </c>
      <c r="E205" s="88">
        <v>115.5078</v>
      </c>
      <c r="F205" s="88">
        <v>91.211299999999994</v>
      </c>
      <c r="G205" s="89">
        <f t="shared" si="3"/>
        <v>0.26637598630871406</v>
      </c>
    </row>
    <row r="206" spans="1:7" x14ac:dyDescent="0.25">
      <c r="A206" t="s">
        <v>178</v>
      </c>
      <c r="B206" s="86">
        <v>45785</v>
      </c>
      <c r="C206" s="86" t="s">
        <v>180</v>
      </c>
      <c r="D206" s="87">
        <v>2025</v>
      </c>
      <c r="E206" s="88">
        <v>116.854</v>
      </c>
      <c r="F206" s="88">
        <v>91.916499999999999</v>
      </c>
      <c r="G206" s="89">
        <f t="shared" si="3"/>
        <v>0.27130602231373047</v>
      </c>
    </row>
    <row r="207" spans="1:7" x14ac:dyDescent="0.25">
      <c r="A207" t="s">
        <v>178</v>
      </c>
      <c r="B207" s="86">
        <v>45786</v>
      </c>
      <c r="C207" s="86" t="s">
        <v>180</v>
      </c>
      <c r="D207" s="87">
        <v>2025</v>
      </c>
      <c r="E207" s="88">
        <v>114.1618</v>
      </c>
      <c r="F207" s="88">
        <v>92.831000000000003</v>
      </c>
      <c r="G207" s="89">
        <f t="shared" si="3"/>
        <v>0.22978099988150502</v>
      </c>
    </row>
    <row r="208" spans="1:7" x14ac:dyDescent="0.25">
      <c r="A208" t="s">
        <v>178</v>
      </c>
      <c r="B208" s="86">
        <v>45787</v>
      </c>
      <c r="C208" s="86" t="s">
        <v>180</v>
      </c>
      <c r="D208" s="87">
        <v>2025</v>
      </c>
      <c r="E208" s="88">
        <v>114.498</v>
      </c>
      <c r="F208" s="88">
        <v>92.831000000000003</v>
      </c>
      <c r="G208" s="89">
        <f t="shared" si="3"/>
        <v>0.23340263489567059</v>
      </c>
    </row>
    <row r="209" spans="1:7" x14ac:dyDescent="0.25">
      <c r="A209" t="s">
        <v>178</v>
      </c>
      <c r="B209" s="86">
        <v>45788</v>
      </c>
      <c r="C209" s="86" t="s">
        <v>180</v>
      </c>
      <c r="D209" s="87">
        <v>2025</v>
      </c>
      <c r="E209" s="88">
        <v>113.07</v>
      </c>
      <c r="F209" s="88">
        <v>92.831000000000003</v>
      </c>
      <c r="G209" s="89">
        <f t="shared" si="3"/>
        <v>0.21801984250950635</v>
      </c>
    </row>
    <row r="210" spans="1:7" x14ac:dyDescent="0.25">
      <c r="A210" t="s">
        <v>178</v>
      </c>
      <c r="B210" s="86">
        <v>45789</v>
      </c>
      <c r="C210" s="86" t="s">
        <v>180</v>
      </c>
      <c r="D210" s="87">
        <v>2025</v>
      </c>
      <c r="E210" s="88">
        <v>117.066</v>
      </c>
      <c r="F210" s="88">
        <v>93.049499999999995</v>
      </c>
      <c r="G210" s="89">
        <f t="shared" si="3"/>
        <v>0.25810455725178549</v>
      </c>
    </row>
    <row r="211" spans="1:7" x14ac:dyDescent="0.25">
      <c r="A211" t="s">
        <v>178</v>
      </c>
      <c r="B211" s="86">
        <v>45790</v>
      </c>
      <c r="C211" s="86" t="s">
        <v>180</v>
      </c>
      <c r="D211" s="87">
        <v>2025</v>
      </c>
      <c r="E211" s="88">
        <v>119.81399999999999</v>
      </c>
      <c r="F211" s="88">
        <v>93.062299999999993</v>
      </c>
      <c r="G211" s="89">
        <f t="shared" si="3"/>
        <v>0.28746012080079697</v>
      </c>
    </row>
    <row r="212" spans="1:7" x14ac:dyDescent="0.25">
      <c r="A212" t="s">
        <v>178</v>
      </c>
      <c r="B212" s="86">
        <v>45791</v>
      </c>
      <c r="C212" s="86" t="s">
        <v>180</v>
      </c>
      <c r="D212" s="87">
        <v>2025</v>
      </c>
      <c r="E212" s="88">
        <v>118.01600000000001</v>
      </c>
      <c r="F212" s="88">
        <v>93.579599999999999</v>
      </c>
      <c r="G212" s="89">
        <f t="shared" si="3"/>
        <v>0.26112956242599883</v>
      </c>
    </row>
    <row r="213" spans="1:7" x14ac:dyDescent="0.25">
      <c r="A213" t="s">
        <v>178</v>
      </c>
      <c r="B213" s="86">
        <v>45792</v>
      </c>
      <c r="C213" s="86" t="s">
        <v>180</v>
      </c>
      <c r="D213" s="87">
        <v>2025</v>
      </c>
      <c r="E213" s="88">
        <v>118.99</v>
      </c>
      <c r="F213" s="88">
        <v>94.155699999999996</v>
      </c>
      <c r="G213" s="89">
        <f t="shared" si="3"/>
        <v>0.26375779692573054</v>
      </c>
    </row>
    <row r="214" spans="1:7" x14ac:dyDescent="0.25">
      <c r="A214" t="s">
        <v>178</v>
      </c>
      <c r="B214" s="86">
        <v>45793</v>
      </c>
      <c r="C214" s="86" t="s">
        <v>180</v>
      </c>
      <c r="D214" s="87">
        <v>2025</v>
      </c>
      <c r="E214" s="88">
        <v>118.9576</v>
      </c>
      <c r="F214" s="88">
        <v>94.324100000000001</v>
      </c>
      <c r="G214" s="89">
        <f t="shared" si="3"/>
        <v>0.26115807094899401</v>
      </c>
    </row>
    <row r="215" spans="1:7" x14ac:dyDescent="0.25">
      <c r="A215" t="s">
        <v>178</v>
      </c>
      <c r="B215" s="86">
        <v>45794</v>
      </c>
      <c r="C215" s="86" t="s">
        <v>180</v>
      </c>
      <c r="D215" s="87">
        <v>2025</v>
      </c>
      <c r="E215" s="88">
        <v>119.50320000000001</v>
      </c>
      <c r="F215" s="88">
        <v>94.324100000000001</v>
      </c>
      <c r="G215" s="89">
        <f t="shared" si="3"/>
        <v>0.26694238269964954</v>
      </c>
    </row>
    <row r="216" spans="1:7" x14ac:dyDescent="0.25">
      <c r="A216" t="s">
        <v>178</v>
      </c>
      <c r="B216" s="86">
        <v>45795</v>
      </c>
      <c r="C216" s="86" t="s">
        <v>180</v>
      </c>
      <c r="D216" s="87">
        <v>2025</v>
      </c>
      <c r="E216" s="88">
        <v>121.4436</v>
      </c>
      <c r="F216" s="88">
        <v>94.324100000000001</v>
      </c>
      <c r="G216" s="89">
        <f t="shared" si="3"/>
        <v>0.28751400755480305</v>
      </c>
    </row>
    <row r="217" spans="1:7" x14ac:dyDescent="0.25">
      <c r="A217" t="s">
        <v>178</v>
      </c>
      <c r="B217" s="86">
        <v>45796</v>
      </c>
      <c r="C217" s="86" t="s">
        <v>180</v>
      </c>
      <c r="D217" s="87">
        <v>2025</v>
      </c>
      <c r="E217" s="88">
        <v>130.41560000000001</v>
      </c>
      <c r="F217" s="88">
        <v>94.763000000000005</v>
      </c>
      <c r="G217" s="89">
        <f t="shared" si="3"/>
        <v>0.37622911895993161</v>
      </c>
    </row>
    <row r="218" spans="1:7" x14ac:dyDescent="0.25">
      <c r="A218" t="s">
        <v>178</v>
      </c>
      <c r="B218" s="86">
        <v>45797</v>
      </c>
      <c r="C218" s="86" t="s">
        <v>180</v>
      </c>
      <c r="D218" s="87">
        <v>2025</v>
      </c>
      <c r="E218" s="88">
        <v>131.73400000000001</v>
      </c>
      <c r="F218" s="88">
        <v>94.802400000000006</v>
      </c>
      <c r="G218" s="89">
        <f t="shared" si="3"/>
        <v>0.38956397728327552</v>
      </c>
    </row>
    <row r="219" spans="1:7" x14ac:dyDescent="0.25">
      <c r="A219" t="s">
        <v>178</v>
      </c>
      <c r="B219" s="86">
        <v>45798</v>
      </c>
      <c r="C219" s="86" t="s">
        <v>180</v>
      </c>
      <c r="D219" s="87">
        <v>2025</v>
      </c>
      <c r="E219" s="88">
        <v>131.97239999999999</v>
      </c>
      <c r="F219" s="88">
        <v>94.855599999999995</v>
      </c>
      <c r="G219" s="89">
        <f t="shared" si="3"/>
        <v>0.39129793074947594</v>
      </c>
    </row>
    <row r="220" spans="1:7" x14ac:dyDescent="0.25">
      <c r="A220" t="s">
        <v>178</v>
      </c>
      <c r="B220" s="86">
        <v>45799</v>
      </c>
      <c r="C220" s="86" t="s">
        <v>180</v>
      </c>
      <c r="D220" s="87">
        <v>2025</v>
      </c>
      <c r="E220" s="88">
        <v>134.4778</v>
      </c>
      <c r="F220" s="88">
        <v>94.965199999999996</v>
      </c>
      <c r="G220" s="89">
        <f t="shared" si="3"/>
        <v>0.41607451992940581</v>
      </c>
    </row>
    <row r="221" spans="1:7" x14ac:dyDescent="0.25">
      <c r="A221" t="s">
        <v>178</v>
      </c>
      <c r="B221" s="86">
        <v>45800</v>
      </c>
      <c r="C221" s="86" t="s">
        <v>180</v>
      </c>
      <c r="D221" s="87">
        <v>2025</v>
      </c>
      <c r="E221" s="88">
        <v>133.01400000000001</v>
      </c>
      <c r="F221" s="88">
        <v>95.018900000000002</v>
      </c>
      <c r="G221" s="89">
        <f t="shared" si="3"/>
        <v>0.39986886819359113</v>
      </c>
    </row>
    <row r="222" spans="1:7" x14ac:dyDescent="0.25">
      <c r="A222" t="s">
        <v>178</v>
      </c>
      <c r="B222" s="86">
        <v>45801</v>
      </c>
      <c r="C222" s="86" t="s">
        <v>180</v>
      </c>
      <c r="D222" s="87">
        <v>2025</v>
      </c>
      <c r="E222" s="88">
        <v>132.6054</v>
      </c>
      <c r="F222" s="88">
        <v>95.018900000000002</v>
      </c>
      <c r="G222" s="89">
        <f t="shared" si="3"/>
        <v>0.39556867107491245</v>
      </c>
    </row>
    <row r="223" spans="1:7" x14ac:dyDescent="0.25">
      <c r="A223" t="s">
        <v>178</v>
      </c>
      <c r="B223" s="86">
        <v>45802</v>
      </c>
      <c r="C223" s="86" t="s">
        <v>180</v>
      </c>
      <c r="D223" s="87">
        <v>2025</v>
      </c>
      <c r="E223" s="88">
        <v>134.13059999999999</v>
      </c>
      <c r="F223" s="88">
        <v>95.018900000000002</v>
      </c>
      <c r="G223" s="89">
        <f t="shared" si="3"/>
        <v>0.41162021450469322</v>
      </c>
    </row>
    <row r="224" spans="1:7" x14ac:dyDescent="0.25">
      <c r="A224" t="s">
        <v>178</v>
      </c>
      <c r="B224" s="86">
        <v>45803</v>
      </c>
      <c r="C224" s="86" t="s">
        <v>180</v>
      </c>
      <c r="D224" s="87">
        <v>2025</v>
      </c>
      <c r="E224" s="88">
        <v>137.40940000000001</v>
      </c>
      <c r="F224" s="88">
        <v>95.084000000000003</v>
      </c>
      <c r="G224" s="89">
        <f t="shared" si="3"/>
        <v>0.44513693155525647</v>
      </c>
    </row>
    <row r="225" spans="1:7" x14ac:dyDescent="0.25">
      <c r="A225" t="s">
        <v>178</v>
      </c>
      <c r="B225" s="86">
        <v>45804</v>
      </c>
      <c r="C225" s="86" t="s">
        <v>180</v>
      </c>
      <c r="D225" s="87">
        <v>2025</v>
      </c>
      <c r="E225" s="88">
        <v>146.32980000000001</v>
      </c>
      <c r="F225" s="88">
        <v>95.238699999999994</v>
      </c>
      <c r="G225" s="89">
        <f t="shared" si="3"/>
        <v>0.53645314352253881</v>
      </c>
    </row>
    <row r="226" spans="1:7" x14ac:dyDescent="0.25">
      <c r="A226" t="s">
        <v>178</v>
      </c>
      <c r="B226" s="86">
        <v>45805</v>
      </c>
      <c r="C226" s="86" t="s">
        <v>180</v>
      </c>
      <c r="D226" s="87">
        <v>2025</v>
      </c>
      <c r="E226" s="88">
        <v>140.9708</v>
      </c>
      <c r="F226" s="88">
        <v>95.805199999999999</v>
      </c>
      <c r="G226" s="89">
        <f t="shared" si="3"/>
        <v>0.47143161331535244</v>
      </c>
    </row>
    <row r="227" spans="1:7" x14ac:dyDescent="0.25">
      <c r="A227" t="s">
        <v>178</v>
      </c>
      <c r="B227" s="86">
        <v>45806</v>
      </c>
      <c r="C227" s="86" t="s">
        <v>180</v>
      </c>
      <c r="D227" s="87">
        <v>2025</v>
      </c>
      <c r="E227" s="88">
        <v>136.76259999999999</v>
      </c>
      <c r="F227" s="88">
        <v>96.530299999999997</v>
      </c>
      <c r="G227" s="89">
        <f t="shared" si="3"/>
        <v>0.4167841599995028</v>
      </c>
    </row>
    <row r="228" spans="1:7" x14ac:dyDescent="0.25">
      <c r="A228" t="s">
        <v>178</v>
      </c>
      <c r="B228" s="86">
        <v>45807</v>
      </c>
      <c r="C228" s="86" t="s">
        <v>180</v>
      </c>
      <c r="D228" s="87">
        <v>2025</v>
      </c>
      <c r="E228" s="88">
        <v>124.854</v>
      </c>
      <c r="F228" s="88">
        <v>96.857699999999994</v>
      </c>
      <c r="G228" s="89">
        <f t="shared" si="3"/>
        <v>0.2890456824805876</v>
      </c>
    </row>
    <row r="229" spans="1:7" x14ac:dyDescent="0.25">
      <c r="A229" t="s">
        <v>178</v>
      </c>
      <c r="B229" s="86">
        <v>45808</v>
      </c>
      <c r="C229" s="86" t="s">
        <v>180</v>
      </c>
      <c r="D229" s="87">
        <v>2025</v>
      </c>
      <c r="E229" s="88">
        <v>127.6962</v>
      </c>
      <c r="F229" s="88">
        <v>96.857699999999994</v>
      </c>
      <c r="G229" s="89">
        <f t="shared" si="3"/>
        <v>0.31838976147482345</v>
      </c>
    </row>
    <row r="230" spans="1:7" x14ac:dyDescent="0.25">
      <c r="A230" t="s">
        <v>178</v>
      </c>
      <c r="B230" s="86">
        <v>45809</v>
      </c>
      <c r="C230" s="86" t="s">
        <v>181</v>
      </c>
      <c r="D230" s="87">
        <v>2025</v>
      </c>
      <c r="E230" s="88">
        <v>129.85980000000001</v>
      </c>
      <c r="F230" s="88">
        <v>96.857699999999994</v>
      </c>
      <c r="G230" s="89">
        <f t="shared" si="3"/>
        <v>0.34072768607968196</v>
      </c>
    </row>
    <row r="231" spans="1:7" x14ac:dyDescent="0.25">
      <c r="A231" t="s">
        <v>178</v>
      </c>
      <c r="B231" s="86">
        <v>45810</v>
      </c>
      <c r="C231" s="86" t="s">
        <v>181</v>
      </c>
      <c r="D231" s="87">
        <v>2025</v>
      </c>
      <c r="E231" s="88">
        <v>125.727</v>
      </c>
      <c r="F231" s="88">
        <v>96.857699999999994</v>
      </c>
      <c r="G231" s="89">
        <f t="shared" si="3"/>
        <v>0.29805890497090082</v>
      </c>
    </row>
    <row r="232" spans="1:7" x14ac:dyDescent="0.25">
      <c r="A232" t="s">
        <v>178</v>
      </c>
      <c r="B232" s="86">
        <v>45811</v>
      </c>
      <c r="C232" s="86" t="s">
        <v>181</v>
      </c>
      <c r="D232" s="87">
        <v>2025</v>
      </c>
      <c r="E232" s="88">
        <v>130.53960000000001</v>
      </c>
      <c r="F232" s="88">
        <v>97.312600000000003</v>
      </c>
      <c r="G232" s="89">
        <f t="shared" si="3"/>
        <v>0.34144602035091043</v>
      </c>
    </row>
    <row r="233" spans="1:7" x14ac:dyDescent="0.25">
      <c r="A233" t="s">
        <v>178</v>
      </c>
      <c r="B233" s="86">
        <v>45812</v>
      </c>
      <c r="C233" s="86" t="s">
        <v>181</v>
      </c>
      <c r="D233" s="87">
        <v>2025</v>
      </c>
      <c r="E233" s="88">
        <v>135.7978</v>
      </c>
      <c r="F233" s="88">
        <v>97.419399999999996</v>
      </c>
      <c r="G233" s="89">
        <f t="shared" si="3"/>
        <v>0.3939502809502009</v>
      </c>
    </row>
    <row r="234" spans="1:7" x14ac:dyDescent="0.25">
      <c r="A234" t="s">
        <v>178</v>
      </c>
      <c r="B234" s="86">
        <v>45813</v>
      </c>
      <c r="C234" s="86" t="s">
        <v>181</v>
      </c>
      <c r="D234" s="87">
        <v>2025</v>
      </c>
      <c r="E234" s="88">
        <v>132.90960000000001</v>
      </c>
      <c r="F234" s="88">
        <v>97.903099999999995</v>
      </c>
      <c r="G234" s="89">
        <f t="shared" si="3"/>
        <v>0.35756273294716934</v>
      </c>
    </row>
    <row r="235" spans="1:7" x14ac:dyDescent="0.25">
      <c r="A235" t="s">
        <v>178</v>
      </c>
      <c r="B235" s="86">
        <v>45814</v>
      </c>
      <c r="C235" s="86" t="s">
        <v>181</v>
      </c>
      <c r="D235" s="87">
        <v>2025</v>
      </c>
      <c r="E235" s="88">
        <v>131.428</v>
      </c>
      <c r="F235" s="88">
        <v>98.513199999999998</v>
      </c>
      <c r="G235" s="89">
        <f t="shared" si="3"/>
        <v>0.33411563120475218</v>
      </c>
    </row>
    <row r="236" spans="1:7" x14ac:dyDescent="0.25">
      <c r="A236" t="s">
        <v>178</v>
      </c>
      <c r="B236" s="86">
        <v>45815</v>
      </c>
      <c r="C236" s="86" t="s">
        <v>181</v>
      </c>
      <c r="D236" s="87">
        <v>2025</v>
      </c>
      <c r="E236" s="88">
        <v>130.43440000000001</v>
      </c>
      <c r="F236" s="88">
        <v>98.513199999999998</v>
      </c>
      <c r="G236" s="89">
        <f t="shared" si="3"/>
        <v>0.32402967318085296</v>
      </c>
    </row>
    <row r="237" spans="1:7" x14ac:dyDescent="0.25">
      <c r="A237" t="s">
        <v>178</v>
      </c>
      <c r="B237" s="86">
        <v>45816</v>
      </c>
      <c r="C237" s="86" t="s">
        <v>181</v>
      </c>
      <c r="D237" s="87">
        <v>2025</v>
      </c>
      <c r="E237" s="88">
        <v>129.99799999999999</v>
      </c>
      <c r="F237" s="88">
        <v>98.513199999999998</v>
      </c>
      <c r="G237" s="89">
        <f t="shared" si="3"/>
        <v>0.31959980997470394</v>
      </c>
    </row>
    <row r="238" spans="1:7" x14ac:dyDescent="0.25">
      <c r="A238" t="s">
        <v>178</v>
      </c>
      <c r="B238" s="86">
        <v>45817</v>
      </c>
      <c r="C238" s="86" t="s">
        <v>181</v>
      </c>
      <c r="D238" s="87">
        <v>2025</v>
      </c>
      <c r="E238" s="88">
        <v>133.85400000000001</v>
      </c>
      <c r="F238" s="88">
        <v>99.0916</v>
      </c>
      <c r="G238" s="89">
        <f t="shared" si="3"/>
        <v>0.35081076498916164</v>
      </c>
    </row>
    <row r="239" spans="1:7" x14ac:dyDescent="0.25">
      <c r="A239" t="s">
        <v>178</v>
      </c>
      <c r="B239" s="86">
        <v>45818</v>
      </c>
      <c r="C239" s="86" t="s">
        <v>181</v>
      </c>
      <c r="D239" s="87">
        <v>2025</v>
      </c>
      <c r="E239" s="88">
        <v>135.001</v>
      </c>
      <c r="F239" s="88">
        <v>99.124700000000004</v>
      </c>
      <c r="G239" s="89">
        <f t="shared" si="3"/>
        <v>0.36193098188443451</v>
      </c>
    </row>
    <row r="240" spans="1:7" x14ac:dyDescent="0.25">
      <c r="A240" t="s">
        <v>178</v>
      </c>
      <c r="B240" s="86">
        <v>45819</v>
      </c>
      <c r="C240" s="86" t="s">
        <v>181</v>
      </c>
      <c r="D240" s="87">
        <v>2025</v>
      </c>
      <c r="E240" s="88">
        <v>134.51560000000001</v>
      </c>
      <c r="F240" s="88">
        <v>99.698300000000003</v>
      </c>
      <c r="G240" s="89">
        <f t="shared" si="3"/>
        <v>0.3492266167025917</v>
      </c>
    </row>
    <row r="241" spans="1:7" x14ac:dyDescent="0.25">
      <c r="A241" t="s">
        <v>178</v>
      </c>
      <c r="B241" s="86">
        <v>45820</v>
      </c>
      <c r="C241" s="86" t="s">
        <v>181</v>
      </c>
      <c r="D241" s="87">
        <v>2025</v>
      </c>
      <c r="E241" s="88">
        <v>133.77799999999999</v>
      </c>
      <c r="F241" s="88">
        <v>100.3396</v>
      </c>
      <c r="G241" s="89">
        <f t="shared" si="3"/>
        <v>0.33325227527317214</v>
      </c>
    </row>
    <row r="242" spans="1:7" x14ac:dyDescent="0.25">
      <c r="A242" t="s">
        <v>178</v>
      </c>
      <c r="B242" s="86">
        <v>45821</v>
      </c>
      <c r="C242" s="86" t="s">
        <v>181</v>
      </c>
      <c r="D242" s="87">
        <v>2025</v>
      </c>
      <c r="E242" s="88">
        <v>133.3948</v>
      </c>
      <c r="F242" s="88">
        <v>101.0822</v>
      </c>
      <c r="G242" s="89">
        <f t="shared" si="3"/>
        <v>0.31966656839680985</v>
      </c>
    </row>
    <row r="243" spans="1:7" x14ac:dyDescent="0.25">
      <c r="A243" t="s">
        <v>178</v>
      </c>
      <c r="B243" s="86">
        <v>45822</v>
      </c>
      <c r="C243" s="86" t="s">
        <v>181</v>
      </c>
      <c r="D243" s="87">
        <v>2025</v>
      </c>
      <c r="E243" s="88">
        <v>132.1208</v>
      </c>
      <c r="F243" s="88">
        <v>101.0822</v>
      </c>
      <c r="G243" s="89">
        <f t="shared" si="3"/>
        <v>0.30706296459712989</v>
      </c>
    </row>
    <row r="244" spans="1:7" x14ac:dyDescent="0.25">
      <c r="A244" t="s">
        <v>178</v>
      </c>
      <c r="B244" s="86">
        <v>45823</v>
      </c>
      <c r="C244" s="86" t="s">
        <v>181</v>
      </c>
      <c r="D244" s="87">
        <v>2025</v>
      </c>
      <c r="E244" s="88">
        <v>133.7372</v>
      </c>
      <c r="F244" s="88">
        <v>101.0822</v>
      </c>
      <c r="G244" s="89">
        <f t="shared" si="3"/>
        <v>0.32305391057970634</v>
      </c>
    </row>
    <row r="245" spans="1:7" x14ac:dyDescent="0.25">
      <c r="A245" t="s">
        <v>178</v>
      </c>
      <c r="B245" s="86">
        <v>45824</v>
      </c>
      <c r="C245" s="86" t="s">
        <v>181</v>
      </c>
      <c r="D245" s="87">
        <v>2025</v>
      </c>
      <c r="E245" s="88">
        <v>134.01900000000001</v>
      </c>
      <c r="F245" s="88">
        <v>101.0822</v>
      </c>
      <c r="G245" s="89">
        <f t="shared" si="3"/>
        <v>0.32584174068233573</v>
      </c>
    </row>
    <row r="246" spans="1:7" x14ac:dyDescent="0.25">
      <c r="A246" t="s">
        <v>178</v>
      </c>
      <c r="B246" s="86">
        <v>45825</v>
      </c>
      <c r="C246" s="86" t="s">
        <v>181</v>
      </c>
      <c r="D246" s="87">
        <v>2025</v>
      </c>
      <c r="E246" s="88">
        <v>137.40360000000001</v>
      </c>
      <c r="F246" s="88">
        <v>102.157</v>
      </c>
      <c r="G246" s="89">
        <f t="shared" si="3"/>
        <v>0.34502383586048935</v>
      </c>
    </row>
    <row r="247" spans="1:7" x14ac:dyDescent="0.25">
      <c r="A247" t="s">
        <v>178</v>
      </c>
      <c r="B247" s="86">
        <v>45826</v>
      </c>
      <c r="C247" s="86" t="s">
        <v>181</v>
      </c>
      <c r="D247" s="87">
        <v>2025</v>
      </c>
      <c r="E247" s="88">
        <v>140.80779999999999</v>
      </c>
      <c r="F247" s="88">
        <v>102.8083</v>
      </c>
      <c r="G247" s="89">
        <f t="shared" si="3"/>
        <v>0.36961509917000845</v>
      </c>
    </row>
    <row r="248" spans="1:7" x14ac:dyDescent="0.25">
      <c r="A248" t="s">
        <v>178</v>
      </c>
      <c r="B248" s="86">
        <v>45827</v>
      </c>
      <c r="C248" s="86" t="s">
        <v>181</v>
      </c>
      <c r="D248" s="87">
        <v>2025</v>
      </c>
      <c r="E248" s="88">
        <v>141.03380000000001</v>
      </c>
      <c r="F248" s="88">
        <v>103.7355</v>
      </c>
      <c r="G248" s="89">
        <f t="shared" si="3"/>
        <v>0.35955193737919999</v>
      </c>
    </row>
    <row r="249" spans="1:7" x14ac:dyDescent="0.25">
      <c r="A249" t="s">
        <v>178</v>
      </c>
      <c r="B249" s="86">
        <v>45828</v>
      </c>
      <c r="C249" s="86" t="s">
        <v>181</v>
      </c>
      <c r="D249" s="87">
        <v>2025</v>
      </c>
      <c r="E249" s="88">
        <v>138.8338</v>
      </c>
      <c r="F249" s="88">
        <v>104.54340000000001</v>
      </c>
      <c r="G249" s="89">
        <f t="shared" si="3"/>
        <v>0.32800157637880534</v>
      </c>
    </row>
    <row r="250" spans="1:7" x14ac:dyDescent="0.25">
      <c r="A250" t="s">
        <v>178</v>
      </c>
      <c r="B250" s="86">
        <v>45829</v>
      </c>
      <c r="C250" s="86" t="s">
        <v>181</v>
      </c>
      <c r="D250" s="87">
        <v>2025</v>
      </c>
      <c r="E250" s="88">
        <v>139.8098</v>
      </c>
      <c r="F250" s="88">
        <v>104.54340000000001</v>
      </c>
      <c r="G250" s="89">
        <f t="shared" si="3"/>
        <v>0.33733741202218392</v>
      </c>
    </row>
    <row r="251" spans="1:7" x14ac:dyDescent="0.25">
      <c r="A251" t="s">
        <v>178</v>
      </c>
      <c r="B251" s="86">
        <v>45830</v>
      </c>
      <c r="C251" s="86" t="s">
        <v>181</v>
      </c>
      <c r="D251" s="87">
        <v>2025</v>
      </c>
      <c r="E251" s="88">
        <v>140.80279999999999</v>
      </c>
      <c r="F251" s="88">
        <v>104.54340000000001</v>
      </c>
      <c r="G251" s="89">
        <f t="shared" si="3"/>
        <v>0.34683585955689211</v>
      </c>
    </row>
    <row r="252" spans="1:7" x14ac:dyDescent="0.25">
      <c r="A252" t="s">
        <v>178</v>
      </c>
      <c r="B252" s="86">
        <v>45831</v>
      </c>
      <c r="C252" s="86" t="s">
        <v>181</v>
      </c>
      <c r="D252" s="87">
        <v>2025</v>
      </c>
      <c r="E252" s="88">
        <v>141.01779999999999</v>
      </c>
      <c r="F252" s="88">
        <v>105.45269999999999</v>
      </c>
      <c r="G252" s="89">
        <f t="shared" si="3"/>
        <v>0.33726116069100187</v>
      </c>
    </row>
    <row r="253" spans="1:7" x14ac:dyDescent="0.25">
      <c r="A253" t="s">
        <v>178</v>
      </c>
      <c r="B253" s="86">
        <v>45832</v>
      </c>
      <c r="C253" s="86" t="s">
        <v>181</v>
      </c>
      <c r="D253" s="87">
        <v>2025</v>
      </c>
      <c r="E253" s="88">
        <v>140.756</v>
      </c>
      <c r="F253" s="88">
        <v>105.45269999999999</v>
      </c>
      <c r="G253" s="89">
        <f t="shared" si="3"/>
        <v>0.33477853103808641</v>
      </c>
    </row>
    <row r="254" spans="1:7" x14ac:dyDescent="0.25">
      <c r="A254" t="s">
        <v>178</v>
      </c>
      <c r="B254" s="86">
        <v>45833</v>
      </c>
      <c r="C254" s="86" t="s">
        <v>181</v>
      </c>
      <c r="D254" s="87">
        <v>2025</v>
      </c>
      <c r="E254" s="88">
        <v>141.3656</v>
      </c>
      <c r="F254" s="88">
        <v>105.45269999999999</v>
      </c>
      <c r="G254" s="89">
        <f t="shared" si="3"/>
        <v>0.34055932185709814</v>
      </c>
    </row>
    <row r="255" spans="1:7" x14ac:dyDescent="0.25">
      <c r="A255" t="s">
        <v>178</v>
      </c>
      <c r="B255" s="86">
        <v>45834</v>
      </c>
      <c r="C255" s="86" t="s">
        <v>181</v>
      </c>
      <c r="D255" s="87">
        <v>2025</v>
      </c>
      <c r="E255" s="88">
        <v>141.63380000000001</v>
      </c>
      <c r="F255" s="88">
        <v>106.16849999999999</v>
      </c>
      <c r="G255" s="89">
        <f t="shared" si="3"/>
        <v>0.33404729274690714</v>
      </c>
    </row>
    <row r="256" spans="1:7" x14ac:dyDescent="0.25">
      <c r="A256" t="s">
        <v>178</v>
      </c>
      <c r="B256" s="86">
        <v>45835</v>
      </c>
      <c r="C256" s="86" t="s">
        <v>181</v>
      </c>
      <c r="D256" s="87">
        <v>2025</v>
      </c>
      <c r="E256" s="88">
        <v>140.53479999999999</v>
      </c>
      <c r="F256" s="88">
        <v>106.86199999999999</v>
      </c>
      <c r="G256" s="89">
        <f t="shared" si="3"/>
        <v>0.31510546312066023</v>
      </c>
    </row>
    <row r="257" spans="1:7" x14ac:dyDescent="0.25">
      <c r="A257" t="s">
        <v>178</v>
      </c>
      <c r="B257" s="86">
        <v>45836</v>
      </c>
      <c r="C257" s="86" t="s">
        <v>181</v>
      </c>
      <c r="D257" s="87">
        <v>2025</v>
      </c>
      <c r="E257" s="88">
        <v>139.46799999999999</v>
      </c>
      <c r="F257" s="88">
        <v>106.86199999999999</v>
      </c>
      <c r="G257" s="89">
        <f t="shared" si="3"/>
        <v>0.30512249443207118</v>
      </c>
    </row>
    <row r="258" spans="1:7" x14ac:dyDescent="0.25">
      <c r="A258" t="s">
        <v>178</v>
      </c>
      <c r="B258" s="86">
        <v>45837</v>
      </c>
      <c r="C258" s="86" t="s">
        <v>181</v>
      </c>
      <c r="D258" s="87">
        <v>2025</v>
      </c>
      <c r="E258" s="88">
        <v>140.1696</v>
      </c>
      <c r="F258" s="88">
        <v>106.86199999999999</v>
      </c>
      <c r="G258" s="89">
        <f t="shared" si="3"/>
        <v>0.31168797140236948</v>
      </c>
    </row>
    <row r="259" spans="1:7" x14ac:dyDescent="0.25">
      <c r="A259" t="s">
        <v>178</v>
      </c>
      <c r="B259" s="86">
        <v>45838</v>
      </c>
      <c r="C259" s="86" t="s">
        <v>181</v>
      </c>
      <c r="D259" s="87">
        <v>2025</v>
      </c>
      <c r="E259" s="88">
        <v>140.166</v>
      </c>
      <c r="F259" s="88">
        <v>107.6245</v>
      </c>
      <c r="G259" s="89">
        <f t="shared" ref="G259:G323" si="4">E259/F259-1</f>
        <v>0.30236145115656754</v>
      </c>
    </row>
    <row r="260" spans="1:7" x14ac:dyDescent="0.25">
      <c r="A260" t="s">
        <v>178</v>
      </c>
      <c r="B260" s="86">
        <v>45839</v>
      </c>
      <c r="C260" s="86" t="s">
        <v>182</v>
      </c>
      <c r="D260" s="87">
        <v>2025</v>
      </c>
      <c r="E260" s="88">
        <v>141.94579999999999</v>
      </c>
      <c r="F260" s="88">
        <v>108.84229999999999</v>
      </c>
      <c r="G260" s="89">
        <f t="shared" si="4"/>
        <v>0.30414186396281595</v>
      </c>
    </row>
    <row r="261" spans="1:7" x14ac:dyDescent="0.25">
      <c r="A261" t="s">
        <v>178</v>
      </c>
      <c r="B261" s="86">
        <v>45840</v>
      </c>
      <c r="C261" s="86" t="s">
        <v>182</v>
      </c>
      <c r="D261" s="87">
        <v>2025</v>
      </c>
      <c r="E261" s="88">
        <v>141.8768</v>
      </c>
      <c r="F261" s="88">
        <v>109.6352</v>
      </c>
      <c r="G261" s="89">
        <f t="shared" si="4"/>
        <v>0.29408073319517825</v>
      </c>
    </row>
    <row r="262" spans="1:7" x14ac:dyDescent="0.25">
      <c r="A262" t="s">
        <v>178</v>
      </c>
      <c r="B262" s="86">
        <v>45841</v>
      </c>
      <c r="C262" s="86" t="s">
        <v>182</v>
      </c>
      <c r="D262" s="87">
        <v>2025</v>
      </c>
      <c r="E262" s="88">
        <v>142.56780000000001</v>
      </c>
      <c r="F262" s="88">
        <v>110.4187</v>
      </c>
      <c r="G262" s="89">
        <f t="shared" si="4"/>
        <v>0.29115629870665027</v>
      </c>
    </row>
    <row r="263" spans="1:7" x14ac:dyDescent="0.25">
      <c r="A263" t="s">
        <v>178</v>
      </c>
      <c r="B263" s="86">
        <v>45842</v>
      </c>
      <c r="C263" s="86" t="s">
        <v>182</v>
      </c>
      <c r="D263" s="87">
        <v>2025</v>
      </c>
      <c r="E263" s="88">
        <v>142.1086</v>
      </c>
      <c r="F263" s="88">
        <v>111.27930000000001</v>
      </c>
      <c r="G263" s="89">
        <f t="shared" si="4"/>
        <v>0.27704433798559114</v>
      </c>
    </row>
    <row r="264" spans="1:7" x14ac:dyDescent="0.25">
      <c r="A264" t="s">
        <v>178</v>
      </c>
      <c r="B264" s="86">
        <v>45843</v>
      </c>
      <c r="C264" s="86" t="s">
        <v>182</v>
      </c>
      <c r="D264" s="87">
        <v>2025</v>
      </c>
      <c r="E264" s="88">
        <v>140.48560000000001</v>
      </c>
      <c r="F264" s="88">
        <v>111.27930000000001</v>
      </c>
      <c r="G264" s="89">
        <f t="shared" si="4"/>
        <v>0.26245941518323712</v>
      </c>
    </row>
    <row r="265" spans="1:7" x14ac:dyDescent="0.25">
      <c r="A265" t="s">
        <v>178</v>
      </c>
      <c r="B265" s="86">
        <v>45844</v>
      </c>
      <c r="C265" s="86" t="s">
        <v>182</v>
      </c>
      <c r="D265" s="87">
        <v>2025</v>
      </c>
      <c r="E265" s="88">
        <v>140.71860000000001</v>
      </c>
      <c r="F265" s="88">
        <v>111.27930000000001</v>
      </c>
      <c r="G265" s="89">
        <f t="shared" si="4"/>
        <v>0.26455324575190531</v>
      </c>
    </row>
    <row r="266" spans="1:7" x14ac:dyDescent="0.25">
      <c r="A266" t="s">
        <v>178</v>
      </c>
      <c r="B266" s="86">
        <v>45845</v>
      </c>
      <c r="C266" s="86" t="s">
        <v>182</v>
      </c>
      <c r="D266" s="87">
        <v>2025</v>
      </c>
      <c r="E266" s="88">
        <v>144.364</v>
      </c>
      <c r="F266" s="88">
        <v>111.9876</v>
      </c>
      <c r="G266" s="89">
        <f t="shared" si="4"/>
        <v>0.2891070082759164</v>
      </c>
    </row>
    <row r="267" spans="1:7" x14ac:dyDescent="0.25">
      <c r="A267" t="s">
        <v>178</v>
      </c>
      <c r="B267" s="86">
        <v>45846</v>
      </c>
      <c r="C267" s="86" t="s">
        <v>182</v>
      </c>
      <c r="D267" s="87">
        <v>2025</v>
      </c>
      <c r="E267" s="88">
        <v>149.0292</v>
      </c>
      <c r="F267" s="88">
        <v>112.6875</v>
      </c>
      <c r="G267" s="89">
        <f t="shared" si="4"/>
        <v>0.32249983361064904</v>
      </c>
    </row>
    <row r="268" spans="1:7" x14ac:dyDescent="0.25">
      <c r="A268" t="s">
        <v>178</v>
      </c>
      <c r="B268" s="86">
        <v>45847</v>
      </c>
      <c r="C268" s="86" t="s">
        <v>182</v>
      </c>
      <c r="D268" s="87">
        <v>2025</v>
      </c>
      <c r="E268" s="88">
        <v>148.70760000000001</v>
      </c>
      <c r="F268" s="88">
        <v>113.6083</v>
      </c>
      <c r="G268" s="89">
        <f t="shared" si="4"/>
        <v>0.30895013832616125</v>
      </c>
    </row>
    <row r="269" spans="1:7" x14ac:dyDescent="0.25">
      <c r="A269" t="s">
        <v>178</v>
      </c>
      <c r="B269" s="86">
        <v>45848</v>
      </c>
      <c r="C269" s="86" t="s">
        <v>182</v>
      </c>
      <c r="D269" s="87">
        <v>2025</v>
      </c>
      <c r="E269" s="88">
        <v>149.56</v>
      </c>
      <c r="F269" s="88">
        <v>114.2685</v>
      </c>
      <c r="G269" s="89">
        <f t="shared" si="4"/>
        <v>0.3088471451012309</v>
      </c>
    </row>
    <row r="270" spans="1:7" x14ac:dyDescent="0.25">
      <c r="A270" t="s">
        <v>178</v>
      </c>
      <c r="B270" s="86">
        <v>45849</v>
      </c>
      <c r="C270" s="86" t="s">
        <v>182</v>
      </c>
      <c r="D270" s="87">
        <v>2025</v>
      </c>
      <c r="E270" s="88">
        <v>149.29519999999999</v>
      </c>
      <c r="F270" s="88">
        <v>115.1837</v>
      </c>
      <c r="G270" s="89">
        <f t="shared" si="4"/>
        <v>0.29614867381408994</v>
      </c>
    </row>
    <row r="271" spans="1:7" x14ac:dyDescent="0.25">
      <c r="A271" t="s">
        <v>178</v>
      </c>
      <c r="B271" s="86">
        <v>45850</v>
      </c>
      <c r="C271" s="86" t="s">
        <v>182</v>
      </c>
      <c r="D271" s="87">
        <v>2025</v>
      </c>
      <c r="E271" s="88">
        <v>149.5258</v>
      </c>
      <c r="F271" s="88">
        <v>115.1837</v>
      </c>
      <c r="G271" s="89">
        <f t="shared" si="4"/>
        <v>0.29815069319704102</v>
      </c>
    </row>
    <row r="272" spans="1:7" x14ac:dyDescent="0.25">
      <c r="A272" t="s">
        <v>178</v>
      </c>
      <c r="B272" s="86">
        <v>45851</v>
      </c>
      <c r="C272" s="86" t="s">
        <v>182</v>
      </c>
      <c r="D272" s="87">
        <v>2025</v>
      </c>
      <c r="E272" s="88">
        <v>150.17179999999999</v>
      </c>
      <c r="F272" s="88">
        <v>115.1837</v>
      </c>
      <c r="G272" s="89">
        <f t="shared" si="4"/>
        <v>0.30375912564017304</v>
      </c>
    </row>
    <row r="273" spans="1:7" x14ac:dyDescent="0.25">
      <c r="A273" t="s">
        <v>178</v>
      </c>
      <c r="B273" s="86">
        <v>45852</v>
      </c>
      <c r="C273" s="86" t="s">
        <v>182</v>
      </c>
      <c r="D273" s="87">
        <v>2025</v>
      </c>
      <c r="E273" s="88">
        <v>151.804</v>
      </c>
      <c r="F273" s="88">
        <v>115.6998</v>
      </c>
      <c r="G273" s="89">
        <f t="shared" si="4"/>
        <v>0.31205066905906498</v>
      </c>
    </row>
    <row r="274" spans="1:7" x14ac:dyDescent="0.25">
      <c r="A274" t="s">
        <v>178</v>
      </c>
      <c r="B274" s="86">
        <v>45853</v>
      </c>
      <c r="C274" s="86" t="s">
        <v>182</v>
      </c>
      <c r="D274" s="87">
        <v>2025</v>
      </c>
      <c r="E274" s="88">
        <v>151.7456</v>
      </c>
      <c r="F274" s="88">
        <v>116.67310000000001</v>
      </c>
      <c r="G274" s="89">
        <f t="shared" si="4"/>
        <v>0.30060485236099832</v>
      </c>
    </row>
    <row r="275" spans="1:7" x14ac:dyDescent="0.25">
      <c r="A275" t="s">
        <v>178</v>
      </c>
      <c r="B275" s="86">
        <v>45854</v>
      </c>
      <c r="C275" s="86" t="s">
        <v>182</v>
      </c>
      <c r="D275" s="87">
        <v>2025</v>
      </c>
      <c r="E275" s="88">
        <v>151.99979999999999</v>
      </c>
      <c r="F275" s="88">
        <v>117.2568</v>
      </c>
      <c r="G275" s="89">
        <f t="shared" si="4"/>
        <v>0.29629838098941796</v>
      </c>
    </row>
    <row r="276" spans="1:7" x14ac:dyDescent="0.25">
      <c r="A276" t="s">
        <v>178</v>
      </c>
      <c r="B276" s="86">
        <v>45855</v>
      </c>
      <c r="C276" s="86" t="s">
        <v>182</v>
      </c>
      <c r="D276" s="87">
        <v>2025</v>
      </c>
      <c r="E276" s="88">
        <v>152.04599999999999</v>
      </c>
      <c r="F276" s="88">
        <v>118.1395</v>
      </c>
      <c r="G276" s="89">
        <f t="shared" si="4"/>
        <v>0.28700392332793001</v>
      </c>
    </row>
    <row r="277" spans="1:7" x14ac:dyDescent="0.25">
      <c r="A277" t="s">
        <v>178</v>
      </c>
      <c r="B277" s="86">
        <v>45856</v>
      </c>
      <c r="C277" s="86" t="s">
        <v>182</v>
      </c>
      <c r="D277" s="87">
        <v>2025</v>
      </c>
      <c r="E277" s="88">
        <v>152.13499999999999</v>
      </c>
      <c r="F277" s="88">
        <v>118.9957</v>
      </c>
      <c r="G277" s="89">
        <f t="shared" si="4"/>
        <v>0.27849157574601424</v>
      </c>
    </row>
    <row r="278" spans="1:7" x14ac:dyDescent="0.25">
      <c r="A278" t="s">
        <v>178</v>
      </c>
      <c r="B278" s="86">
        <v>45857</v>
      </c>
      <c r="C278" s="86" t="s">
        <v>182</v>
      </c>
      <c r="D278" s="87">
        <v>2025</v>
      </c>
      <c r="E278" s="88">
        <v>151.39400000000001</v>
      </c>
      <c r="F278" s="88">
        <v>118.9957</v>
      </c>
      <c r="G278" s="89">
        <f t="shared" si="4"/>
        <v>0.2722644599762849</v>
      </c>
    </row>
    <row r="279" spans="1:7" x14ac:dyDescent="0.25">
      <c r="A279" t="s">
        <v>178</v>
      </c>
      <c r="B279" s="86">
        <v>45858</v>
      </c>
      <c r="C279" s="86" t="s">
        <v>182</v>
      </c>
      <c r="D279" s="87">
        <v>2025</v>
      </c>
      <c r="E279" s="88">
        <v>151.97559999999999</v>
      </c>
      <c r="F279" s="88">
        <v>118.9957</v>
      </c>
      <c r="G279" s="89">
        <f t="shared" si="4"/>
        <v>0.27715203154399681</v>
      </c>
    </row>
    <row r="280" spans="1:7" x14ac:dyDescent="0.25">
      <c r="A280" t="s">
        <v>178</v>
      </c>
      <c r="B280" s="86">
        <v>45859</v>
      </c>
      <c r="C280" s="86" t="s">
        <v>182</v>
      </c>
      <c r="D280" s="87">
        <v>2025</v>
      </c>
      <c r="E280" s="88">
        <v>158.88679999999999</v>
      </c>
      <c r="F280" s="88">
        <v>119.5166</v>
      </c>
      <c r="G280" s="89">
        <f t="shared" si="4"/>
        <v>0.32941198126452731</v>
      </c>
    </row>
    <row r="281" spans="1:7" x14ac:dyDescent="0.25">
      <c r="A281" t="s">
        <v>178</v>
      </c>
      <c r="B281" s="86">
        <v>45860</v>
      </c>
      <c r="C281" s="86" t="s">
        <v>182</v>
      </c>
      <c r="D281" s="87">
        <v>2025</v>
      </c>
      <c r="E281" s="88">
        <v>165.5966</v>
      </c>
      <c r="F281" s="88">
        <v>120.2734</v>
      </c>
      <c r="G281" s="89">
        <f t="shared" si="4"/>
        <v>0.3768347780972352</v>
      </c>
    </row>
    <row r="282" spans="1:7" x14ac:dyDescent="0.25">
      <c r="A282" t="s">
        <v>178</v>
      </c>
      <c r="B282" s="86">
        <v>45861</v>
      </c>
      <c r="C282" s="86" t="s">
        <v>182</v>
      </c>
      <c r="D282" s="87">
        <v>2025</v>
      </c>
      <c r="E282" s="88">
        <v>164.8758</v>
      </c>
      <c r="F282" s="88">
        <v>121.1952</v>
      </c>
      <c r="G282" s="89">
        <f t="shared" si="4"/>
        <v>0.36041526397085022</v>
      </c>
    </row>
    <row r="283" spans="1:7" x14ac:dyDescent="0.25">
      <c r="A283" t="s">
        <v>178</v>
      </c>
      <c r="B283" s="86">
        <v>45862</v>
      </c>
      <c r="C283" s="86" t="s">
        <v>182</v>
      </c>
      <c r="D283" s="87">
        <v>2025</v>
      </c>
      <c r="E283" s="88">
        <v>162.29159999999999</v>
      </c>
      <c r="F283" s="88">
        <v>121.1952</v>
      </c>
      <c r="G283" s="89">
        <f t="shared" si="4"/>
        <v>0.33909263733217143</v>
      </c>
    </row>
    <row r="284" spans="1:7" x14ac:dyDescent="0.25">
      <c r="A284" t="s">
        <v>183</v>
      </c>
      <c r="B284" s="90">
        <v>45863</v>
      </c>
      <c r="C284" s="90" t="s">
        <v>182</v>
      </c>
      <c r="D284" s="91">
        <v>2025</v>
      </c>
      <c r="E284" s="92">
        <v>151.59780000000001</v>
      </c>
      <c r="F284" s="92">
        <v>122.01730000000001</v>
      </c>
      <c r="G284" s="93">
        <f t="shared" si="4"/>
        <v>0.24242873756426353</v>
      </c>
    </row>
    <row r="285" spans="1:7" x14ac:dyDescent="0.25">
      <c r="A285" t="s">
        <v>183</v>
      </c>
      <c r="B285" s="90">
        <v>45864</v>
      </c>
      <c r="C285" s="90" t="s">
        <v>182</v>
      </c>
      <c r="D285" s="91">
        <v>2025</v>
      </c>
      <c r="E285" s="92">
        <v>161.21799999999999</v>
      </c>
      <c r="F285" s="92">
        <v>122.01730000000001</v>
      </c>
      <c r="G285" s="93">
        <f t="shared" si="4"/>
        <v>0.32127165574062033</v>
      </c>
    </row>
    <row r="286" spans="1:7" x14ac:dyDescent="0.25">
      <c r="A286" t="s">
        <v>183</v>
      </c>
      <c r="B286" s="90">
        <v>45865</v>
      </c>
      <c r="C286" s="90" t="s">
        <v>182</v>
      </c>
      <c r="D286" s="91">
        <v>2025</v>
      </c>
      <c r="E286" s="92">
        <v>162.12459999999999</v>
      </c>
      <c r="F286" s="92">
        <v>122.01730000000001</v>
      </c>
      <c r="G286" s="93">
        <f t="shared" si="4"/>
        <v>0.3287017496699236</v>
      </c>
    </row>
    <row r="287" spans="1:7" x14ac:dyDescent="0.25">
      <c r="A287" t="s">
        <v>183</v>
      </c>
      <c r="B287" s="90">
        <v>45866</v>
      </c>
      <c r="C287" s="90" t="s">
        <v>182</v>
      </c>
      <c r="D287" s="91">
        <v>2025</v>
      </c>
      <c r="E287" s="92">
        <v>166.01679999999999</v>
      </c>
      <c r="F287" s="92">
        <v>122.6872</v>
      </c>
      <c r="G287" s="93">
        <f t="shared" si="4"/>
        <v>0.35317131697520177</v>
      </c>
    </row>
    <row r="288" spans="1:7" x14ac:dyDescent="0.25">
      <c r="A288" t="s">
        <v>183</v>
      </c>
      <c r="B288" s="90">
        <v>45867</v>
      </c>
      <c r="C288" s="90" t="s">
        <v>182</v>
      </c>
      <c r="D288" s="91">
        <v>2025</v>
      </c>
      <c r="E288" s="92">
        <v>166.8998</v>
      </c>
      <c r="F288" s="92">
        <v>123.717</v>
      </c>
      <c r="G288" s="93">
        <f t="shared" si="4"/>
        <v>0.34904499785801457</v>
      </c>
    </row>
    <row r="289" spans="1:7" x14ac:dyDescent="0.25">
      <c r="A289" t="s">
        <v>183</v>
      </c>
      <c r="B289" s="90">
        <v>45868</v>
      </c>
      <c r="C289" s="90" t="s">
        <v>182</v>
      </c>
      <c r="D289" s="91">
        <v>2025</v>
      </c>
      <c r="E289" s="92">
        <v>165.49979999999999</v>
      </c>
      <c r="F289" s="92">
        <v>124.3546</v>
      </c>
      <c r="G289" s="93">
        <f t="shared" si="4"/>
        <v>0.3308699477140371</v>
      </c>
    </row>
    <row r="290" spans="1:7" x14ac:dyDescent="0.25">
      <c r="A290" t="s">
        <v>183</v>
      </c>
      <c r="B290" s="90">
        <v>45869</v>
      </c>
      <c r="C290" s="90" t="s">
        <v>182</v>
      </c>
      <c r="D290" s="91">
        <v>2025</v>
      </c>
      <c r="E290" s="92">
        <v>165.25460000000001</v>
      </c>
      <c r="F290" s="92">
        <v>125.2679</v>
      </c>
      <c r="G290" s="93">
        <f t="shared" si="4"/>
        <v>0.31920947026333168</v>
      </c>
    </row>
    <row r="291" spans="1:7" x14ac:dyDescent="0.25">
      <c r="A291" t="s">
        <v>183</v>
      </c>
      <c r="B291" s="90">
        <v>45870</v>
      </c>
      <c r="C291" s="90" t="s">
        <v>184</v>
      </c>
      <c r="D291" s="91">
        <v>2025</v>
      </c>
      <c r="E291" s="92">
        <v>164.79</v>
      </c>
      <c r="F291" s="92">
        <v>126.1224</v>
      </c>
      <c r="G291" s="93">
        <f t="shared" si="4"/>
        <v>0.30658788605354803</v>
      </c>
    </row>
    <row r="292" spans="1:7" x14ac:dyDescent="0.25">
      <c r="A292" t="s">
        <v>183</v>
      </c>
      <c r="B292" s="90">
        <v>45871</v>
      </c>
      <c r="C292" s="90" t="s">
        <v>184</v>
      </c>
      <c r="D292" s="91">
        <v>2025</v>
      </c>
      <c r="E292" s="92">
        <v>165.36760000000001</v>
      </c>
      <c r="F292" s="92">
        <v>126.1224</v>
      </c>
      <c r="G292" s="93">
        <f t="shared" si="4"/>
        <v>0.31116756420746849</v>
      </c>
    </row>
    <row r="293" spans="1:7" x14ac:dyDescent="0.25">
      <c r="A293" t="s">
        <v>183</v>
      </c>
      <c r="B293" s="90">
        <v>45872</v>
      </c>
      <c r="C293" s="90" t="s">
        <v>184</v>
      </c>
      <c r="D293" s="91">
        <v>2025</v>
      </c>
      <c r="E293" s="92">
        <v>166.21799999999999</v>
      </c>
      <c r="F293" s="92">
        <v>126.1224</v>
      </c>
      <c r="G293" s="93">
        <f t="shared" si="4"/>
        <v>0.3179102205476585</v>
      </c>
    </row>
    <row r="294" spans="1:7" x14ac:dyDescent="0.25">
      <c r="A294" t="s">
        <v>183</v>
      </c>
      <c r="B294" s="90">
        <v>45873</v>
      </c>
      <c r="C294" s="90" t="s">
        <v>184</v>
      </c>
      <c r="D294" s="91">
        <v>2025</v>
      </c>
      <c r="E294" s="92">
        <v>174.79400000000001</v>
      </c>
      <c r="F294" s="92">
        <v>126.9508</v>
      </c>
      <c r="G294" s="93">
        <f t="shared" si="4"/>
        <v>0.37686410798514069</v>
      </c>
    </row>
    <row r="295" spans="1:7" x14ac:dyDescent="0.25">
      <c r="A295" t="s">
        <v>183</v>
      </c>
      <c r="B295" s="90">
        <v>45874</v>
      </c>
      <c r="C295" s="90" t="s">
        <v>184</v>
      </c>
      <c r="D295" s="91">
        <v>2025</v>
      </c>
      <c r="E295" s="92">
        <v>178.50579999999999</v>
      </c>
      <c r="F295" s="92">
        <v>128.0806</v>
      </c>
      <c r="G295" s="93">
        <f t="shared" si="4"/>
        <v>0.39369896768128809</v>
      </c>
    </row>
    <row r="296" spans="1:7" x14ac:dyDescent="0.25">
      <c r="A296" t="s">
        <v>183</v>
      </c>
      <c r="B296" s="90">
        <v>45875</v>
      </c>
      <c r="C296" s="90" t="s">
        <v>184</v>
      </c>
      <c r="D296" s="91">
        <v>2025</v>
      </c>
      <c r="E296" s="92">
        <v>186.94</v>
      </c>
      <c r="F296" s="92">
        <v>128.8922</v>
      </c>
      <c r="G296" s="93">
        <f t="shared" si="4"/>
        <v>0.45035929249403761</v>
      </c>
    </row>
    <row r="297" spans="1:7" x14ac:dyDescent="0.25">
      <c r="A297" t="s">
        <v>183</v>
      </c>
      <c r="B297" s="90">
        <v>45876</v>
      </c>
      <c r="C297" s="90" t="s">
        <v>184</v>
      </c>
      <c r="D297" s="91">
        <v>2025</v>
      </c>
      <c r="E297" s="92">
        <v>185.97980000000001</v>
      </c>
      <c r="F297" s="92">
        <v>129.90260000000001</v>
      </c>
      <c r="G297" s="93">
        <f t="shared" si="4"/>
        <v>0.43168650973883516</v>
      </c>
    </row>
    <row r="298" spans="1:7" x14ac:dyDescent="0.25">
      <c r="A298" t="s">
        <v>183</v>
      </c>
      <c r="B298" s="90">
        <v>45877</v>
      </c>
      <c r="C298" s="90" t="s">
        <v>184</v>
      </c>
      <c r="D298" s="91">
        <v>2025</v>
      </c>
      <c r="E298" s="92">
        <v>183.89940000000001</v>
      </c>
      <c r="F298" s="92">
        <v>130.96019999999999</v>
      </c>
      <c r="G298" s="93">
        <f t="shared" si="4"/>
        <v>0.40423884508423202</v>
      </c>
    </row>
    <row r="299" spans="1:7" x14ac:dyDescent="0.25">
      <c r="A299" t="s">
        <v>183</v>
      </c>
      <c r="B299" s="90">
        <v>45878</v>
      </c>
      <c r="C299" s="90" t="s">
        <v>184</v>
      </c>
      <c r="D299" s="91">
        <v>2025</v>
      </c>
      <c r="E299" s="92">
        <v>183.93940000000001</v>
      </c>
      <c r="F299" s="92">
        <v>130.96019999999999</v>
      </c>
      <c r="G299" s="93">
        <f t="shared" si="4"/>
        <v>0.40454428139236209</v>
      </c>
    </row>
    <row r="300" spans="1:7" x14ac:dyDescent="0.25">
      <c r="A300" t="s">
        <v>183</v>
      </c>
      <c r="B300" s="90">
        <v>45879</v>
      </c>
      <c r="C300" s="90" t="s">
        <v>184</v>
      </c>
      <c r="D300" s="91">
        <v>2025</v>
      </c>
      <c r="E300" s="92">
        <v>184.84780000000001</v>
      </c>
      <c r="F300" s="92">
        <v>130.96019999999999</v>
      </c>
      <c r="G300" s="93">
        <f t="shared" si="4"/>
        <v>0.41148073995000023</v>
      </c>
    </row>
    <row r="301" spans="1:7" x14ac:dyDescent="0.25">
      <c r="A301" t="s">
        <v>183</v>
      </c>
      <c r="B301" s="90">
        <v>45880</v>
      </c>
      <c r="C301" s="90" t="s">
        <v>184</v>
      </c>
      <c r="D301" s="91">
        <v>2025</v>
      </c>
      <c r="E301" s="92">
        <v>186.43119999999999</v>
      </c>
      <c r="F301" s="92">
        <v>132.13720000000001</v>
      </c>
      <c r="G301" s="93">
        <f t="shared" si="4"/>
        <v>0.41089110409483465</v>
      </c>
    </row>
    <row r="302" spans="1:7" x14ac:dyDescent="0.25">
      <c r="A302" t="s">
        <v>183</v>
      </c>
      <c r="B302" s="90">
        <v>45881</v>
      </c>
      <c r="C302" s="90" t="s">
        <v>184</v>
      </c>
      <c r="D302" s="91">
        <v>2025</v>
      </c>
      <c r="E302" s="92">
        <v>190.46600000000001</v>
      </c>
      <c r="F302" s="92">
        <v>133.34899999999999</v>
      </c>
      <c r="G302" s="93">
        <f t="shared" si="4"/>
        <v>0.42832717155734223</v>
      </c>
    </row>
    <row r="303" spans="1:7" x14ac:dyDescent="0.25">
      <c r="A303" t="s">
        <v>183</v>
      </c>
      <c r="B303" s="90">
        <v>45882</v>
      </c>
      <c r="C303" s="90" t="s">
        <v>184</v>
      </c>
      <c r="D303" s="91">
        <v>2025</v>
      </c>
      <c r="E303" s="92">
        <v>193.3768</v>
      </c>
      <c r="F303" s="92">
        <v>134.31309999999999</v>
      </c>
      <c r="G303" s="93">
        <f t="shared" si="4"/>
        <v>0.43974638363644369</v>
      </c>
    </row>
    <row r="304" spans="1:7" x14ac:dyDescent="0.25">
      <c r="A304" t="s">
        <v>183</v>
      </c>
      <c r="B304" s="90">
        <v>45883</v>
      </c>
      <c r="C304" s="90" t="s">
        <v>184</v>
      </c>
      <c r="D304" s="91">
        <v>2025</v>
      </c>
      <c r="E304" s="92">
        <v>190.8852</v>
      </c>
      <c r="F304" s="92">
        <v>135.47040000000001</v>
      </c>
      <c r="G304" s="93">
        <f t="shared" si="4"/>
        <v>0.40905467172164522</v>
      </c>
    </row>
    <row r="305" spans="1:7" x14ac:dyDescent="0.25">
      <c r="A305" t="s">
        <v>183</v>
      </c>
      <c r="B305" s="90">
        <v>45884</v>
      </c>
      <c r="C305" s="90" t="s">
        <v>184</v>
      </c>
      <c r="D305" s="91">
        <v>2025</v>
      </c>
      <c r="E305" s="92">
        <v>192.298</v>
      </c>
      <c r="F305" s="92">
        <v>136.72200000000001</v>
      </c>
      <c r="G305" s="93">
        <f t="shared" si="4"/>
        <v>0.4064890800310117</v>
      </c>
    </row>
    <row r="306" spans="1:7" x14ac:dyDescent="0.25">
      <c r="A306" t="s">
        <v>183</v>
      </c>
      <c r="B306" s="90">
        <v>45885</v>
      </c>
      <c r="C306" s="90" t="s">
        <v>184</v>
      </c>
      <c r="D306" s="91">
        <v>2025</v>
      </c>
      <c r="E306" s="92">
        <v>192.8578</v>
      </c>
      <c r="F306" s="92">
        <v>136.72200000000001</v>
      </c>
      <c r="G306" s="93">
        <f t="shared" si="4"/>
        <v>0.41058351984318531</v>
      </c>
    </row>
    <row r="307" spans="1:7" x14ac:dyDescent="0.25">
      <c r="A307" t="s">
        <v>183</v>
      </c>
      <c r="B307" s="90">
        <v>45886</v>
      </c>
      <c r="C307" s="90" t="s">
        <v>184</v>
      </c>
      <c r="D307" s="91">
        <v>2025</v>
      </c>
      <c r="E307" s="92">
        <v>197.96039999999999</v>
      </c>
      <c r="F307" s="92">
        <v>136.72200000000001</v>
      </c>
      <c r="G307" s="93">
        <f t="shared" si="4"/>
        <v>0.44790450695572015</v>
      </c>
    </row>
    <row r="308" spans="1:7" x14ac:dyDescent="0.25">
      <c r="A308" t="s">
        <v>183</v>
      </c>
      <c r="B308" s="90">
        <v>45887</v>
      </c>
      <c r="C308" s="90" t="s">
        <v>184</v>
      </c>
      <c r="D308" s="91">
        <v>2025</v>
      </c>
      <c r="E308" s="92">
        <v>195.32</v>
      </c>
      <c r="F308" s="92">
        <v>136.72200000000001</v>
      </c>
      <c r="G308" s="93">
        <f t="shared" si="4"/>
        <v>0.42859232603384956</v>
      </c>
    </row>
    <row r="309" spans="1:7" x14ac:dyDescent="0.25">
      <c r="A309" t="s">
        <v>183</v>
      </c>
      <c r="B309" s="90">
        <v>45888</v>
      </c>
      <c r="C309" s="90" t="s">
        <v>184</v>
      </c>
      <c r="D309" s="91">
        <v>2025</v>
      </c>
      <c r="E309" s="92">
        <v>203.11699999999999</v>
      </c>
      <c r="F309" s="92">
        <v>137.9556</v>
      </c>
      <c r="G309" s="93">
        <f t="shared" si="4"/>
        <v>0.47233602695359944</v>
      </c>
    </row>
    <row r="310" spans="1:7" x14ac:dyDescent="0.25">
      <c r="A310" t="s">
        <v>183</v>
      </c>
      <c r="B310" s="90">
        <v>45889</v>
      </c>
      <c r="C310" s="90" t="s">
        <v>184</v>
      </c>
      <c r="D310" s="91">
        <v>2025</v>
      </c>
      <c r="E310" s="92">
        <v>212.31120000000001</v>
      </c>
      <c r="F310" s="92">
        <v>139.22730000000001</v>
      </c>
      <c r="G310" s="93">
        <f t="shared" si="4"/>
        <v>0.52492506857491317</v>
      </c>
    </row>
    <row r="311" spans="1:7" x14ac:dyDescent="0.25">
      <c r="A311" t="s">
        <v>183</v>
      </c>
      <c r="B311" s="90">
        <v>45890</v>
      </c>
      <c r="C311" s="90" t="s">
        <v>184</v>
      </c>
      <c r="D311" s="91">
        <v>2025</v>
      </c>
      <c r="E311" s="92">
        <v>225.45359999999999</v>
      </c>
      <c r="F311" s="92">
        <v>140.48419999999999</v>
      </c>
      <c r="G311" s="93">
        <f t="shared" si="4"/>
        <v>0.60483242955435568</v>
      </c>
    </row>
    <row r="312" spans="1:7" x14ac:dyDescent="0.25">
      <c r="A312" t="s">
        <v>183</v>
      </c>
      <c r="B312" s="90">
        <v>45891</v>
      </c>
      <c r="C312" s="90" t="s">
        <v>184</v>
      </c>
      <c r="D312" s="91">
        <v>2025</v>
      </c>
      <c r="E312" s="92">
        <v>218.15960000000001</v>
      </c>
      <c r="F312" s="92">
        <v>141.70689999999999</v>
      </c>
      <c r="G312" s="93">
        <f t="shared" si="4"/>
        <v>0.53951289598459939</v>
      </c>
    </row>
    <row r="313" spans="1:7" x14ac:dyDescent="0.25">
      <c r="A313" t="s">
        <v>183</v>
      </c>
      <c r="B313" s="90">
        <v>45892</v>
      </c>
      <c r="C313" s="90" t="s">
        <v>184</v>
      </c>
      <c r="D313" s="91">
        <v>2025</v>
      </c>
      <c r="E313" s="92">
        <v>205.67179999999999</v>
      </c>
      <c r="F313" s="92">
        <v>141.70689999999999</v>
      </c>
      <c r="G313" s="93">
        <f t="shared" si="4"/>
        <v>0.45138874677238716</v>
      </c>
    </row>
    <row r="314" spans="1:7" x14ac:dyDescent="0.25">
      <c r="A314" t="s">
        <v>183</v>
      </c>
      <c r="B314" s="90">
        <v>45893</v>
      </c>
      <c r="C314" s="90" t="s">
        <v>184</v>
      </c>
      <c r="D314" s="91">
        <v>2025</v>
      </c>
      <c r="E314" s="92">
        <v>210.9136</v>
      </c>
      <c r="F314" s="92">
        <v>141.70689999999999</v>
      </c>
      <c r="G314" s="93">
        <f t="shared" si="4"/>
        <v>0.48837918266506453</v>
      </c>
    </row>
    <row r="315" spans="1:7" x14ac:dyDescent="0.25">
      <c r="A315" t="s">
        <v>183</v>
      </c>
      <c r="B315" s="90">
        <v>45894</v>
      </c>
      <c r="C315" s="90" t="s">
        <v>184</v>
      </c>
      <c r="D315" s="91">
        <v>2025</v>
      </c>
      <c r="E315" s="92">
        <v>215.8194</v>
      </c>
      <c r="F315" s="92">
        <v>142.85929999999999</v>
      </c>
      <c r="G315" s="93">
        <f t="shared" si="4"/>
        <v>0.51071298823387767</v>
      </c>
    </row>
    <row r="316" spans="1:7" x14ac:dyDescent="0.25">
      <c r="A316" t="s">
        <v>183</v>
      </c>
      <c r="B316" s="90">
        <v>45895</v>
      </c>
      <c r="C316" s="90" t="s">
        <v>184</v>
      </c>
      <c r="D316" s="91">
        <v>2025</v>
      </c>
      <c r="E316" s="92">
        <v>215.7998</v>
      </c>
      <c r="F316" s="92">
        <v>144.1927</v>
      </c>
      <c r="G316" s="93">
        <f t="shared" si="4"/>
        <v>0.49660697108799545</v>
      </c>
    </row>
    <row r="317" spans="1:7" x14ac:dyDescent="0.25">
      <c r="A317" t="s">
        <v>183</v>
      </c>
      <c r="B317" s="90">
        <v>45896</v>
      </c>
      <c r="C317" s="90" t="s">
        <v>184</v>
      </c>
      <c r="D317" s="91">
        <v>2025</v>
      </c>
      <c r="E317" s="92">
        <v>217.83680000000001</v>
      </c>
      <c r="F317" s="92">
        <v>145.56309999999999</v>
      </c>
      <c r="G317" s="93">
        <f t="shared" si="4"/>
        <v>0.49651113503353539</v>
      </c>
    </row>
    <row r="318" spans="1:7" x14ac:dyDescent="0.25">
      <c r="A318" t="s">
        <v>183</v>
      </c>
      <c r="B318" s="90">
        <v>45897</v>
      </c>
      <c r="C318" s="90" t="s">
        <v>184</v>
      </c>
      <c r="D318" s="91">
        <v>2025</v>
      </c>
      <c r="E318" s="92">
        <v>213.40360000000001</v>
      </c>
      <c r="F318" s="92">
        <v>146.89859999999999</v>
      </c>
      <c r="G318" s="93">
        <f t="shared" si="4"/>
        <v>0.45272725539930292</v>
      </c>
    </row>
    <row r="319" spans="1:7" x14ac:dyDescent="0.25">
      <c r="A319" t="s">
        <v>183</v>
      </c>
      <c r="B319" s="90">
        <v>45898</v>
      </c>
      <c r="C319" s="90" t="s">
        <v>184</v>
      </c>
      <c r="D319" s="91">
        <v>2025</v>
      </c>
      <c r="E319" s="92">
        <v>205.6506</v>
      </c>
      <c r="F319" s="92">
        <v>148.25839999999999</v>
      </c>
      <c r="G319" s="93">
        <f t="shared" si="4"/>
        <v>0.38710926328626249</v>
      </c>
    </row>
    <row r="320" spans="1:7" x14ac:dyDescent="0.25">
      <c r="A320" t="s">
        <v>183</v>
      </c>
      <c r="B320" s="90">
        <v>45899</v>
      </c>
      <c r="C320" s="90" t="s">
        <v>184</v>
      </c>
      <c r="D320" s="91">
        <v>2025</v>
      </c>
      <c r="E320" s="92">
        <v>202.75460000000001</v>
      </c>
      <c r="F320" s="92">
        <v>148.25839999999999</v>
      </c>
      <c r="G320" s="93">
        <f t="shared" si="4"/>
        <v>0.36757580008957347</v>
      </c>
    </row>
    <row r="321" spans="1:7" x14ac:dyDescent="0.25">
      <c r="A321" t="s">
        <v>183</v>
      </c>
      <c r="B321" s="90">
        <v>45900</v>
      </c>
      <c r="C321" s="90" t="s">
        <v>184</v>
      </c>
      <c r="D321" s="91">
        <v>2025</v>
      </c>
      <c r="E321" s="92">
        <v>206.99979999999999</v>
      </c>
      <c r="F321" s="92">
        <v>148.25839999999999</v>
      </c>
      <c r="G321" s="93">
        <f t="shared" si="4"/>
        <v>0.39620959082250984</v>
      </c>
    </row>
    <row r="322" spans="1:7" x14ac:dyDescent="0.25">
      <c r="A322" t="s">
        <v>183</v>
      </c>
      <c r="B322" s="90">
        <v>45901</v>
      </c>
      <c r="C322" s="90" t="s">
        <v>185</v>
      </c>
      <c r="D322" s="91">
        <v>2025</v>
      </c>
      <c r="E322" s="92">
        <v>209.702</v>
      </c>
      <c r="F322" s="92">
        <v>149.2809</v>
      </c>
      <c r="G322" s="93">
        <f t="shared" si="4"/>
        <v>0.40474769377730158</v>
      </c>
    </row>
    <row r="323" spans="1:7" x14ac:dyDescent="0.25">
      <c r="A323" t="s">
        <v>183</v>
      </c>
      <c r="B323" s="90">
        <v>45902</v>
      </c>
      <c r="C323" s="90" t="s">
        <v>185</v>
      </c>
      <c r="D323" s="91">
        <v>2025</v>
      </c>
      <c r="E323" s="92">
        <v>214.89940000000001</v>
      </c>
      <c r="F323" s="92">
        <v>150.60669999999999</v>
      </c>
      <c r="G323" s="93">
        <f t="shared" si="4"/>
        <v>0.42689136671874506</v>
      </c>
    </row>
    <row r="324" spans="1:7" x14ac:dyDescent="0.25">
      <c r="A324" t="s">
        <v>183</v>
      </c>
      <c r="B324" s="90">
        <v>45903</v>
      </c>
      <c r="C324" s="90" t="s">
        <v>185</v>
      </c>
      <c r="D324" s="91">
        <v>2025</v>
      </c>
      <c r="E324" s="92">
        <v>218.99780000000001</v>
      </c>
      <c r="F324" s="92">
        <v>151.57300000000001</v>
      </c>
      <c r="G324" s="93">
        <f t="shared" ref="G324:G376" si="5">E324/F324-1</f>
        <v>0.44483384243895685</v>
      </c>
    </row>
    <row r="325" spans="1:7" x14ac:dyDescent="0.25">
      <c r="A325" t="s">
        <v>183</v>
      </c>
      <c r="B325" s="90">
        <v>45904</v>
      </c>
      <c r="C325" s="90" t="s">
        <v>185</v>
      </c>
      <c r="D325" s="91">
        <v>2025</v>
      </c>
      <c r="E325" s="92">
        <v>217.58799999999999</v>
      </c>
      <c r="F325" s="92">
        <v>152.63059999999999</v>
      </c>
      <c r="G325" s="93">
        <f t="shared" si="5"/>
        <v>0.42558569513583788</v>
      </c>
    </row>
    <row r="326" spans="1:7" x14ac:dyDescent="0.25">
      <c r="A326" t="s">
        <v>183</v>
      </c>
      <c r="B326" s="90">
        <v>45905</v>
      </c>
      <c r="C326" s="90" t="s">
        <v>185</v>
      </c>
      <c r="D326" s="91">
        <v>2025</v>
      </c>
      <c r="E326" s="92">
        <v>217.40979999999999</v>
      </c>
      <c r="F326" s="92">
        <v>153.81829999999999</v>
      </c>
      <c r="G326" s="93">
        <f t="shared" si="5"/>
        <v>0.41341959961851082</v>
      </c>
    </row>
    <row r="327" spans="1:7" x14ac:dyDescent="0.25">
      <c r="A327" t="s">
        <v>183</v>
      </c>
      <c r="B327" s="90">
        <v>45906</v>
      </c>
      <c r="C327" s="90" t="s">
        <v>185</v>
      </c>
      <c r="D327" s="91">
        <v>2025</v>
      </c>
      <c r="E327" s="92">
        <v>216.73740000000001</v>
      </c>
      <c r="F327" s="92">
        <v>153.81829999999999</v>
      </c>
      <c r="G327" s="93">
        <f t="shared" si="5"/>
        <v>0.40904820817809084</v>
      </c>
    </row>
    <row r="328" spans="1:7" x14ac:dyDescent="0.25">
      <c r="A328" t="s">
        <v>183</v>
      </c>
      <c r="B328" s="90">
        <v>45907</v>
      </c>
      <c r="C328" s="90" t="s">
        <v>185</v>
      </c>
      <c r="D328" s="91">
        <v>2025</v>
      </c>
      <c r="E328" s="92">
        <v>217.4958</v>
      </c>
      <c r="F328" s="92">
        <v>153.81829999999999</v>
      </c>
      <c r="G328" s="93">
        <f t="shared" si="5"/>
        <v>0.41397870084378785</v>
      </c>
    </row>
    <row r="329" spans="1:7" x14ac:dyDescent="0.25">
      <c r="A329" t="s">
        <v>183</v>
      </c>
      <c r="B329" s="90">
        <v>45908</v>
      </c>
      <c r="C329" s="90" t="s">
        <v>185</v>
      </c>
      <c r="D329" s="91">
        <v>2025</v>
      </c>
      <c r="E329" s="92">
        <v>224.0076</v>
      </c>
      <c r="F329" s="92">
        <v>154.78880000000001</v>
      </c>
      <c r="G329" s="93">
        <f t="shared" si="5"/>
        <v>0.44718222507054772</v>
      </c>
    </row>
    <row r="330" spans="1:7" x14ac:dyDescent="0.25">
      <c r="A330" t="s">
        <v>183</v>
      </c>
      <c r="B330" s="90">
        <v>45909</v>
      </c>
      <c r="C330" s="90" t="s">
        <v>185</v>
      </c>
      <c r="D330" s="91">
        <v>2025</v>
      </c>
      <c r="E330" s="92">
        <v>230.4598</v>
      </c>
      <c r="F330" s="92">
        <v>156.17840000000001</v>
      </c>
      <c r="G330" s="93">
        <f t="shared" si="5"/>
        <v>0.47561890760822223</v>
      </c>
    </row>
    <row r="331" spans="1:7" x14ac:dyDescent="0.25">
      <c r="A331" t="s">
        <v>183</v>
      </c>
      <c r="B331" s="90">
        <v>45910</v>
      </c>
      <c r="C331" s="90" t="s">
        <v>185</v>
      </c>
      <c r="D331" s="91">
        <v>2025</v>
      </c>
      <c r="E331" s="92">
        <v>238.02</v>
      </c>
      <c r="F331" s="92">
        <v>157.53149999999999</v>
      </c>
      <c r="G331" s="93">
        <f t="shared" si="5"/>
        <v>0.51093590805648414</v>
      </c>
    </row>
    <row r="332" spans="1:7" x14ac:dyDescent="0.25">
      <c r="A332" t="s">
        <v>183</v>
      </c>
      <c r="B332" s="90">
        <v>45911</v>
      </c>
      <c r="C332" s="90" t="s">
        <v>185</v>
      </c>
      <c r="D332" s="91">
        <v>2025</v>
      </c>
      <c r="E332" s="92">
        <v>237.14779999999999</v>
      </c>
      <c r="F332" s="92">
        <v>158.7302</v>
      </c>
      <c r="G332" s="93">
        <f t="shared" si="5"/>
        <v>0.4940307515520046</v>
      </c>
    </row>
    <row r="333" spans="1:7" x14ac:dyDescent="0.25">
      <c r="A333" t="s">
        <v>183</v>
      </c>
      <c r="B333" s="90">
        <v>45912</v>
      </c>
      <c r="C333" s="90" t="s">
        <v>185</v>
      </c>
      <c r="D333" s="91">
        <v>2025</v>
      </c>
      <c r="E333" s="92">
        <v>242.33600000000001</v>
      </c>
      <c r="F333" s="92">
        <v>160.2473</v>
      </c>
      <c r="G333" s="93">
        <f t="shared" si="5"/>
        <v>0.51226260910480259</v>
      </c>
    </row>
    <row r="334" spans="1:7" x14ac:dyDescent="0.25">
      <c r="A334" t="s">
        <v>183</v>
      </c>
      <c r="B334" s="90">
        <v>45913</v>
      </c>
      <c r="C334" s="90" t="s">
        <v>185</v>
      </c>
      <c r="D334" s="91">
        <v>2025</v>
      </c>
      <c r="E334" s="92">
        <v>242.2594</v>
      </c>
      <c r="F334" s="92">
        <v>160.2473</v>
      </c>
      <c r="G334" s="93">
        <f t="shared" si="5"/>
        <v>0.51178459793082332</v>
      </c>
    </row>
    <row r="335" spans="1:7" x14ac:dyDescent="0.25">
      <c r="A335" t="s">
        <v>183</v>
      </c>
      <c r="B335" s="90">
        <v>45914</v>
      </c>
      <c r="C335" s="90" t="s">
        <v>185</v>
      </c>
      <c r="D335" s="91">
        <v>2025</v>
      </c>
      <c r="E335" s="92">
        <v>240.828</v>
      </c>
      <c r="F335" s="92">
        <v>160.2473</v>
      </c>
      <c r="G335" s="93">
        <f t="shared" si="5"/>
        <v>0.50285215413925854</v>
      </c>
    </row>
    <row r="336" spans="1:7" x14ac:dyDescent="0.25">
      <c r="A336" t="s">
        <v>183</v>
      </c>
      <c r="B336" s="90">
        <v>45915</v>
      </c>
      <c r="C336" s="90" t="s">
        <v>185</v>
      </c>
      <c r="D336" s="91">
        <v>2025</v>
      </c>
      <c r="E336" s="92">
        <v>244.28</v>
      </c>
      <c r="F336" s="92">
        <v>160.2473</v>
      </c>
      <c r="G336" s="93">
        <f t="shared" si="5"/>
        <v>0.52439385874208178</v>
      </c>
    </row>
    <row r="337" spans="1:9" x14ac:dyDescent="0.25">
      <c r="A337" t="s">
        <v>183</v>
      </c>
      <c r="B337" s="90">
        <v>45916</v>
      </c>
      <c r="C337" s="90" t="s">
        <v>185</v>
      </c>
      <c r="D337" s="91">
        <v>2025</v>
      </c>
      <c r="E337" s="92">
        <v>252.93379999999999</v>
      </c>
      <c r="F337" s="92">
        <v>161.68559999999999</v>
      </c>
      <c r="G337" s="93">
        <f t="shared" si="5"/>
        <v>0.56435576204683668</v>
      </c>
    </row>
    <row r="338" spans="1:9" x14ac:dyDescent="0.25">
      <c r="A338" t="s">
        <v>183</v>
      </c>
      <c r="B338" s="90">
        <v>45917</v>
      </c>
      <c r="C338" s="90" t="s">
        <v>185</v>
      </c>
      <c r="D338" s="91">
        <v>2025</v>
      </c>
      <c r="E338" s="92">
        <v>265.83850000000001</v>
      </c>
      <c r="F338" s="92">
        <v>163.44280000000001</v>
      </c>
      <c r="G338" s="93">
        <f t="shared" si="5"/>
        <v>0.62649257110132717</v>
      </c>
    </row>
    <row r="339" spans="1:9" x14ac:dyDescent="0.25">
      <c r="A339" t="s">
        <v>183</v>
      </c>
      <c r="B339" s="90">
        <v>45918</v>
      </c>
      <c r="C339" s="90" t="s">
        <v>185</v>
      </c>
      <c r="D339" s="91">
        <v>2025</v>
      </c>
      <c r="E339" s="92">
        <v>269.27449999999999</v>
      </c>
      <c r="F339" s="92">
        <v>165.20330000000001</v>
      </c>
      <c r="G339" s="93">
        <f t="shared" si="5"/>
        <v>0.62995836039594821</v>
      </c>
    </row>
    <row r="340" spans="1:9" x14ac:dyDescent="0.25">
      <c r="A340" t="s">
        <v>183</v>
      </c>
      <c r="B340" s="90">
        <v>45919</v>
      </c>
      <c r="C340" s="90" t="s">
        <v>185</v>
      </c>
      <c r="D340" s="91">
        <v>2025</v>
      </c>
      <c r="E340" s="92">
        <v>269.2758</v>
      </c>
      <c r="F340" s="92">
        <v>166.37520000000001</v>
      </c>
      <c r="G340" s="93">
        <f t="shared" si="5"/>
        <v>0.61848520692987896</v>
      </c>
    </row>
    <row r="341" spans="1:9" x14ac:dyDescent="0.25">
      <c r="A341" t="s">
        <v>183</v>
      </c>
      <c r="B341" s="90">
        <v>45920</v>
      </c>
      <c r="C341" s="90" t="s">
        <v>185</v>
      </c>
      <c r="D341" s="91">
        <v>2025</v>
      </c>
      <c r="E341" s="92">
        <v>265.95920000000001</v>
      </c>
      <c r="F341" s="92">
        <v>166.37520000000001</v>
      </c>
      <c r="G341" s="93">
        <f t="shared" si="5"/>
        <v>0.59855074554380705</v>
      </c>
    </row>
    <row r="342" spans="1:9" x14ac:dyDescent="0.25">
      <c r="A342" t="s">
        <v>183</v>
      </c>
      <c r="B342" s="90">
        <v>45921</v>
      </c>
      <c r="C342" s="90" t="s">
        <v>185</v>
      </c>
      <c r="D342" s="91">
        <v>2025</v>
      </c>
      <c r="E342" s="92">
        <v>265.57940000000002</v>
      </c>
      <c r="F342" s="92">
        <v>166.37520000000001</v>
      </c>
      <c r="G342" s="93">
        <f t="shared" si="5"/>
        <v>0.59626795339690064</v>
      </c>
    </row>
    <row r="343" spans="1:9" x14ac:dyDescent="0.25">
      <c r="A343" t="s">
        <v>183</v>
      </c>
      <c r="B343" s="90">
        <v>45922</v>
      </c>
      <c r="C343" s="90" t="s">
        <v>185</v>
      </c>
      <c r="D343" s="91">
        <v>2025</v>
      </c>
      <c r="E343" s="92">
        <v>268.99889999999999</v>
      </c>
      <c r="F343" s="92">
        <v>168.20519999999999</v>
      </c>
      <c r="G343" s="93">
        <f t="shared" si="5"/>
        <v>0.59923058264548312</v>
      </c>
    </row>
    <row r="344" spans="1:9" x14ac:dyDescent="0.25">
      <c r="A344" t="s">
        <v>183</v>
      </c>
      <c r="B344" s="90">
        <v>45923</v>
      </c>
      <c r="C344" s="90" t="s">
        <v>185</v>
      </c>
      <c r="D344" s="91">
        <v>2025</v>
      </c>
      <c r="E344" s="92">
        <v>279.97579999999999</v>
      </c>
      <c r="F344" s="92">
        <v>169.7636</v>
      </c>
      <c r="G344" s="93">
        <f t="shared" si="5"/>
        <v>0.6492098423925976</v>
      </c>
    </row>
    <row r="345" spans="1:9" x14ac:dyDescent="0.25">
      <c r="A345" t="s">
        <v>183</v>
      </c>
      <c r="B345" s="90">
        <v>45924</v>
      </c>
      <c r="C345" s="90" t="s">
        <v>185</v>
      </c>
      <c r="D345" s="91">
        <v>2025</v>
      </c>
      <c r="E345" s="92">
        <v>292.13799999999998</v>
      </c>
      <c r="F345" s="92">
        <v>171.631</v>
      </c>
      <c r="G345" s="93">
        <f t="shared" si="5"/>
        <v>0.7021284033770121</v>
      </c>
    </row>
    <row r="346" spans="1:9" x14ac:dyDescent="0.25">
      <c r="A346" t="s">
        <v>183</v>
      </c>
      <c r="B346" s="90">
        <v>45925</v>
      </c>
      <c r="C346" s="90" t="s">
        <v>185</v>
      </c>
      <c r="D346" s="91">
        <v>2025</v>
      </c>
      <c r="E346" s="92">
        <v>292.95639999999997</v>
      </c>
      <c r="F346" s="92">
        <v>173.5189</v>
      </c>
      <c r="G346" s="93">
        <f t="shared" si="5"/>
        <v>0.68832559450296182</v>
      </c>
    </row>
    <row r="347" spans="1:9" x14ac:dyDescent="0.25">
      <c r="A347" t="s">
        <v>183</v>
      </c>
      <c r="B347" s="90">
        <v>45926</v>
      </c>
      <c r="C347" s="90" t="s">
        <v>185</v>
      </c>
      <c r="D347" s="91">
        <v>2025</v>
      </c>
      <c r="E347" s="92">
        <v>293.89940000000001</v>
      </c>
      <c r="F347" s="92">
        <v>175.42750000000001</v>
      </c>
      <c r="G347" s="93">
        <f t="shared" si="5"/>
        <v>0.6753325447834575</v>
      </c>
    </row>
    <row r="348" spans="1:9" x14ac:dyDescent="0.25">
      <c r="A348" t="s">
        <v>183</v>
      </c>
      <c r="B348" s="90">
        <v>45927</v>
      </c>
      <c r="C348" s="90" t="s">
        <v>185</v>
      </c>
      <c r="D348" s="91">
        <v>2025</v>
      </c>
      <c r="E348" s="92">
        <v>282.94900000000001</v>
      </c>
      <c r="F348" s="92">
        <v>175.42750000000001</v>
      </c>
      <c r="G348" s="93">
        <f t="shared" si="5"/>
        <v>0.61291131664077758</v>
      </c>
    </row>
    <row r="349" spans="1:9" x14ac:dyDescent="0.25">
      <c r="A349" t="s">
        <v>183</v>
      </c>
      <c r="B349" s="90">
        <v>45928</v>
      </c>
      <c r="C349" s="90" t="s">
        <v>185</v>
      </c>
      <c r="D349" s="91">
        <v>2025</v>
      </c>
      <c r="E349" s="92">
        <v>284.06020000000001</v>
      </c>
      <c r="F349" s="92">
        <v>175.42750000000001</v>
      </c>
      <c r="G349" s="93">
        <f t="shared" si="5"/>
        <v>0.6192455572814981</v>
      </c>
    </row>
    <row r="350" spans="1:9" x14ac:dyDescent="0.25">
      <c r="A350" t="s">
        <v>186</v>
      </c>
      <c r="B350" s="90">
        <v>45929</v>
      </c>
      <c r="C350" s="90" t="s">
        <v>185</v>
      </c>
      <c r="D350" s="91">
        <v>2025</v>
      </c>
      <c r="E350" s="92">
        <v>288.62540000000001</v>
      </c>
      <c r="F350" s="92">
        <v>177.39230000000001</v>
      </c>
      <c r="G350" s="93">
        <f t="shared" si="5"/>
        <v>0.62704581878694854</v>
      </c>
    </row>
    <row r="351" spans="1:9" x14ac:dyDescent="0.25">
      <c r="A351" t="s">
        <v>186</v>
      </c>
      <c r="B351" s="90">
        <v>45930</v>
      </c>
      <c r="C351" s="90" t="s">
        <v>185</v>
      </c>
      <c r="D351" s="91">
        <v>2025</v>
      </c>
      <c r="E351" s="92">
        <v>291.95600000000002</v>
      </c>
      <c r="F351" s="92">
        <v>179.20650000000001</v>
      </c>
      <c r="G351" s="93">
        <f t="shared" si="5"/>
        <v>0.62915965659727746</v>
      </c>
      <c r="I351" t="s">
        <v>187</v>
      </c>
    </row>
    <row r="352" spans="1:9" x14ac:dyDescent="0.25">
      <c r="A352" t="s">
        <v>186</v>
      </c>
      <c r="B352" s="94">
        <v>45931</v>
      </c>
      <c r="C352" s="94" t="s">
        <v>171</v>
      </c>
      <c r="D352" s="95">
        <v>2025</v>
      </c>
      <c r="E352" s="96">
        <v>293.298</v>
      </c>
      <c r="F352" s="96">
        <v>181.0771</v>
      </c>
      <c r="G352" s="97">
        <f t="shared" si="5"/>
        <v>0.61974098326072147</v>
      </c>
    </row>
    <row r="353" spans="1:14" x14ac:dyDescent="0.25">
      <c r="A353" t="s">
        <v>186</v>
      </c>
      <c r="B353" s="94">
        <v>45932</v>
      </c>
      <c r="C353" s="94" t="s">
        <v>171</v>
      </c>
      <c r="D353" s="95">
        <v>2025</v>
      </c>
      <c r="E353" s="96">
        <v>296.36599999999999</v>
      </c>
      <c r="F353" s="96">
        <v>182.90799999999999</v>
      </c>
      <c r="G353" s="97">
        <f t="shared" si="5"/>
        <v>0.62030091630765205</v>
      </c>
    </row>
    <row r="354" spans="1:14" x14ac:dyDescent="0.25">
      <c r="A354" t="s">
        <v>186</v>
      </c>
      <c r="B354" s="94">
        <v>45933</v>
      </c>
      <c r="C354" s="94" t="s">
        <v>171</v>
      </c>
      <c r="D354" s="95">
        <v>2025</v>
      </c>
      <c r="E354" s="96">
        <v>295.08780000000002</v>
      </c>
      <c r="F354" s="96">
        <v>185.16659999999999</v>
      </c>
      <c r="G354" s="97">
        <f t="shared" si="5"/>
        <v>0.59363405711397221</v>
      </c>
    </row>
    <row r="355" spans="1:14" x14ac:dyDescent="0.25">
      <c r="A355" t="s">
        <v>186</v>
      </c>
      <c r="B355" s="94">
        <v>45934</v>
      </c>
      <c r="C355" s="94" t="s">
        <v>171</v>
      </c>
      <c r="D355" s="95">
        <v>2025</v>
      </c>
      <c r="E355" s="96">
        <v>291.0376</v>
      </c>
      <c r="F355" s="96">
        <v>185.16659999999999</v>
      </c>
      <c r="G355" s="97">
        <f t="shared" si="5"/>
        <v>0.57176078191207269</v>
      </c>
    </row>
    <row r="356" spans="1:14" x14ac:dyDescent="0.25">
      <c r="A356" t="s">
        <v>186</v>
      </c>
      <c r="B356" s="94">
        <v>45935</v>
      </c>
      <c r="C356" s="94" t="s">
        <v>171</v>
      </c>
      <c r="D356" s="95">
        <v>2025</v>
      </c>
      <c r="E356" s="96">
        <v>291.1798</v>
      </c>
      <c r="F356" s="96">
        <v>185.16659999999999</v>
      </c>
      <c r="G356" s="97">
        <f t="shared" si="5"/>
        <v>0.57252873898424461</v>
      </c>
    </row>
    <row r="357" spans="1:14" x14ac:dyDescent="0.25">
      <c r="A357" t="s">
        <v>186</v>
      </c>
      <c r="B357" s="94">
        <v>45936</v>
      </c>
      <c r="C357" s="94" t="s">
        <v>171</v>
      </c>
      <c r="D357" s="95">
        <v>2025</v>
      </c>
      <c r="E357" s="96">
        <v>295.47919999999999</v>
      </c>
      <c r="F357" s="96">
        <v>187.05520000000001</v>
      </c>
      <c r="G357" s="97">
        <f t="shared" si="5"/>
        <v>0.57963638540922657</v>
      </c>
    </row>
    <row r="358" spans="1:14" x14ac:dyDescent="0.25">
      <c r="A358" t="s">
        <v>186</v>
      </c>
      <c r="B358" s="94">
        <v>45937</v>
      </c>
      <c r="C358" s="94" t="s">
        <v>171</v>
      </c>
      <c r="D358" s="95">
        <v>2025</v>
      </c>
      <c r="E358" s="96">
        <v>299.73700000000002</v>
      </c>
      <c r="F358" s="96">
        <v>189.02279999999999</v>
      </c>
      <c r="G358" s="97">
        <f t="shared" si="5"/>
        <v>0.5857187598533089</v>
      </c>
    </row>
    <row r="359" spans="1:14" x14ac:dyDescent="0.25">
      <c r="A359" t="s">
        <v>186</v>
      </c>
      <c r="B359" s="94">
        <v>45938</v>
      </c>
      <c r="C359" s="94" t="s">
        <v>171</v>
      </c>
      <c r="D359" s="95">
        <v>2025</v>
      </c>
      <c r="E359" s="96">
        <v>301.88959999999997</v>
      </c>
      <c r="F359" s="96">
        <v>191.12690000000001</v>
      </c>
      <c r="G359" s="97">
        <f t="shared" si="5"/>
        <v>0.57952438929318673</v>
      </c>
    </row>
    <row r="360" spans="1:14" x14ac:dyDescent="0.25">
      <c r="A360" t="s">
        <v>186</v>
      </c>
      <c r="B360" s="94">
        <v>45939</v>
      </c>
      <c r="C360" s="94" t="s">
        <v>171</v>
      </c>
      <c r="D360" s="95">
        <v>2025</v>
      </c>
      <c r="E360" s="96">
        <v>299.45060000000001</v>
      </c>
      <c r="F360" s="96">
        <v>193.05799999999999</v>
      </c>
      <c r="G360" s="97">
        <f t="shared" si="5"/>
        <v>0.55109138186451756</v>
      </c>
    </row>
    <row r="361" spans="1:14" x14ac:dyDescent="0.25">
      <c r="A361" t="s">
        <v>186</v>
      </c>
      <c r="B361" s="94">
        <v>45940</v>
      </c>
      <c r="C361" s="94" t="s">
        <v>171</v>
      </c>
      <c r="D361" s="95">
        <v>2025</v>
      </c>
      <c r="E361" s="96">
        <v>297.06979999999999</v>
      </c>
      <c r="F361" s="96">
        <v>195.005</v>
      </c>
      <c r="G361" s="97">
        <f t="shared" si="5"/>
        <v>0.52339581036383676</v>
      </c>
    </row>
    <row r="362" spans="1:14" x14ac:dyDescent="0.25">
      <c r="A362" t="s">
        <v>186</v>
      </c>
      <c r="B362" s="94">
        <v>45941</v>
      </c>
      <c r="C362" s="94" t="s">
        <v>171</v>
      </c>
      <c r="D362" s="95">
        <v>2025</v>
      </c>
      <c r="E362" s="96">
        <v>293.43799999999999</v>
      </c>
      <c r="F362" s="96">
        <v>195.005</v>
      </c>
      <c r="G362" s="97">
        <f t="shared" si="5"/>
        <v>0.50477167252121746</v>
      </c>
    </row>
    <row r="363" spans="1:14" x14ac:dyDescent="0.25">
      <c r="A363" t="s">
        <v>186</v>
      </c>
      <c r="B363" s="94">
        <v>45942</v>
      </c>
      <c r="C363" s="94" t="s">
        <v>171</v>
      </c>
      <c r="D363" s="95">
        <v>2025</v>
      </c>
      <c r="E363" s="96">
        <v>294.55560000000003</v>
      </c>
      <c r="F363" s="96">
        <v>195.005</v>
      </c>
      <c r="G363" s="97">
        <f t="shared" si="5"/>
        <v>0.51050280762031752</v>
      </c>
    </row>
    <row r="364" spans="1:14" x14ac:dyDescent="0.25">
      <c r="A364" t="s">
        <v>186</v>
      </c>
      <c r="B364" s="94">
        <v>45943</v>
      </c>
      <c r="C364" s="94" t="s">
        <v>171</v>
      </c>
      <c r="D364" s="95">
        <v>2025</v>
      </c>
      <c r="E364" s="96">
        <v>297.03179999999998</v>
      </c>
      <c r="F364" s="96">
        <v>196.999</v>
      </c>
      <c r="G364" s="97">
        <f t="shared" si="5"/>
        <v>0.50778328824004171</v>
      </c>
    </row>
    <row r="365" spans="1:14" x14ac:dyDescent="0.25">
      <c r="A365" t="s">
        <v>186</v>
      </c>
      <c r="B365" s="94">
        <v>45944</v>
      </c>
      <c r="C365" s="94" t="s">
        <v>171</v>
      </c>
      <c r="D365" s="95">
        <v>2025</v>
      </c>
      <c r="E365" s="96">
        <v>295.97039999999998</v>
      </c>
      <c r="F365" s="96">
        <v>198.85830000000001</v>
      </c>
      <c r="G365" s="97">
        <f t="shared" si="5"/>
        <v>0.48834823590466159</v>
      </c>
    </row>
    <row r="366" spans="1:14" x14ac:dyDescent="0.25">
      <c r="A366" t="s">
        <v>186</v>
      </c>
      <c r="B366" s="94">
        <v>45945</v>
      </c>
      <c r="C366" s="94" t="s">
        <v>171</v>
      </c>
      <c r="D366" s="95">
        <v>2025</v>
      </c>
      <c r="E366" s="96">
        <v>294.4776</v>
      </c>
      <c r="F366" s="96">
        <v>201.21469999999999</v>
      </c>
      <c r="G366" s="97">
        <f t="shared" si="5"/>
        <v>0.46349943617439493</v>
      </c>
      <c r="N366" s="1"/>
    </row>
    <row r="367" spans="1:14" x14ac:dyDescent="0.25">
      <c r="A367" t="s">
        <v>186</v>
      </c>
      <c r="B367" s="94">
        <v>45946</v>
      </c>
      <c r="C367" s="94" t="s">
        <v>171</v>
      </c>
      <c r="D367" s="95">
        <v>2025</v>
      </c>
      <c r="E367" s="96">
        <v>295.88240000000002</v>
      </c>
      <c r="F367" s="96">
        <v>203.4873</v>
      </c>
      <c r="G367" s="97">
        <f t="shared" si="5"/>
        <v>0.45405831223865079</v>
      </c>
      <c r="L367" s="1"/>
      <c r="N367" s="1"/>
    </row>
    <row r="368" spans="1:14" x14ac:dyDescent="0.25">
      <c r="A368" t="s">
        <v>186</v>
      </c>
      <c r="B368" s="94">
        <v>45947</v>
      </c>
      <c r="C368" s="94" t="s">
        <v>171</v>
      </c>
      <c r="D368" s="95">
        <v>2025</v>
      </c>
      <c r="E368" s="96">
        <v>296.42</v>
      </c>
      <c r="F368" s="98">
        <v>203.74199999999999</v>
      </c>
      <c r="G368" s="97">
        <f t="shared" si="5"/>
        <v>0.45487920998125086</v>
      </c>
      <c r="L368" s="1"/>
      <c r="M368" s="1"/>
    </row>
    <row r="369" spans="1:11" x14ac:dyDescent="0.25">
      <c r="A369" t="s">
        <v>186</v>
      </c>
      <c r="B369" s="94">
        <v>45948</v>
      </c>
      <c r="C369" s="94" t="s">
        <v>171</v>
      </c>
      <c r="D369" s="95">
        <v>2025</v>
      </c>
      <c r="E369" s="98">
        <v>297.67739999999998</v>
      </c>
      <c r="F369" s="98">
        <v>203.74199999999999</v>
      </c>
      <c r="G369" s="97">
        <f t="shared" si="5"/>
        <v>0.46105074064257723</v>
      </c>
    </row>
    <row r="370" spans="1:11" x14ac:dyDescent="0.25">
      <c r="A370" t="s">
        <v>186</v>
      </c>
      <c r="B370" s="94">
        <v>45949</v>
      </c>
      <c r="C370" s="94" t="s">
        <v>171</v>
      </c>
      <c r="D370" s="95">
        <v>2025</v>
      </c>
      <c r="E370" s="98">
        <v>301.92540000000002</v>
      </c>
      <c r="F370" s="98">
        <v>203.74199999999999</v>
      </c>
      <c r="G370" s="97">
        <f t="shared" si="5"/>
        <v>0.48190063904349634</v>
      </c>
    </row>
    <row r="371" spans="1:11" x14ac:dyDescent="0.25">
      <c r="A371" t="s">
        <v>186</v>
      </c>
      <c r="B371" s="94">
        <v>45950</v>
      </c>
      <c r="C371" s="94" t="s">
        <v>171</v>
      </c>
      <c r="D371" s="95">
        <v>2025</v>
      </c>
      <c r="E371" s="98">
        <v>302.19560000000001</v>
      </c>
      <c r="F371" s="98">
        <v>205.6754</v>
      </c>
      <c r="G371" s="97">
        <f t="shared" si="5"/>
        <v>0.46928412440184886</v>
      </c>
    </row>
    <row r="372" spans="1:11" x14ac:dyDescent="0.25">
      <c r="A372" t="s">
        <v>186</v>
      </c>
      <c r="B372" s="94">
        <v>45951</v>
      </c>
      <c r="C372" s="94" t="s">
        <v>171</v>
      </c>
      <c r="D372" s="95">
        <v>2025</v>
      </c>
      <c r="E372" s="98">
        <v>305.57659999999998</v>
      </c>
      <c r="F372" s="98">
        <v>207.8938</v>
      </c>
      <c r="G372" s="97">
        <f t="shared" si="5"/>
        <v>0.4698687502946215</v>
      </c>
      <c r="J372" t="s">
        <v>188</v>
      </c>
      <c r="K372" t="s">
        <v>189</v>
      </c>
    </row>
    <row r="373" spans="1:11" x14ac:dyDescent="0.25">
      <c r="A373" t="s">
        <v>186</v>
      </c>
      <c r="B373" s="94">
        <v>45952</v>
      </c>
      <c r="C373" s="94" t="s">
        <v>171</v>
      </c>
      <c r="D373" s="95">
        <v>2025</v>
      </c>
      <c r="E373" s="98">
        <v>305.2998</v>
      </c>
      <c r="F373" s="98">
        <v>210.2825</v>
      </c>
      <c r="G373" s="97">
        <f t="shared" si="5"/>
        <v>0.45185548012792309</v>
      </c>
      <c r="J373" s="2">
        <f>E373/E78-1</f>
        <v>3.6364323897460817</v>
      </c>
      <c r="K373" s="2">
        <f>F373/F78-1</f>
        <v>3.0519201495269481</v>
      </c>
    </row>
    <row r="374" spans="1:11" x14ac:dyDescent="0.25">
      <c r="A374" t="s">
        <v>186</v>
      </c>
      <c r="B374" s="94">
        <v>45953</v>
      </c>
      <c r="C374" s="94" t="s">
        <v>171</v>
      </c>
      <c r="D374" s="95">
        <v>2025</v>
      </c>
      <c r="E374" s="98">
        <v>306.14600000000002</v>
      </c>
      <c r="F374" s="98">
        <v>212.48</v>
      </c>
      <c r="G374" s="97">
        <f t="shared" si="5"/>
        <v>0.44082266566265083</v>
      </c>
    </row>
    <row r="375" spans="1:11" x14ac:dyDescent="0.25">
      <c r="A375" t="s">
        <v>186</v>
      </c>
      <c r="B375" s="94">
        <v>45954</v>
      </c>
      <c r="C375" s="94" t="s">
        <v>171</v>
      </c>
      <c r="D375" s="95">
        <v>2025</v>
      </c>
      <c r="E375" s="98">
        <v>306.75799999999998</v>
      </c>
      <c r="F375" s="98">
        <v>214.41900000000001</v>
      </c>
      <c r="G375" s="97">
        <f t="shared" si="5"/>
        <v>0.4306474706066159</v>
      </c>
    </row>
    <row r="376" spans="1:11" x14ac:dyDescent="0.25">
      <c r="A376" t="s">
        <v>186</v>
      </c>
      <c r="B376" s="94">
        <v>45955</v>
      </c>
      <c r="C376" s="94" t="s">
        <v>171</v>
      </c>
      <c r="D376" s="95">
        <v>2025</v>
      </c>
      <c r="E376" s="98">
        <v>305.55799999999999</v>
      </c>
      <c r="F376" s="98">
        <v>214.41900000000001</v>
      </c>
      <c r="G376" s="97">
        <f t="shared" si="5"/>
        <v>0.42505095164141227</v>
      </c>
    </row>
    <row r="377" spans="1:11" x14ac:dyDescent="0.25">
      <c r="A377" t="s">
        <v>186</v>
      </c>
      <c r="B377" s="94">
        <v>45956</v>
      </c>
      <c r="C377" s="94" t="s">
        <v>171</v>
      </c>
      <c r="D377" s="95">
        <v>2025</v>
      </c>
      <c r="E377" s="98">
        <v>304.476</v>
      </c>
      <c r="F377" s="98">
        <v>214.41900000000001</v>
      </c>
      <c r="G377" s="97">
        <f>E377/F377-1</f>
        <v>0.42000475704112028</v>
      </c>
    </row>
    <row r="378" spans="1:11" x14ac:dyDescent="0.25">
      <c r="A378" t="s">
        <v>186</v>
      </c>
      <c r="B378" s="94">
        <v>45957</v>
      </c>
      <c r="C378" s="94" t="s">
        <v>171</v>
      </c>
      <c r="D378" s="95">
        <v>2025</v>
      </c>
      <c r="E378" s="98">
        <v>304.41980000000001</v>
      </c>
      <c r="F378" s="98">
        <v>216.37139999999999</v>
      </c>
      <c r="G378" s="97">
        <f t="shared" ref="G378:G414" si="6">E378/F378-1</f>
        <v>0.40693178488469361</v>
      </c>
    </row>
    <row r="379" spans="1:11" x14ac:dyDescent="0.25">
      <c r="A379" t="s">
        <v>186</v>
      </c>
      <c r="B379" s="94">
        <v>45958</v>
      </c>
      <c r="C379" s="94" t="s">
        <v>171</v>
      </c>
      <c r="D379" s="95">
        <v>2025</v>
      </c>
      <c r="E379" s="98">
        <v>310.57299999999998</v>
      </c>
      <c r="F379" s="99">
        <v>218.17</v>
      </c>
      <c r="G379" s="97">
        <f t="shared" si="6"/>
        <v>0.42353669157079343</v>
      </c>
    </row>
    <row r="380" spans="1:11" x14ac:dyDescent="0.25">
      <c r="A380" t="s">
        <v>186</v>
      </c>
      <c r="B380" s="94">
        <v>45959</v>
      </c>
      <c r="C380" s="94" t="s">
        <v>171</v>
      </c>
      <c r="D380" s="95">
        <v>2025</v>
      </c>
      <c r="E380" s="98">
        <v>307.87</v>
      </c>
      <c r="F380" s="99">
        <v>219.87370000000001</v>
      </c>
      <c r="G380" s="97">
        <f t="shared" si="6"/>
        <v>0.40021294042898248</v>
      </c>
    </row>
    <row r="381" spans="1:11" x14ac:dyDescent="0.25">
      <c r="A381" t="s">
        <v>186</v>
      </c>
      <c r="B381" s="94">
        <v>45960</v>
      </c>
      <c r="C381" s="94" t="s">
        <v>171</v>
      </c>
      <c r="D381" s="95">
        <v>2025</v>
      </c>
      <c r="E381" s="98">
        <v>304.77999999999997</v>
      </c>
      <c r="F381" s="99">
        <v>221.74379999999999</v>
      </c>
      <c r="G381" s="97">
        <f t="shared" si="6"/>
        <v>0.37446909451357824</v>
      </c>
    </row>
    <row r="382" spans="1:11" ht="15" customHeight="1" x14ac:dyDescent="0.25">
      <c r="A382" t="s">
        <v>186</v>
      </c>
      <c r="B382" s="94">
        <v>45961</v>
      </c>
      <c r="C382" s="94" t="s">
        <v>171</v>
      </c>
      <c r="D382" s="95">
        <v>2025</v>
      </c>
      <c r="E382" s="98">
        <v>302.19</v>
      </c>
      <c r="F382" s="100">
        <v>223.64590000000001</v>
      </c>
      <c r="G382" s="97">
        <f t="shared" si="6"/>
        <v>0.35119847938191562</v>
      </c>
    </row>
    <row r="383" spans="1:11" ht="15" customHeight="1" x14ac:dyDescent="0.25">
      <c r="B383" s="101">
        <v>45962</v>
      </c>
      <c r="C383" s="101" t="s">
        <v>172</v>
      </c>
      <c r="D383" s="102">
        <v>2025</v>
      </c>
      <c r="E383" s="103">
        <v>300.37</v>
      </c>
      <c r="F383" s="104">
        <v>223.64590000000001</v>
      </c>
      <c r="G383" s="105">
        <f t="shared" si="6"/>
        <v>0.34306061501686358</v>
      </c>
    </row>
    <row r="384" spans="1:11" ht="15" customHeight="1" x14ac:dyDescent="0.25">
      <c r="B384" s="101">
        <v>45963</v>
      </c>
      <c r="C384" s="101" t="s">
        <v>172</v>
      </c>
      <c r="D384" s="102">
        <v>2025</v>
      </c>
      <c r="E384" s="103">
        <v>302.51</v>
      </c>
      <c r="F384" s="104">
        <v>223.64590000000001</v>
      </c>
      <c r="G384" s="105">
        <f t="shared" si="6"/>
        <v>0.35262931267686981</v>
      </c>
    </row>
    <row r="385" spans="2:7" ht="15" customHeight="1" x14ac:dyDescent="0.25">
      <c r="B385" s="101">
        <v>45964</v>
      </c>
      <c r="C385" s="101" t="s">
        <v>172</v>
      </c>
      <c r="D385" s="102">
        <v>2025</v>
      </c>
      <c r="E385" s="103">
        <v>306.36</v>
      </c>
      <c r="F385" s="104">
        <v>223.9622</v>
      </c>
      <c r="G385" s="105">
        <f t="shared" si="6"/>
        <v>0.36790940614085788</v>
      </c>
    </row>
    <row r="386" spans="2:7" ht="15" customHeight="1" x14ac:dyDescent="0.25">
      <c r="B386" s="101">
        <v>45965</v>
      </c>
      <c r="C386" s="101" t="s">
        <v>172</v>
      </c>
      <c r="D386" s="102">
        <v>2025</v>
      </c>
      <c r="E386" s="103">
        <v>310.58999999999997</v>
      </c>
      <c r="F386" s="104">
        <v>224.37620000000001</v>
      </c>
      <c r="G386" s="105">
        <f t="shared" si="6"/>
        <v>0.38423772218265562</v>
      </c>
    </row>
    <row r="387" spans="2:7" ht="15" customHeight="1" x14ac:dyDescent="0.25">
      <c r="B387" s="101">
        <v>45966</v>
      </c>
      <c r="C387" s="101" t="s">
        <v>172</v>
      </c>
      <c r="D387" s="102">
        <v>2025</v>
      </c>
      <c r="E387" s="103">
        <v>316.95</v>
      </c>
      <c r="F387" s="104">
        <v>226.13050000000001</v>
      </c>
      <c r="G387" s="105">
        <f t="shared" si="6"/>
        <v>0.40162428332312516</v>
      </c>
    </row>
    <row r="388" spans="2:7" ht="15" customHeight="1" x14ac:dyDescent="0.25">
      <c r="B388" s="101">
        <v>45967</v>
      </c>
      <c r="C388" s="101" t="s">
        <v>172</v>
      </c>
      <c r="D388" s="102">
        <v>2025</v>
      </c>
      <c r="E388" s="103">
        <v>316.60000000000002</v>
      </c>
      <c r="F388" s="104">
        <v>227.55670000000001</v>
      </c>
      <c r="G388" s="105">
        <f t="shared" si="6"/>
        <v>0.39130159648122875</v>
      </c>
    </row>
    <row r="389" spans="2:7" ht="15" customHeight="1" x14ac:dyDescent="0.25">
      <c r="B389" s="101">
        <v>45968</v>
      </c>
      <c r="C389" s="101" t="s">
        <v>172</v>
      </c>
      <c r="D389" s="102">
        <v>2025</v>
      </c>
      <c r="E389" s="103">
        <v>316.95999999999998</v>
      </c>
      <c r="F389" s="104">
        <v>228.4796</v>
      </c>
      <c r="G389" s="105">
        <f t="shared" si="6"/>
        <v>0.3872573306325815</v>
      </c>
    </row>
    <row r="390" spans="2:7" ht="15" customHeight="1" x14ac:dyDescent="0.25">
      <c r="B390" s="101">
        <v>45969</v>
      </c>
      <c r="C390" s="101" t="s">
        <v>172</v>
      </c>
      <c r="D390" s="102">
        <v>2025</v>
      </c>
      <c r="E390" s="103">
        <v>314.95</v>
      </c>
      <c r="F390" s="104">
        <v>228.4796</v>
      </c>
      <c r="G390" s="105">
        <f t="shared" si="6"/>
        <v>0.37846004632361052</v>
      </c>
    </row>
    <row r="391" spans="2:7" ht="15" customHeight="1" x14ac:dyDescent="0.25">
      <c r="B391" s="101">
        <v>45970</v>
      </c>
      <c r="C391" s="101" t="s">
        <v>172</v>
      </c>
      <c r="D391" s="102">
        <v>2025</v>
      </c>
      <c r="E391" s="103">
        <v>316.64999999999998</v>
      </c>
      <c r="F391" s="104">
        <v>228.4796</v>
      </c>
      <c r="G391" s="105">
        <f t="shared" si="6"/>
        <v>0.38590053554015302</v>
      </c>
    </row>
    <row r="392" spans="2:7" ht="15" customHeight="1" x14ac:dyDescent="0.25">
      <c r="B392" s="101">
        <v>45971</v>
      </c>
      <c r="C392" s="101" t="s">
        <v>172</v>
      </c>
      <c r="D392" s="102">
        <v>2025</v>
      </c>
      <c r="E392" s="103">
        <v>326.8</v>
      </c>
      <c r="F392" s="104">
        <v>231.0462</v>
      </c>
      <c r="G392" s="105">
        <f t="shared" si="6"/>
        <v>0.4144357275731001</v>
      </c>
    </row>
    <row r="393" spans="2:7" ht="15" customHeight="1" x14ac:dyDescent="0.25">
      <c r="B393" s="101">
        <v>45972</v>
      </c>
      <c r="C393" s="101" t="s">
        <v>172</v>
      </c>
      <c r="D393" s="102">
        <v>2025</v>
      </c>
      <c r="E393" s="103">
        <v>334.37</v>
      </c>
      <c r="F393" s="104">
        <v>231.09379999999999</v>
      </c>
      <c r="G393" s="105">
        <f t="shared" si="6"/>
        <v>0.4469016477291905</v>
      </c>
    </row>
    <row r="394" spans="2:7" ht="15" customHeight="1" x14ac:dyDescent="0.25">
      <c r="B394" s="101">
        <v>45973</v>
      </c>
      <c r="C394" s="101" t="s">
        <v>172</v>
      </c>
      <c r="D394" s="102">
        <v>2025</v>
      </c>
      <c r="E394" s="103">
        <v>343.54</v>
      </c>
      <c r="F394" s="104">
        <v>233.04580000000001</v>
      </c>
      <c r="G394" s="105">
        <f t="shared" si="6"/>
        <v>0.47413083608458084</v>
      </c>
    </row>
    <row r="395" spans="2:7" ht="15" customHeight="1" x14ac:dyDescent="0.25">
      <c r="B395" s="101">
        <v>45974</v>
      </c>
      <c r="C395" s="101" t="s">
        <v>172</v>
      </c>
      <c r="D395" s="102">
        <v>2025</v>
      </c>
      <c r="E395" s="103">
        <v>328.56</v>
      </c>
      <c r="F395" s="104">
        <v>233.55760000000001</v>
      </c>
      <c r="G395" s="105">
        <f t="shared" si="6"/>
        <v>0.40676218628723704</v>
      </c>
    </row>
    <row r="396" spans="2:7" ht="15" customHeight="1" x14ac:dyDescent="0.25">
      <c r="B396" s="101">
        <v>45975</v>
      </c>
      <c r="C396" s="101" t="s">
        <v>172</v>
      </c>
      <c r="D396" s="102">
        <v>2025</v>
      </c>
      <c r="E396" s="103">
        <v>326.83999999999997</v>
      </c>
      <c r="F396" s="104">
        <v>234.8715</v>
      </c>
      <c r="G396" s="105">
        <f t="shared" si="6"/>
        <v>0.39156943264721344</v>
      </c>
    </row>
    <row r="397" spans="2:7" ht="15" customHeight="1" x14ac:dyDescent="0.25">
      <c r="B397" s="101">
        <v>45976</v>
      </c>
      <c r="C397" s="101" t="s">
        <v>172</v>
      </c>
      <c r="D397" s="102">
        <v>2025</v>
      </c>
      <c r="E397" s="103">
        <v>324.11</v>
      </c>
      <c r="F397" s="104">
        <v>234.8715</v>
      </c>
      <c r="G397" s="105">
        <f t="shared" si="6"/>
        <v>0.37994605560913097</v>
      </c>
    </row>
    <row r="398" spans="2:7" ht="15" customHeight="1" x14ac:dyDescent="0.25">
      <c r="B398" s="101">
        <v>45977</v>
      </c>
      <c r="C398" s="101" t="s">
        <v>172</v>
      </c>
      <c r="D398" s="102">
        <v>2025</v>
      </c>
      <c r="E398" s="103">
        <v>331.65</v>
      </c>
      <c r="F398" s="104">
        <v>234.8715</v>
      </c>
      <c r="G398" s="105">
        <f t="shared" si="6"/>
        <v>0.41204871600002546</v>
      </c>
    </row>
    <row r="399" spans="2:7" ht="15" customHeight="1" x14ac:dyDescent="0.25">
      <c r="B399" s="101">
        <v>45978</v>
      </c>
      <c r="C399" s="101" t="s">
        <v>172</v>
      </c>
      <c r="D399" s="102">
        <v>2025</v>
      </c>
      <c r="E399" s="103">
        <v>328.88</v>
      </c>
      <c r="F399" s="104">
        <v>236.46010000000001</v>
      </c>
      <c r="G399" s="105">
        <f t="shared" si="6"/>
        <v>0.39084775824758577</v>
      </c>
    </row>
    <row r="400" spans="2:7" ht="15" customHeight="1" x14ac:dyDescent="0.25">
      <c r="B400" s="101">
        <v>45979</v>
      </c>
      <c r="C400" s="101" t="s">
        <v>172</v>
      </c>
      <c r="D400" s="102">
        <v>2025</v>
      </c>
      <c r="E400" s="103">
        <v>337.09</v>
      </c>
      <c r="F400" s="104">
        <v>236.8389</v>
      </c>
      <c r="G400" s="105">
        <f t="shared" si="6"/>
        <v>0.42328815072186199</v>
      </c>
    </row>
    <row r="401" spans="2:7" ht="15" customHeight="1" x14ac:dyDescent="0.25">
      <c r="B401" s="101">
        <v>45980</v>
      </c>
      <c r="C401" s="101" t="s">
        <v>172</v>
      </c>
      <c r="D401" s="102">
        <v>2025</v>
      </c>
      <c r="E401" s="103">
        <v>343.82</v>
      </c>
      <c r="F401" s="104">
        <v>237.75049999999999</v>
      </c>
      <c r="G401" s="105">
        <f t="shared" si="6"/>
        <v>0.44613786301185487</v>
      </c>
    </row>
    <row r="402" spans="2:7" ht="15" customHeight="1" x14ac:dyDescent="0.25">
      <c r="B402" s="101">
        <v>45981</v>
      </c>
      <c r="C402" s="101" t="s">
        <v>172</v>
      </c>
      <c r="D402" s="102">
        <v>2025</v>
      </c>
      <c r="E402" s="103">
        <v>345.96</v>
      </c>
      <c r="F402" s="104">
        <v>240.32089999999999</v>
      </c>
      <c r="G402" s="105">
        <f t="shared" si="6"/>
        <v>0.43957516803573893</v>
      </c>
    </row>
    <row r="403" spans="2:7" ht="15" customHeight="1" x14ac:dyDescent="0.25">
      <c r="B403" s="101">
        <v>45982</v>
      </c>
      <c r="C403" s="101" t="s">
        <v>172</v>
      </c>
      <c r="D403" s="102">
        <v>2025</v>
      </c>
      <c r="E403" s="103">
        <v>340.12</v>
      </c>
      <c r="F403" s="104">
        <v>241.578</v>
      </c>
      <c r="G403" s="105">
        <f t="shared" si="6"/>
        <v>0.40790966064790668</v>
      </c>
    </row>
    <row r="404" spans="2:7" ht="15" customHeight="1" x14ac:dyDescent="0.25">
      <c r="B404" s="101">
        <v>45983</v>
      </c>
      <c r="C404" s="101" t="s">
        <v>172</v>
      </c>
      <c r="D404" s="102">
        <v>2025</v>
      </c>
      <c r="E404" s="103">
        <v>340.32</v>
      </c>
      <c r="F404" s="104">
        <v>241.578</v>
      </c>
      <c r="G404" s="105">
        <f t="shared" si="6"/>
        <v>0.40873755060477346</v>
      </c>
    </row>
    <row r="405" spans="2:7" ht="15" customHeight="1" x14ac:dyDescent="0.25">
      <c r="B405" s="101">
        <v>45984</v>
      </c>
      <c r="C405" s="101" t="s">
        <v>172</v>
      </c>
      <c r="D405" s="102">
        <v>2025</v>
      </c>
      <c r="E405" s="103">
        <v>350.69</v>
      </c>
      <c r="F405" s="104">
        <v>241.578</v>
      </c>
      <c r="G405" s="105">
        <f t="shared" si="6"/>
        <v>0.451663644868324</v>
      </c>
    </row>
    <row r="406" spans="2:7" ht="15" customHeight="1" x14ac:dyDescent="0.25">
      <c r="B406" s="101">
        <v>45985</v>
      </c>
      <c r="C406" s="101" t="s">
        <v>172</v>
      </c>
      <c r="D406" s="102">
        <v>2025</v>
      </c>
      <c r="E406" s="103">
        <v>357.63</v>
      </c>
      <c r="F406" s="104">
        <v>241.578</v>
      </c>
      <c r="G406" s="105">
        <f t="shared" si="6"/>
        <v>0.4803914263716067</v>
      </c>
    </row>
    <row r="407" spans="2:7" ht="15" customHeight="1" x14ac:dyDescent="0.25">
      <c r="B407" s="101">
        <v>45986</v>
      </c>
      <c r="C407" s="101" t="s">
        <v>172</v>
      </c>
      <c r="D407" s="102">
        <v>2025</v>
      </c>
      <c r="E407" s="103">
        <v>369.49</v>
      </c>
      <c r="F407" s="104">
        <v>243.1105</v>
      </c>
      <c r="G407" s="105">
        <f t="shared" si="6"/>
        <v>0.51984385701152358</v>
      </c>
    </row>
    <row r="408" spans="2:7" ht="15" customHeight="1" x14ac:dyDescent="0.25">
      <c r="B408" s="101">
        <v>45987</v>
      </c>
      <c r="C408" s="101" t="s">
        <v>172</v>
      </c>
      <c r="D408" s="102">
        <v>2025</v>
      </c>
      <c r="E408" s="103">
        <v>369.36</v>
      </c>
      <c r="F408" s="104">
        <v>243.5727</v>
      </c>
      <c r="G408" s="105">
        <f t="shared" si="6"/>
        <v>0.51642610193999583</v>
      </c>
    </row>
    <row r="409" spans="2:7" ht="15" customHeight="1" x14ac:dyDescent="0.25">
      <c r="B409" s="101">
        <v>45988</v>
      </c>
      <c r="C409" s="101" t="s">
        <v>172</v>
      </c>
      <c r="D409" s="102">
        <v>2025</v>
      </c>
      <c r="E409" s="103">
        <v>360.97</v>
      </c>
      <c r="F409" s="104">
        <v>244.65039999999999</v>
      </c>
      <c r="G409" s="105">
        <f t="shared" si="6"/>
        <v>0.47545231890076622</v>
      </c>
    </row>
    <row r="410" spans="2:7" ht="15" customHeight="1" x14ac:dyDescent="0.25">
      <c r="B410" s="101">
        <v>45989</v>
      </c>
      <c r="C410" s="101" t="s">
        <v>172</v>
      </c>
      <c r="D410" s="102">
        <v>2025</v>
      </c>
      <c r="E410" s="103">
        <v>363.7</v>
      </c>
      <c r="F410" s="104">
        <v>245.66970000000001</v>
      </c>
      <c r="G410" s="105">
        <f t="shared" si="6"/>
        <v>0.48044305016043887</v>
      </c>
    </row>
    <row r="411" spans="2:7" ht="15" customHeight="1" x14ac:dyDescent="0.25">
      <c r="B411" s="101">
        <v>45990</v>
      </c>
      <c r="C411" s="101" t="s">
        <v>172</v>
      </c>
      <c r="D411" s="102">
        <v>2025</v>
      </c>
      <c r="E411" s="103">
        <v>358.6</v>
      </c>
      <c r="F411" s="104">
        <v>245.66970000000001</v>
      </c>
      <c r="G411" s="105">
        <f t="shared" si="6"/>
        <v>0.45968346930858806</v>
      </c>
    </row>
    <row r="412" spans="2:7" ht="15" customHeight="1" x14ac:dyDescent="0.25">
      <c r="B412" s="101">
        <v>45991</v>
      </c>
      <c r="C412" s="101" t="s">
        <v>172</v>
      </c>
      <c r="D412" s="102">
        <v>2025</v>
      </c>
      <c r="E412" s="103">
        <v>372.71</v>
      </c>
      <c r="F412" s="104">
        <v>245.66970000000001</v>
      </c>
      <c r="G412" s="105">
        <f t="shared" si="6"/>
        <v>0.51711830966537575</v>
      </c>
    </row>
    <row r="413" spans="2:7" ht="15" customHeight="1" x14ac:dyDescent="0.25">
      <c r="B413" s="86">
        <v>45992</v>
      </c>
      <c r="C413" s="86" t="s">
        <v>173</v>
      </c>
      <c r="D413" s="87">
        <v>2025</v>
      </c>
      <c r="E413" s="106">
        <v>370.49</v>
      </c>
      <c r="F413" s="107">
        <v>247.30029999999999</v>
      </c>
      <c r="G413" s="89">
        <f t="shared" si="6"/>
        <v>0.49813809364566075</v>
      </c>
    </row>
    <row r="414" spans="2:7" ht="15" customHeight="1" x14ac:dyDescent="0.25">
      <c r="B414" s="86">
        <v>45993</v>
      </c>
      <c r="C414" s="86" t="s">
        <v>173</v>
      </c>
      <c r="D414" s="87">
        <v>2025</v>
      </c>
      <c r="E414" s="106">
        <v>387.95</v>
      </c>
      <c r="F414" s="107">
        <v>247.40710000000001</v>
      </c>
      <c r="G414" s="89">
        <f t="shared" si="6"/>
        <v>0.56806332558766481</v>
      </c>
    </row>
    <row r="415" spans="2:7" ht="15" customHeight="1" x14ac:dyDescent="0.25">
      <c r="B415" s="86">
        <v>45994</v>
      </c>
      <c r="C415" s="86" t="s">
        <v>173</v>
      </c>
      <c r="D415" s="87">
        <v>2025</v>
      </c>
      <c r="E415" s="106">
        <v>384.18</v>
      </c>
      <c r="F415" s="107">
        <v>249.19890000000001</v>
      </c>
      <c r="G415" s="89">
        <f>E415/F415-1</f>
        <v>0.54166009561037387</v>
      </c>
    </row>
    <row r="416" spans="2:7" ht="15" customHeight="1" x14ac:dyDescent="0.25">
      <c r="B416" s="86">
        <v>45995</v>
      </c>
      <c r="C416" s="86" t="s">
        <v>173</v>
      </c>
      <c r="D416" s="87">
        <v>2025</v>
      </c>
      <c r="E416" s="106">
        <v>421.27</v>
      </c>
      <c r="F416" s="107">
        <v>251.88669999999999</v>
      </c>
      <c r="G416" s="89">
        <f t="shared" ref="G416:G442" si="7">E416/F416-1</f>
        <v>0.67245829176371763</v>
      </c>
    </row>
    <row r="417" spans="2:7" ht="15" customHeight="1" x14ac:dyDescent="0.25">
      <c r="B417" s="86">
        <v>45996</v>
      </c>
      <c r="C417" s="86" t="s">
        <v>173</v>
      </c>
      <c r="D417" s="87">
        <v>2025</v>
      </c>
      <c r="E417" s="106">
        <v>409.84</v>
      </c>
      <c r="F417" s="107">
        <v>254.87049999999999</v>
      </c>
      <c r="G417" s="89">
        <f t="shared" si="7"/>
        <v>0.60803231444988715</v>
      </c>
    </row>
    <row r="418" spans="2:7" ht="15" customHeight="1" x14ac:dyDescent="0.25">
      <c r="B418" s="86">
        <v>45997</v>
      </c>
      <c r="C418" s="86" t="s">
        <v>173</v>
      </c>
      <c r="D418" s="87">
        <v>2025</v>
      </c>
      <c r="E418" s="106">
        <v>402.79</v>
      </c>
      <c r="F418" s="107">
        <v>254.87049999999999</v>
      </c>
      <c r="G418" s="89">
        <f t="shared" si="7"/>
        <v>0.5803712081233412</v>
      </c>
    </row>
    <row r="419" spans="2:7" ht="15" customHeight="1" x14ac:dyDescent="0.25">
      <c r="B419" s="86">
        <v>45998</v>
      </c>
      <c r="C419" s="86" t="s">
        <v>173</v>
      </c>
      <c r="D419" s="87">
        <v>2025</v>
      </c>
      <c r="E419" s="106">
        <v>403.92</v>
      </c>
      <c r="F419" s="107">
        <v>254.87049999999999</v>
      </c>
      <c r="G419" s="89">
        <f t="shared" si="7"/>
        <v>0.58480483225795066</v>
      </c>
    </row>
    <row r="420" spans="2:7" ht="15" customHeight="1" x14ac:dyDescent="0.25">
      <c r="B420" s="86">
        <v>45999</v>
      </c>
      <c r="C420" s="86" t="s">
        <v>173</v>
      </c>
      <c r="D420" s="87">
        <v>2025</v>
      </c>
      <c r="E420" s="106">
        <v>419.62</v>
      </c>
      <c r="F420" s="107">
        <v>254.87049999999999</v>
      </c>
      <c r="G420" s="89">
        <f t="shared" si="7"/>
        <v>0.64640474280075577</v>
      </c>
    </row>
    <row r="421" spans="2:7" ht="15" customHeight="1" x14ac:dyDescent="0.25">
      <c r="B421" s="86">
        <v>46000</v>
      </c>
      <c r="C421" s="86" t="s">
        <v>173</v>
      </c>
      <c r="D421" s="87">
        <v>2025</v>
      </c>
      <c r="E421" s="106">
        <v>424.04</v>
      </c>
      <c r="F421" s="107">
        <v>257.92869999999999</v>
      </c>
      <c r="G421" s="89">
        <f t="shared" si="7"/>
        <v>0.64402022729537278</v>
      </c>
    </row>
    <row r="422" spans="2:7" ht="15" customHeight="1" x14ac:dyDescent="0.25">
      <c r="B422" s="86">
        <v>46001</v>
      </c>
      <c r="C422" s="86" t="s">
        <v>173</v>
      </c>
      <c r="D422" s="87">
        <v>2025</v>
      </c>
      <c r="E422" s="106">
        <v>414.44</v>
      </c>
      <c r="F422" s="107">
        <v>262.10359999999997</v>
      </c>
      <c r="G422" s="89">
        <f t="shared" si="7"/>
        <v>0.5812068205091423</v>
      </c>
    </row>
    <row r="423" spans="2:7" ht="15" customHeight="1" x14ac:dyDescent="0.25">
      <c r="B423" s="86">
        <v>46002</v>
      </c>
      <c r="C423" s="86" t="s">
        <v>173</v>
      </c>
      <c r="D423" s="87">
        <v>2025</v>
      </c>
      <c r="E423" s="106">
        <v>413.54</v>
      </c>
      <c r="F423" s="107">
        <v>265.06619999999998</v>
      </c>
      <c r="G423" s="89">
        <f t="shared" si="7"/>
        <v>0.56013856161215592</v>
      </c>
    </row>
    <row r="424" spans="2:7" ht="15" customHeight="1" x14ac:dyDescent="0.25">
      <c r="B424" s="86">
        <v>46003</v>
      </c>
      <c r="C424" s="86" t="s">
        <v>173</v>
      </c>
      <c r="D424" s="87">
        <v>2025</v>
      </c>
      <c r="E424" s="106">
        <v>418.86</v>
      </c>
      <c r="F424" s="107">
        <v>267.74990000000003</v>
      </c>
      <c r="G424" s="89">
        <f t="shared" si="7"/>
        <v>0.56437033216445642</v>
      </c>
    </row>
    <row r="425" spans="2:7" ht="15" customHeight="1" x14ac:dyDescent="0.25">
      <c r="B425" s="86">
        <v>46004</v>
      </c>
      <c r="C425" s="86" t="s">
        <v>173</v>
      </c>
      <c r="D425" s="87">
        <v>2025</v>
      </c>
      <c r="E425" s="106">
        <v>419.13</v>
      </c>
      <c r="F425" s="107">
        <v>267.74990000000003</v>
      </c>
      <c r="G425" s="89">
        <f t="shared" si="7"/>
        <v>0.56537873590242227</v>
      </c>
    </row>
    <row r="426" spans="2:7" ht="15" customHeight="1" x14ac:dyDescent="0.25">
      <c r="B426" s="86">
        <v>46005</v>
      </c>
      <c r="C426" s="86" t="s">
        <v>173</v>
      </c>
      <c r="D426" s="87">
        <v>2025</v>
      </c>
      <c r="E426" s="106">
        <v>411.96</v>
      </c>
      <c r="F426" s="107">
        <v>267.74990000000003</v>
      </c>
      <c r="G426" s="89">
        <f t="shared" si="7"/>
        <v>0.53860001441643846</v>
      </c>
    </row>
    <row r="427" spans="2:7" ht="15" customHeight="1" x14ac:dyDescent="0.25">
      <c r="B427" s="86">
        <v>46006</v>
      </c>
      <c r="C427" s="86" t="s">
        <v>173</v>
      </c>
      <c r="D427" s="87">
        <v>2025</v>
      </c>
      <c r="E427" s="106">
        <v>427.02</v>
      </c>
      <c r="F427" s="107">
        <v>270.78930000000003</v>
      </c>
      <c r="G427" s="89">
        <f t="shared" si="7"/>
        <v>0.57694561786599374</v>
      </c>
    </row>
    <row r="428" spans="2:7" ht="15" customHeight="1" x14ac:dyDescent="0.25">
      <c r="B428" s="86">
        <v>46007</v>
      </c>
      <c r="C428" s="86" t="s">
        <v>173</v>
      </c>
      <c r="D428" s="87">
        <v>2025</v>
      </c>
      <c r="E428" s="106">
        <v>426.79</v>
      </c>
      <c r="F428" s="107">
        <v>273.58609999999999</v>
      </c>
      <c r="G428" s="89">
        <f t="shared" si="7"/>
        <v>0.55998422434473105</v>
      </c>
    </row>
    <row r="429" spans="2:7" ht="15" customHeight="1" x14ac:dyDescent="0.25">
      <c r="B429" s="86">
        <v>46008</v>
      </c>
      <c r="C429" s="86" t="s">
        <v>173</v>
      </c>
      <c r="D429" s="87">
        <v>2025</v>
      </c>
      <c r="E429" s="106">
        <v>451.42</v>
      </c>
      <c r="F429" s="107">
        <v>276.57690000000002</v>
      </c>
      <c r="G429" s="89">
        <f t="shared" si="7"/>
        <v>0.63216812394672139</v>
      </c>
    </row>
    <row r="430" spans="2:7" ht="15" customHeight="1" x14ac:dyDescent="0.25">
      <c r="B430" s="86">
        <v>46009</v>
      </c>
      <c r="C430" s="86" t="s">
        <v>173</v>
      </c>
      <c r="D430" s="87">
        <v>2025</v>
      </c>
      <c r="E430" s="106">
        <v>476.4</v>
      </c>
      <c r="F430" s="107">
        <v>279.56290000000001</v>
      </c>
      <c r="G430" s="89">
        <f t="shared" si="7"/>
        <v>0.70408877572810957</v>
      </c>
    </row>
    <row r="431" spans="2:7" ht="15" customHeight="1" x14ac:dyDescent="0.25">
      <c r="B431" s="86">
        <v>46010</v>
      </c>
      <c r="C431" s="86" t="s">
        <v>173</v>
      </c>
      <c r="D431" s="87">
        <v>2025</v>
      </c>
      <c r="E431" s="106">
        <v>469.71</v>
      </c>
      <c r="F431" s="107">
        <v>282.51280000000003</v>
      </c>
      <c r="G431" s="89">
        <f t="shared" si="7"/>
        <v>0.66261493284552042</v>
      </c>
    </row>
    <row r="432" spans="2:7" ht="15" customHeight="1" x14ac:dyDescent="0.25">
      <c r="B432" s="86">
        <v>46011</v>
      </c>
      <c r="C432" s="86" t="s">
        <v>173</v>
      </c>
      <c r="D432" s="87">
        <v>2025</v>
      </c>
      <c r="E432" s="106">
        <v>459.69</v>
      </c>
      <c r="F432" s="107">
        <v>282.51280000000003</v>
      </c>
      <c r="G432" s="89">
        <f t="shared" si="7"/>
        <v>0.62714751331621055</v>
      </c>
    </row>
    <row r="433" spans="2:10" ht="15" customHeight="1" x14ac:dyDescent="0.25">
      <c r="B433" s="86">
        <v>46012</v>
      </c>
      <c r="C433" s="86" t="s">
        <v>173</v>
      </c>
      <c r="D433" s="87">
        <v>2025</v>
      </c>
      <c r="E433" s="106">
        <v>466.26</v>
      </c>
      <c r="F433" s="107">
        <v>282.51280000000003</v>
      </c>
      <c r="G433" s="89">
        <f t="shared" si="7"/>
        <v>0.6504030967800396</v>
      </c>
    </row>
    <row r="434" spans="2:10" ht="15" customHeight="1" x14ac:dyDescent="0.25">
      <c r="B434" s="86">
        <v>46013</v>
      </c>
      <c r="C434" s="86" t="s">
        <v>173</v>
      </c>
      <c r="D434" s="87">
        <v>2025</v>
      </c>
      <c r="E434" s="106">
        <v>475</v>
      </c>
      <c r="F434" s="107">
        <v>285.4024</v>
      </c>
      <c r="G434" s="89">
        <f t="shared" si="7"/>
        <v>0.66431676818414975</v>
      </c>
    </row>
    <row r="435" spans="2:10" ht="15" customHeight="1" x14ac:dyDescent="0.25">
      <c r="B435" s="86">
        <v>46014</v>
      </c>
      <c r="C435" s="86" t="s">
        <v>173</v>
      </c>
      <c r="D435" s="87">
        <v>2025</v>
      </c>
      <c r="E435" s="106">
        <v>467.62</v>
      </c>
      <c r="F435" s="107">
        <v>288.44940000000003</v>
      </c>
      <c r="G435" s="89">
        <f t="shared" si="7"/>
        <v>0.62115088469589463</v>
      </c>
    </row>
    <row r="436" spans="2:10" ht="15" customHeight="1" x14ac:dyDescent="0.25">
      <c r="B436" s="86">
        <v>46015</v>
      </c>
      <c r="C436" s="86" t="s">
        <v>173</v>
      </c>
      <c r="D436" s="87">
        <v>2025</v>
      </c>
      <c r="E436" s="106">
        <v>469.95</v>
      </c>
      <c r="F436" s="107">
        <v>288.44940000000003</v>
      </c>
      <c r="G436" s="89">
        <f t="shared" si="7"/>
        <v>0.62922855793771792</v>
      </c>
    </row>
    <row r="437" spans="2:10" ht="15" customHeight="1" x14ac:dyDescent="0.25">
      <c r="B437" s="86">
        <v>46016</v>
      </c>
      <c r="C437" s="86" t="s">
        <v>173</v>
      </c>
      <c r="D437" s="87">
        <v>2025</v>
      </c>
      <c r="E437" s="106">
        <v>486.59</v>
      </c>
      <c r="F437" s="107">
        <v>288.44940000000003</v>
      </c>
      <c r="G437" s="89">
        <f t="shared" si="7"/>
        <v>0.68691631877202708</v>
      </c>
    </row>
    <row r="438" spans="2:10" ht="15" customHeight="1" x14ac:dyDescent="0.25">
      <c r="B438" s="86">
        <v>46017</v>
      </c>
      <c r="C438" s="86" t="s">
        <v>173</v>
      </c>
      <c r="D438" s="87">
        <v>2025</v>
      </c>
      <c r="E438" s="106">
        <v>523.99</v>
      </c>
      <c r="F438" s="107">
        <v>291.35239999999999</v>
      </c>
      <c r="G438" s="89">
        <f t="shared" si="7"/>
        <v>0.79847497394907352</v>
      </c>
    </row>
    <row r="439" spans="2:10" ht="15" customHeight="1" x14ac:dyDescent="0.25">
      <c r="B439" s="86">
        <v>46018</v>
      </c>
      <c r="C439" s="86" t="s">
        <v>173</v>
      </c>
      <c r="D439" s="87">
        <v>2025</v>
      </c>
      <c r="E439" s="106">
        <v>532.6</v>
      </c>
      <c r="F439" s="107">
        <v>291.35239999999999</v>
      </c>
      <c r="G439" s="89">
        <f t="shared" si="7"/>
        <v>0.82802681563632241</v>
      </c>
    </row>
    <row r="440" spans="2:10" ht="15" customHeight="1" x14ac:dyDescent="0.25">
      <c r="B440" s="86">
        <v>46019</v>
      </c>
      <c r="C440" s="86" t="s">
        <v>173</v>
      </c>
      <c r="D440" s="87">
        <v>2025</v>
      </c>
      <c r="E440" s="106">
        <v>547.37</v>
      </c>
      <c r="F440" s="107">
        <v>291.35239999999999</v>
      </c>
      <c r="G440" s="89">
        <f t="shared" si="7"/>
        <v>0.87872143836810679</v>
      </c>
      <c r="I440" t="s">
        <v>188</v>
      </c>
      <c r="J440" t="s">
        <v>189</v>
      </c>
    </row>
    <row r="441" spans="2:10" ht="15" customHeight="1" x14ac:dyDescent="0.25">
      <c r="B441" s="86">
        <v>46020</v>
      </c>
      <c r="C441" s="86" t="s">
        <v>173</v>
      </c>
      <c r="D441" s="87">
        <v>2025</v>
      </c>
      <c r="E441" s="106">
        <v>556.59</v>
      </c>
      <c r="F441" s="107">
        <v>294.9699</v>
      </c>
      <c r="G441" s="89">
        <f t="shared" si="7"/>
        <v>0.88693829438190153</v>
      </c>
      <c r="I441" s="2">
        <f>E443/E78-1</f>
        <v>7.5220507836228894</v>
      </c>
      <c r="J441" s="2">
        <f>F443/F78-1</f>
        <v>4.7449004759427327</v>
      </c>
    </row>
    <row r="442" spans="2:10" ht="15" customHeight="1" x14ac:dyDescent="0.25">
      <c r="B442" s="86">
        <v>46021</v>
      </c>
      <c r="C442" s="86" t="s">
        <v>173</v>
      </c>
      <c r="D442" s="87">
        <v>2025</v>
      </c>
      <c r="E442" s="106">
        <v>579.55999999999995</v>
      </c>
      <c r="F442" s="107">
        <v>298.1431</v>
      </c>
      <c r="G442" s="89">
        <f t="shared" si="7"/>
        <v>0.94389875197514184</v>
      </c>
    </row>
    <row r="443" spans="2:10" ht="15" customHeight="1" x14ac:dyDescent="0.25">
      <c r="B443" s="86">
        <v>46022</v>
      </c>
      <c r="C443" s="86" t="s">
        <v>173</v>
      </c>
      <c r="D443" s="87">
        <v>2025</v>
      </c>
      <c r="E443" s="106">
        <v>561.16</v>
      </c>
      <c r="F443" s="107">
        <v>298.1431</v>
      </c>
      <c r="G443" s="89">
        <f>E443/F443-1</f>
        <v>0.88218342131681049</v>
      </c>
    </row>
    <row r="444" spans="2:10" ht="15" customHeight="1" x14ac:dyDescent="0.25">
      <c r="B444" s="108">
        <v>46023</v>
      </c>
      <c r="C444" s="108" t="s">
        <v>175</v>
      </c>
      <c r="D444" s="109">
        <v>2026</v>
      </c>
      <c r="E444">
        <v>571.46</v>
      </c>
      <c r="F444" s="110">
        <v>298.1431</v>
      </c>
      <c r="G444" s="111">
        <f>E444/F444-1</f>
        <v>0.9167305901092464</v>
      </c>
    </row>
    <row r="445" spans="2:10" ht="15" customHeight="1" x14ac:dyDescent="0.25">
      <c r="B445" s="108">
        <v>46024</v>
      </c>
      <c r="C445" s="108" t="s">
        <v>175</v>
      </c>
      <c r="D445" s="109">
        <v>2026</v>
      </c>
      <c r="E445">
        <v>596.79</v>
      </c>
      <c r="F445" s="110">
        <v>301.37090000000001</v>
      </c>
      <c r="G445" s="111">
        <f t="shared" ref="G445:G508" si="8">E445/F445-1</f>
        <v>0.98025091340935688</v>
      </c>
    </row>
    <row r="446" spans="2:10" ht="15" customHeight="1" x14ac:dyDescent="0.25">
      <c r="B446" s="108">
        <v>46025</v>
      </c>
      <c r="C446" s="108" t="s">
        <v>175</v>
      </c>
      <c r="D446" s="109">
        <v>2026</v>
      </c>
      <c r="E446">
        <v>596.66</v>
      </c>
      <c r="F446" s="110">
        <v>301.37090000000001</v>
      </c>
      <c r="G446" s="111">
        <f t="shared" si="8"/>
        <v>0.97981955125727116</v>
      </c>
    </row>
    <row r="447" spans="2:10" ht="15" customHeight="1" x14ac:dyDescent="0.25">
      <c r="B447" s="108">
        <v>46026</v>
      </c>
      <c r="C447" s="108" t="s">
        <v>175</v>
      </c>
      <c r="D447" s="109">
        <v>2026</v>
      </c>
      <c r="E447">
        <v>597.29</v>
      </c>
      <c r="F447" s="110">
        <v>301.37090000000001</v>
      </c>
      <c r="G447" s="111">
        <f t="shared" si="8"/>
        <v>0.98190999860968642</v>
      </c>
    </row>
    <row r="448" spans="2:10" ht="15" customHeight="1" x14ac:dyDescent="0.25">
      <c r="B448" s="108">
        <v>46027</v>
      </c>
      <c r="C448" s="108" t="s">
        <v>175</v>
      </c>
      <c r="D448" s="109">
        <v>2026</v>
      </c>
      <c r="E448">
        <v>642.16</v>
      </c>
      <c r="F448" s="110">
        <v>304.67959999999999</v>
      </c>
      <c r="G448" s="111">
        <f t="shared" si="8"/>
        <v>1.1076566990372836</v>
      </c>
    </row>
    <row r="449" spans="2:7" ht="15" customHeight="1" x14ac:dyDescent="0.25">
      <c r="B449" s="108">
        <v>46028</v>
      </c>
      <c r="C449" s="108" t="s">
        <v>175</v>
      </c>
      <c r="D449" s="109">
        <v>2026</v>
      </c>
      <c r="E449">
        <v>759.74</v>
      </c>
      <c r="F449" s="110">
        <v>308.15460000000002</v>
      </c>
      <c r="G449" s="111">
        <f t="shared" si="8"/>
        <v>1.4654507834703749</v>
      </c>
    </row>
    <row r="450" spans="2:7" ht="15" customHeight="1" x14ac:dyDescent="0.25">
      <c r="B450" s="108">
        <v>46029</v>
      </c>
      <c r="C450" s="108" t="s">
        <v>175</v>
      </c>
      <c r="D450" s="109">
        <v>2026</v>
      </c>
      <c r="E450">
        <v>769.2</v>
      </c>
      <c r="F450" s="110">
        <v>311.88139999999999</v>
      </c>
      <c r="G450" s="111">
        <f t="shared" si="8"/>
        <v>1.4663221339906776</v>
      </c>
    </row>
    <row r="451" spans="2:7" ht="15" customHeight="1" x14ac:dyDescent="0.25">
      <c r="B451" s="108">
        <v>46030</v>
      </c>
      <c r="C451" s="108" t="s">
        <v>175</v>
      </c>
      <c r="D451" s="109">
        <v>2026</v>
      </c>
      <c r="E451">
        <v>717.08</v>
      </c>
      <c r="F451" s="110">
        <v>321.03230000000002</v>
      </c>
      <c r="G451" s="111">
        <f t="shared" si="8"/>
        <v>1.2336693223703659</v>
      </c>
    </row>
    <row r="452" spans="2:7" ht="15" customHeight="1" x14ac:dyDescent="0.25">
      <c r="B452" s="108">
        <v>46031</v>
      </c>
      <c r="C452" s="108" t="s">
        <v>175</v>
      </c>
      <c r="D452" s="109">
        <v>2026</v>
      </c>
      <c r="E452">
        <v>585.09</v>
      </c>
      <c r="F452" s="110">
        <v>325.38940000000002</v>
      </c>
      <c r="G452" s="111">
        <f t="shared" si="8"/>
        <v>0.79812249569285298</v>
      </c>
    </row>
    <row r="453" spans="2:7" ht="15" customHeight="1" x14ac:dyDescent="0.25">
      <c r="B453" s="108">
        <v>46032</v>
      </c>
      <c r="C453" s="108" t="s">
        <v>175</v>
      </c>
      <c r="D453" s="109">
        <v>2026</v>
      </c>
      <c r="E453">
        <v>514.89</v>
      </c>
      <c r="F453" s="110">
        <v>325.38940000000002</v>
      </c>
      <c r="G453" s="111">
        <f t="shared" si="8"/>
        <v>0.58238098721101528</v>
      </c>
    </row>
    <row r="454" spans="2:7" ht="15" customHeight="1" x14ac:dyDescent="0.25">
      <c r="B454" s="108">
        <v>46033</v>
      </c>
      <c r="C454" s="108" t="s">
        <v>175</v>
      </c>
      <c r="D454" s="109">
        <v>2026</v>
      </c>
      <c r="E454">
        <v>518.86</v>
      </c>
      <c r="F454" s="110">
        <v>325.38940000000002</v>
      </c>
      <c r="G454" s="111">
        <f t="shared" si="8"/>
        <v>0.59458175343142705</v>
      </c>
    </row>
    <row r="455" spans="2:7" ht="15" customHeight="1" x14ac:dyDescent="0.25">
      <c r="B455" s="108">
        <v>46034</v>
      </c>
      <c r="C455" s="108" t="s">
        <v>175</v>
      </c>
      <c r="D455" s="109">
        <v>2026</v>
      </c>
      <c r="E455">
        <v>549.98</v>
      </c>
      <c r="F455" s="110">
        <v>325.38940000000002</v>
      </c>
      <c r="G455" s="111">
        <f t="shared" si="8"/>
        <v>0.69022100904331851</v>
      </c>
    </row>
    <row r="456" spans="2:7" ht="15" customHeight="1" x14ac:dyDescent="0.25">
      <c r="B456" s="108">
        <v>46035</v>
      </c>
      <c r="C456" s="108" t="s">
        <v>175</v>
      </c>
      <c r="D456" s="109">
        <v>2026</v>
      </c>
      <c r="E456">
        <v>606.38</v>
      </c>
      <c r="F456" s="110">
        <v>330.37509999999997</v>
      </c>
      <c r="G456" s="111">
        <f t="shared" si="8"/>
        <v>0.83542888068743681</v>
      </c>
    </row>
    <row r="457" spans="2:7" ht="15" customHeight="1" x14ac:dyDescent="0.25">
      <c r="B457" s="108">
        <v>46036</v>
      </c>
      <c r="C457" s="108" t="s">
        <v>175</v>
      </c>
      <c r="D457" s="109">
        <v>2026</v>
      </c>
      <c r="E457">
        <v>601.65</v>
      </c>
      <c r="F457" s="110">
        <v>336.45960000000002</v>
      </c>
      <c r="G457" s="111">
        <f t="shared" si="8"/>
        <v>0.78817902654583172</v>
      </c>
    </row>
    <row r="458" spans="2:7" ht="15" customHeight="1" x14ac:dyDescent="0.25">
      <c r="B458" s="108">
        <v>46037</v>
      </c>
      <c r="C458" s="108" t="s">
        <v>175</v>
      </c>
      <c r="D458" s="109">
        <v>2026</v>
      </c>
      <c r="E458">
        <v>492.23</v>
      </c>
      <c r="F458" s="110">
        <v>339.14949999999999</v>
      </c>
      <c r="G458" s="111">
        <f t="shared" si="8"/>
        <v>0.45136584308689831</v>
      </c>
    </row>
    <row r="459" spans="2:7" ht="15" customHeight="1" x14ac:dyDescent="0.25">
      <c r="B459" s="108">
        <v>46038</v>
      </c>
      <c r="C459" s="108" t="s">
        <v>175</v>
      </c>
      <c r="D459" s="109">
        <v>2026</v>
      </c>
      <c r="E459">
        <v>454.26</v>
      </c>
      <c r="F459" s="110">
        <v>341.74250000000001</v>
      </c>
      <c r="G459" s="111">
        <f t="shared" si="8"/>
        <v>0.32924643554723221</v>
      </c>
    </row>
    <row r="460" spans="2:7" ht="15" customHeight="1" x14ac:dyDescent="0.25">
      <c r="B460" s="108">
        <v>46039</v>
      </c>
      <c r="C460" s="108" t="s">
        <v>175</v>
      </c>
      <c r="D460" s="109">
        <v>2026</v>
      </c>
      <c r="E460">
        <v>451.27</v>
      </c>
      <c r="F460" s="110">
        <v>341.74250000000001</v>
      </c>
      <c r="G460" s="111">
        <f t="shared" si="8"/>
        <v>0.32049715794786993</v>
      </c>
    </row>
    <row r="461" spans="2:7" ht="15" customHeight="1" x14ac:dyDescent="0.25">
      <c r="B461" s="108">
        <v>46040</v>
      </c>
      <c r="C461" s="108" t="s">
        <v>175</v>
      </c>
      <c r="D461" s="109">
        <v>2026</v>
      </c>
      <c r="E461">
        <v>449.83</v>
      </c>
      <c r="F461" s="110">
        <v>341.74250000000001</v>
      </c>
      <c r="G461" s="111">
        <f t="shared" si="8"/>
        <v>0.31628345903714039</v>
      </c>
    </row>
    <row r="462" spans="2:7" ht="15" customHeight="1" x14ac:dyDescent="0.25">
      <c r="B462" s="108">
        <v>46041</v>
      </c>
      <c r="C462" s="108" t="s">
        <v>175</v>
      </c>
      <c r="D462" s="109">
        <v>2026</v>
      </c>
      <c r="E462">
        <v>421.93</v>
      </c>
      <c r="F462" s="110">
        <v>341.74250000000001</v>
      </c>
      <c r="G462" s="111">
        <f t="shared" si="8"/>
        <v>0.23464304264175517</v>
      </c>
    </row>
    <row r="463" spans="2:7" ht="15" customHeight="1" x14ac:dyDescent="0.25">
      <c r="B463" s="108">
        <v>46042</v>
      </c>
      <c r="C463" s="108" t="s">
        <v>175</v>
      </c>
      <c r="D463" s="109">
        <v>2026</v>
      </c>
      <c r="E463">
        <v>454.05</v>
      </c>
      <c r="F463" s="110">
        <v>344.50709999999998</v>
      </c>
      <c r="G463" s="111">
        <f t="shared" si="8"/>
        <v>0.31796993443676502</v>
      </c>
    </row>
    <row r="464" spans="2:7" ht="15" customHeight="1" x14ac:dyDescent="0.25">
      <c r="B464" s="108">
        <v>46043</v>
      </c>
      <c r="C464" s="108" t="s">
        <v>175</v>
      </c>
      <c r="D464" s="109">
        <v>2026</v>
      </c>
      <c r="E464">
        <v>465.79</v>
      </c>
      <c r="F464" s="110">
        <v>347.26310000000001</v>
      </c>
      <c r="G464" s="111">
        <f t="shared" si="8"/>
        <v>0.34131728939815376</v>
      </c>
    </row>
    <row r="465" spans="2:7" ht="15" customHeight="1" x14ac:dyDescent="0.25">
      <c r="B465" s="108">
        <v>46044</v>
      </c>
      <c r="C465" s="108" t="s">
        <v>175</v>
      </c>
      <c r="D465" s="109">
        <v>2026</v>
      </c>
      <c r="E465">
        <v>463.16</v>
      </c>
      <c r="F465" s="110">
        <v>349.92720000000003</v>
      </c>
      <c r="G465" s="111">
        <f t="shared" si="8"/>
        <v>0.32358959234949447</v>
      </c>
    </row>
    <row r="466" spans="2:7" ht="15" customHeight="1" x14ac:dyDescent="0.25">
      <c r="B466" s="108">
        <v>46045</v>
      </c>
      <c r="C466" s="108" t="s">
        <v>175</v>
      </c>
      <c r="D466" s="109">
        <v>2026</v>
      </c>
      <c r="E466">
        <v>470.49</v>
      </c>
      <c r="F466" s="110">
        <v>352.7063</v>
      </c>
      <c r="G466" s="111">
        <f t="shared" si="8"/>
        <v>0.33394271664554909</v>
      </c>
    </row>
    <row r="467" spans="2:7" ht="15" customHeight="1" x14ac:dyDescent="0.25">
      <c r="B467" s="108">
        <v>46046</v>
      </c>
      <c r="C467" s="108" t="s">
        <v>175</v>
      </c>
      <c r="D467" s="109">
        <v>2026</v>
      </c>
      <c r="E467">
        <v>450.71</v>
      </c>
      <c r="F467" s="110">
        <v>352.7063</v>
      </c>
      <c r="G467" s="111">
        <f t="shared" si="8"/>
        <v>0.27786206257160706</v>
      </c>
    </row>
    <row r="468" spans="2:7" ht="15" customHeight="1" x14ac:dyDescent="0.25">
      <c r="B468" s="108">
        <v>46047</v>
      </c>
      <c r="C468" s="108" t="s">
        <v>175</v>
      </c>
      <c r="D468" s="109">
        <v>2026</v>
      </c>
      <c r="E468">
        <v>465.74</v>
      </c>
      <c r="F468" s="110">
        <v>352.7063</v>
      </c>
      <c r="G468" s="111">
        <f t="shared" si="8"/>
        <v>0.32047542105145266</v>
      </c>
    </row>
    <row r="469" spans="2:7" ht="15" customHeight="1" x14ac:dyDescent="0.25">
      <c r="B469" s="108">
        <v>46048</v>
      </c>
      <c r="C469" s="108" t="s">
        <v>175</v>
      </c>
      <c r="D469" s="109">
        <v>2026</v>
      </c>
      <c r="E469">
        <v>488.2</v>
      </c>
      <c r="F469" s="110">
        <v>355.55279999999999</v>
      </c>
      <c r="G469" s="111">
        <f t="shared" si="8"/>
        <v>0.3730731413168451</v>
      </c>
    </row>
    <row r="470" spans="2:7" ht="15" customHeight="1" x14ac:dyDescent="0.25">
      <c r="B470" s="108">
        <v>46049</v>
      </c>
      <c r="C470" s="108" t="s">
        <v>175</v>
      </c>
      <c r="D470" s="109">
        <v>2026</v>
      </c>
      <c r="E470">
        <v>517.09</v>
      </c>
      <c r="F470" s="110">
        <v>358.92469999999997</v>
      </c>
      <c r="G470" s="111">
        <f t="shared" si="8"/>
        <v>0.44066429532433982</v>
      </c>
    </row>
    <row r="471" spans="2:7" ht="15" customHeight="1" x14ac:dyDescent="0.25">
      <c r="B471" s="108">
        <v>46050</v>
      </c>
      <c r="C471" s="108" t="s">
        <v>175</v>
      </c>
      <c r="D471" s="109">
        <v>2026</v>
      </c>
      <c r="E471">
        <v>510.46</v>
      </c>
      <c r="F471" s="110">
        <v>361.49059999999997</v>
      </c>
      <c r="G471" s="111">
        <f t="shared" si="8"/>
        <v>0.41209757598122887</v>
      </c>
    </row>
    <row r="472" spans="2:7" ht="15" customHeight="1" x14ac:dyDescent="0.25">
      <c r="B472" s="108">
        <v>46051</v>
      </c>
      <c r="C472" s="108" t="s">
        <v>175</v>
      </c>
      <c r="D472" s="109">
        <v>2026</v>
      </c>
      <c r="E472">
        <v>504.18</v>
      </c>
      <c r="F472" s="110">
        <v>363.66230000000002</v>
      </c>
      <c r="G472" s="111">
        <f t="shared" si="8"/>
        <v>0.38639611529707629</v>
      </c>
    </row>
    <row r="473" spans="2:7" ht="15" customHeight="1" x14ac:dyDescent="0.25">
      <c r="B473" s="108">
        <v>46052</v>
      </c>
      <c r="C473" s="108" t="s">
        <v>175</v>
      </c>
      <c r="D473" s="109">
        <v>2026</v>
      </c>
      <c r="E473">
        <v>499.33</v>
      </c>
      <c r="F473" s="110">
        <v>367.30689999999998</v>
      </c>
      <c r="G473" s="111">
        <f t="shared" si="8"/>
        <v>0.35943539312765438</v>
      </c>
    </row>
    <row r="474" spans="2:7" ht="15" customHeight="1" x14ac:dyDescent="0.25">
      <c r="B474" s="108">
        <v>46053</v>
      </c>
      <c r="C474" s="108" t="s">
        <v>175</v>
      </c>
      <c r="D474" s="109">
        <v>2026</v>
      </c>
      <c r="E474">
        <v>498.75</v>
      </c>
      <c r="F474" s="110">
        <v>367.30689999999998</v>
      </c>
      <c r="G474" s="111">
        <f t="shared" si="8"/>
        <v>0.35785633212988932</v>
      </c>
    </row>
    <row r="475" spans="2:7" ht="15" customHeight="1" x14ac:dyDescent="0.25">
      <c r="B475" s="108">
        <v>46054</v>
      </c>
      <c r="C475" s="108" t="s">
        <v>176</v>
      </c>
      <c r="D475" s="109">
        <v>2026</v>
      </c>
      <c r="E475">
        <v>498.59</v>
      </c>
      <c r="F475" s="110">
        <v>367.30689999999998</v>
      </c>
      <c r="G475" s="111">
        <f t="shared" si="8"/>
        <v>0.35742072909602296</v>
      </c>
    </row>
    <row r="476" spans="2:7" ht="15" customHeight="1" x14ac:dyDescent="0.25">
      <c r="B476" s="108">
        <v>46055</v>
      </c>
      <c r="C476" s="108" t="s">
        <v>176</v>
      </c>
      <c r="D476" s="109">
        <v>2026</v>
      </c>
      <c r="E476">
        <v>506.89</v>
      </c>
      <c r="F476" s="110">
        <v>370.25439999999998</v>
      </c>
      <c r="G476" s="111">
        <f t="shared" si="8"/>
        <v>0.36903167119688529</v>
      </c>
    </row>
    <row r="477" spans="2:7" ht="15" customHeight="1" x14ac:dyDescent="0.25">
      <c r="B477" s="108">
        <v>46056</v>
      </c>
      <c r="C477" s="108" t="s">
        <v>176</v>
      </c>
      <c r="D477" s="109">
        <v>2026</v>
      </c>
      <c r="E477">
        <v>513.34</v>
      </c>
      <c r="F477" s="110">
        <v>372.10570000000001</v>
      </c>
      <c r="G477" s="111">
        <f t="shared" si="8"/>
        <v>0.37955425031113466</v>
      </c>
    </row>
    <row r="478" spans="2:7" ht="15" customHeight="1" x14ac:dyDescent="0.25">
      <c r="B478" s="108">
        <v>46057</v>
      </c>
      <c r="C478" s="108" t="s">
        <v>176</v>
      </c>
      <c r="D478" s="109">
        <v>2026</v>
      </c>
      <c r="E478">
        <v>514.19000000000005</v>
      </c>
      <c r="F478" s="110">
        <v>375.08249999999998</v>
      </c>
      <c r="G478" s="111">
        <f t="shared" si="8"/>
        <v>0.37087174155019254</v>
      </c>
    </row>
    <row r="479" spans="2:7" ht="15" customHeight="1" x14ac:dyDescent="0.25">
      <c r="B479" s="108">
        <v>46058</v>
      </c>
      <c r="C479" s="108" t="s">
        <v>176</v>
      </c>
      <c r="D479" s="109">
        <v>2026</v>
      </c>
      <c r="E479">
        <v>521.87</v>
      </c>
      <c r="F479" s="110">
        <v>378.45819999999998</v>
      </c>
      <c r="G479" s="111">
        <f t="shared" si="8"/>
        <v>0.3789369605414814</v>
      </c>
    </row>
    <row r="480" spans="2:7" ht="15" customHeight="1" x14ac:dyDescent="0.25">
      <c r="B480" s="108">
        <v>46059</v>
      </c>
      <c r="C480" s="108" t="s">
        <v>176</v>
      </c>
      <c r="D480" s="109">
        <v>2026</v>
      </c>
      <c r="E480">
        <v>521.29</v>
      </c>
      <c r="F480" s="110">
        <v>381.10739999999998</v>
      </c>
      <c r="G480" s="111">
        <f t="shared" si="8"/>
        <v>0.36782964592133349</v>
      </c>
    </row>
    <row r="481" spans="2:7" ht="15" customHeight="1" x14ac:dyDescent="0.25">
      <c r="B481" s="108">
        <v>46060</v>
      </c>
      <c r="C481" s="108" t="s">
        <v>176</v>
      </c>
      <c r="D481" s="109">
        <v>2026</v>
      </c>
      <c r="E481">
        <v>518.84</v>
      </c>
      <c r="F481" s="110">
        <v>381.10739999999998</v>
      </c>
      <c r="G481" s="111">
        <f t="shared" si="8"/>
        <v>0.36140101189323559</v>
      </c>
    </row>
    <row r="482" spans="2:7" ht="15" customHeight="1" x14ac:dyDescent="0.25">
      <c r="B482" s="108">
        <v>46061</v>
      </c>
      <c r="C482" s="108" t="s">
        <v>176</v>
      </c>
      <c r="D482" s="109">
        <v>2026</v>
      </c>
      <c r="E482">
        <v>535.44000000000005</v>
      </c>
      <c r="F482" s="110">
        <v>381.10739999999998</v>
      </c>
      <c r="G482" s="111">
        <f t="shared" si="8"/>
        <v>0.40495828734892081</v>
      </c>
    </row>
    <row r="483" spans="2:7" ht="15" customHeight="1" x14ac:dyDescent="0.25">
      <c r="B483" s="108">
        <v>46062</v>
      </c>
      <c r="C483" s="108" t="s">
        <v>176</v>
      </c>
      <c r="D483" s="109">
        <v>2026</v>
      </c>
      <c r="E483">
        <v>544.26</v>
      </c>
      <c r="F483" s="110">
        <v>382.6318</v>
      </c>
      <c r="G483" s="111">
        <f t="shared" si="8"/>
        <v>0.42241183299453944</v>
      </c>
    </row>
    <row r="484" spans="2:7" ht="15" customHeight="1" x14ac:dyDescent="0.25">
      <c r="B484" s="108">
        <v>46063</v>
      </c>
      <c r="C484" s="108" t="s">
        <v>176</v>
      </c>
      <c r="D484" s="109">
        <v>2026</v>
      </c>
      <c r="E484">
        <v>549.28</v>
      </c>
      <c r="F484" s="110">
        <v>385.27199999999999</v>
      </c>
      <c r="G484" s="111">
        <f t="shared" si="8"/>
        <v>0.42569405510911773</v>
      </c>
    </row>
    <row r="485" spans="2:7" ht="15" customHeight="1" x14ac:dyDescent="0.25">
      <c r="B485" s="108">
        <v>46064</v>
      </c>
      <c r="C485" s="108" t="s">
        <v>176</v>
      </c>
      <c r="D485" s="109">
        <v>2026</v>
      </c>
      <c r="E485">
        <v>549.80999999999995</v>
      </c>
      <c r="F485" s="110">
        <v>388.73939999999999</v>
      </c>
      <c r="G485" s="111">
        <f t="shared" si="8"/>
        <v>0.41434081546660817</v>
      </c>
    </row>
    <row r="486" spans="2:7" ht="15" customHeight="1" x14ac:dyDescent="0.25">
      <c r="B486" s="108">
        <v>46065</v>
      </c>
      <c r="C486" s="108" t="s">
        <v>176</v>
      </c>
      <c r="D486" s="109">
        <v>2026</v>
      </c>
      <c r="E486">
        <v>536.17999999999995</v>
      </c>
      <c r="F486" s="110">
        <v>390.2944</v>
      </c>
      <c r="G486" s="111">
        <f t="shared" si="8"/>
        <v>0.37378348241737513</v>
      </c>
    </row>
    <row r="487" spans="2:7" ht="15" customHeight="1" x14ac:dyDescent="0.25">
      <c r="B487" s="108">
        <v>46066</v>
      </c>
      <c r="C487" s="108" t="s">
        <v>176</v>
      </c>
      <c r="D487" s="109">
        <v>2026</v>
      </c>
      <c r="E487">
        <v>525.77</v>
      </c>
      <c r="F487" s="110">
        <v>393.22160000000002</v>
      </c>
      <c r="G487" s="111">
        <f t="shared" si="8"/>
        <v>0.33708321211245762</v>
      </c>
    </row>
    <row r="488" spans="2:7" ht="15" customHeight="1" x14ac:dyDescent="0.25">
      <c r="B488" s="108">
        <v>46067</v>
      </c>
      <c r="C488" s="108" t="s">
        <v>176</v>
      </c>
      <c r="D488" s="109">
        <v>2026</v>
      </c>
      <c r="E488">
        <v>525.74</v>
      </c>
      <c r="F488" s="110">
        <v>393.22160000000002</v>
      </c>
      <c r="G488" s="111">
        <f t="shared" si="8"/>
        <v>0.33700691925367265</v>
      </c>
    </row>
    <row r="489" spans="2:7" ht="15" customHeight="1" x14ac:dyDescent="0.25">
      <c r="B489" s="108">
        <v>46068</v>
      </c>
      <c r="C489" s="108" t="s">
        <v>176</v>
      </c>
      <c r="D489" s="109">
        <v>2026</v>
      </c>
      <c r="E489">
        <v>531.74</v>
      </c>
      <c r="F489" s="110">
        <v>393.22160000000002</v>
      </c>
      <c r="G489" s="111">
        <f t="shared" si="8"/>
        <v>0.35226549101066662</v>
      </c>
    </row>
    <row r="490" spans="2:7" ht="15" customHeight="1" x14ac:dyDescent="0.25">
      <c r="B490" s="108">
        <v>46069</v>
      </c>
      <c r="C490" s="108" t="s">
        <v>176</v>
      </c>
      <c r="D490" s="109">
        <v>2026</v>
      </c>
      <c r="E490">
        <v>526.72</v>
      </c>
      <c r="F490" s="110">
        <v>393.22160000000002</v>
      </c>
      <c r="G490" s="111">
        <f t="shared" si="8"/>
        <v>0.33949915264064834</v>
      </c>
    </row>
    <row r="491" spans="2:7" ht="15" customHeight="1" x14ac:dyDescent="0.25">
      <c r="B491" s="108">
        <v>46070</v>
      </c>
      <c r="C491" s="108" t="s">
        <v>176</v>
      </c>
      <c r="D491" s="109">
        <v>2026</v>
      </c>
      <c r="E491">
        <v>527.08000000000004</v>
      </c>
      <c r="F491" s="110">
        <v>393.22160000000002</v>
      </c>
      <c r="G491" s="111">
        <f t="shared" si="8"/>
        <v>0.34041466694606815</v>
      </c>
    </row>
    <row r="492" spans="2:7" ht="15" customHeight="1" x14ac:dyDescent="0.25">
      <c r="B492" s="108">
        <v>46071</v>
      </c>
      <c r="C492" s="108" t="s">
        <v>176</v>
      </c>
      <c r="D492" s="109">
        <v>2026</v>
      </c>
      <c r="E492">
        <v>566.74</v>
      </c>
      <c r="F492" s="110">
        <v>396.36739999999998</v>
      </c>
      <c r="G492" s="111">
        <f t="shared" si="8"/>
        <v>0.42983504697914121</v>
      </c>
    </row>
    <row r="493" spans="2:7" ht="15" customHeight="1" x14ac:dyDescent="0.25">
      <c r="B493" s="108">
        <v>46072</v>
      </c>
      <c r="C493" s="108" t="s">
        <v>176</v>
      </c>
      <c r="D493" s="109">
        <v>2026</v>
      </c>
      <c r="E493">
        <v>584.91</v>
      </c>
      <c r="F493" s="110">
        <v>398.74560000000002</v>
      </c>
      <c r="G493" s="111">
        <f t="shared" si="8"/>
        <v>0.46687512037750367</v>
      </c>
    </row>
    <row r="494" spans="2:7" ht="15" customHeight="1" x14ac:dyDescent="0.25">
      <c r="B494" s="108">
        <v>46073</v>
      </c>
      <c r="C494" s="108" t="s">
        <v>176</v>
      </c>
      <c r="D494" s="109">
        <v>2026</v>
      </c>
      <c r="E494">
        <v>560.29</v>
      </c>
      <c r="F494" s="110">
        <v>402.33429999999998</v>
      </c>
      <c r="G494" s="111">
        <f t="shared" si="8"/>
        <v>0.39259814537313864</v>
      </c>
    </row>
    <row r="495" spans="2:7" ht="15" customHeight="1" x14ac:dyDescent="0.25">
      <c r="B495" s="108">
        <v>46074</v>
      </c>
      <c r="C495" s="108" t="s">
        <v>176</v>
      </c>
      <c r="D495" s="109">
        <v>2026</v>
      </c>
      <c r="E495">
        <v>556.59</v>
      </c>
      <c r="F495" s="110">
        <v>402.33429999999998</v>
      </c>
      <c r="G495" s="111">
        <f t="shared" si="8"/>
        <v>0.38340181287054098</v>
      </c>
    </row>
    <row r="496" spans="2:7" ht="15" customHeight="1" x14ac:dyDescent="0.25">
      <c r="B496" s="108">
        <v>46075</v>
      </c>
      <c r="C496" s="108" t="s">
        <v>176</v>
      </c>
      <c r="D496" s="109">
        <v>2026</v>
      </c>
      <c r="E496">
        <v>550.67999999999995</v>
      </c>
      <c r="F496" s="110">
        <v>402.33429999999998</v>
      </c>
      <c r="G496" s="111">
        <f t="shared" si="8"/>
        <v>0.36871253581909369</v>
      </c>
    </row>
    <row r="497" spans="2:7" ht="15" customHeight="1" x14ac:dyDescent="0.25">
      <c r="B497" s="108">
        <v>46076</v>
      </c>
      <c r="C497" s="108" t="s">
        <v>176</v>
      </c>
      <c r="D497" s="109">
        <v>2026</v>
      </c>
      <c r="E497">
        <v>574.55999999999995</v>
      </c>
      <c r="F497" s="110">
        <v>405.35180000000003</v>
      </c>
      <c r="G497" s="111">
        <f t="shared" si="8"/>
        <v>0.41743542276116674</v>
      </c>
    </row>
    <row r="498" spans="2:7" ht="15" customHeight="1" x14ac:dyDescent="0.25">
      <c r="B498" s="108">
        <v>46077</v>
      </c>
      <c r="C498" s="108" t="s">
        <v>176</v>
      </c>
      <c r="D498" s="109">
        <v>2026</v>
      </c>
      <c r="E498">
        <v>595.47</v>
      </c>
      <c r="F498" s="110">
        <v>407.37860000000001</v>
      </c>
      <c r="G498" s="111">
        <f t="shared" si="8"/>
        <v>0.46171153811221322</v>
      </c>
    </row>
    <row r="499" spans="2:7" ht="15" customHeight="1" x14ac:dyDescent="0.25">
      <c r="B499" s="108">
        <v>46078</v>
      </c>
      <c r="C499" s="108" t="s">
        <v>176</v>
      </c>
      <c r="D499" s="109">
        <v>2026</v>
      </c>
      <c r="E499">
        <v>613.37</v>
      </c>
      <c r="F499" s="110">
        <v>411.08569999999997</v>
      </c>
      <c r="G499" s="111">
        <f t="shared" si="8"/>
        <v>0.49207330734199717</v>
      </c>
    </row>
    <row r="500" spans="2:7" ht="15" customHeight="1" x14ac:dyDescent="0.25">
      <c r="B500" s="108">
        <v>46079</v>
      </c>
      <c r="C500" s="108" t="s">
        <v>176</v>
      </c>
      <c r="D500" s="109">
        <v>2026</v>
      </c>
      <c r="E500">
        <v>613.26</v>
      </c>
      <c r="F500" s="110">
        <v>414.0455</v>
      </c>
      <c r="G500" s="111">
        <f t="shared" si="8"/>
        <v>0.4811415653593627</v>
      </c>
    </row>
    <row r="501" spans="2:7" ht="15" customHeight="1" x14ac:dyDescent="0.25">
      <c r="B501" s="108">
        <v>46080</v>
      </c>
      <c r="C501" s="108" t="s">
        <v>176</v>
      </c>
      <c r="D501" s="109">
        <v>2026</v>
      </c>
      <c r="E501">
        <v>606.55999999999995</v>
      </c>
      <c r="F501" s="110">
        <v>417.35789999999997</v>
      </c>
      <c r="G501" s="111">
        <f t="shared" si="8"/>
        <v>0.45333297872162004</v>
      </c>
    </row>
    <row r="502" spans="2:7" ht="15" customHeight="1" x14ac:dyDescent="0.25">
      <c r="B502" s="108">
        <v>46081</v>
      </c>
      <c r="C502" s="108" t="s">
        <v>176</v>
      </c>
      <c r="D502" s="109">
        <v>2026</v>
      </c>
      <c r="E502">
        <v>604.72</v>
      </c>
      <c r="F502" s="110">
        <v>417.35789999999997</v>
      </c>
      <c r="G502" s="111">
        <f t="shared" si="8"/>
        <v>0.44892429255562205</v>
      </c>
    </row>
    <row r="503" spans="2:7" ht="15" customHeight="1" x14ac:dyDescent="0.25">
      <c r="B503" s="108">
        <v>46082</v>
      </c>
      <c r="C503" s="108" t="s">
        <v>177</v>
      </c>
      <c r="D503" s="109">
        <v>2026</v>
      </c>
      <c r="E503">
        <v>606.78</v>
      </c>
      <c r="F503" s="110">
        <v>417.35789999999997</v>
      </c>
      <c r="G503" s="111">
        <f t="shared" si="8"/>
        <v>0.45386010424146761</v>
      </c>
    </row>
    <row r="504" spans="2:7" ht="15" customHeight="1" x14ac:dyDescent="0.25">
      <c r="B504" s="108">
        <v>46083</v>
      </c>
      <c r="C504" s="108" t="s">
        <v>177</v>
      </c>
      <c r="D504" s="109">
        <v>2026</v>
      </c>
      <c r="E504">
        <v>616.91999999999996</v>
      </c>
      <c r="F504" s="110">
        <v>419.9873</v>
      </c>
      <c r="G504" s="111">
        <f t="shared" si="8"/>
        <v>0.46890155964239866</v>
      </c>
    </row>
    <row r="505" spans="2:7" ht="15" customHeight="1" x14ac:dyDescent="0.25">
      <c r="B505" s="108">
        <v>46084</v>
      </c>
      <c r="C505" s="108" t="s">
        <v>177</v>
      </c>
      <c r="D505" s="109">
        <v>2026</v>
      </c>
      <c r="E505">
        <v>627.79</v>
      </c>
      <c r="F505" s="110">
        <v>421.87720000000002</v>
      </c>
      <c r="G505" s="111">
        <f t="shared" si="8"/>
        <v>0.48808705471639602</v>
      </c>
    </row>
    <row r="506" spans="2:7" ht="15" customHeight="1" x14ac:dyDescent="0.25">
      <c r="B506" s="108">
        <v>46085</v>
      </c>
      <c r="C506" s="108" t="s">
        <v>177</v>
      </c>
      <c r="D506" s="109">
        <v>2026</v>
      </c>
      <c r="E506">
        <v>632.41</v>
      </c>
      <c r="F506" s="110">
        <v>425.67410000000001</v>
      </c>
      <c r="G506" s="111">
        <f t="shared" si="8"/>
        <v>0.4856670866280095</v>
      </c>
    </row>
    <row r="507" spans="2:7" ht="15" customHeight="1" x14ac:dyDescent="0.25">
      <c r="B507" s="108">
        <v>46086</v>
      </c>
      <c r="C507" s="108" t="s">
        <v>177</v>
      </c>
      <c r="D507" s="109">
        <v>2026</v>
      </c>
      <c r="E507">
        <v>627.76</v>
      </c>
      <c r="F507" s="110">
        <v>427.93020000000001</v>
      </c>
      <c r="G507" s="111">
        <f t="shared" si="8"/>
        <v>0.46696821117088705</v>
      </c>
    </row>
    <row r="508" spans="2:7" ht="15" customHeight="1" x14ac:dyDescent="0.25">
      <c r="B508" s="108">
        <v>46087</v>
      </c>
      <c r="C508" s="108" t="s">
        <v>177</v>
      </c>
      <c r="D508" s="109">
        <v>2026</v>
      </c>
      <c r="E508">
        <v>615.46</v>
      </c>
      <c r="F508" s="110">
        <v>431.01130000000001</v>
      </c>
      <c r="G508" s="111">
        <f t="shared" si="8"/>
        <v>0.42794400054012516</v>
      </c>
    </row>
    <row r="509" spans="2:7" ht="15" customHeight="1" x14ac:dyDescent="0.25">
      <c r="B509" s="108">
        <v>46088</v>
      </c>
      <c r="C509" s="108" t="s">
        <v>177</v>
      </c>
      <c r="D509" s="109">
        <v>2026</v>
      </c>
      <c r="E509">
        <v>604.67999999999995</v>
      </c>
      <c r="F509" s="110">
        <v>431.01130000000001</v>
      </c>
      <c r="G509" s="111">
        <f t="shared" ref="G509:G529" si="9">E509/F509-1</f>
        <v>0.40293305535144897</v>
      </c>
    </row>
    <row r="510" spans="2:7" ht="15" customHeight="1" x14ac:dyDescent="0.25">
      <c r="B510" s="108">
        <v>46089</v>
      </c>
      <c r="C510" s="108" t="s">
        <v>177</v>
      </c>
      <c r="D510" s="109">
        <v>2026</v>
      </c>
      <c r="E510">
        <v>609.89</v>
      </c>
      <c r="F510" s="110">
        <v>431.01130000000001</v>
      </c>
      <c r="G510" s="111">
        <f t="shared" si="9"/>
        <v>0.41502090548438053</v>
      </c>
    </row>
    <row r="511" spans="2:7" ht="15" customHeight="1" x14ac:dyDescent="0.25">
      <c r="B511" s="108">
        <v>46090</v>
      </c>
      <c r="C511" s="108" t="s">
        <v>177</v>
      </c>
      <c r="D511" s="109">
        <v>2026</v>
      </c>
      <c r="E511">
        <v>617.99</v>
      </c>
      <c r="F511" s="110">
        <v>433.16640000000001</v>
      </c>
      <c r="G511" s="111">
        <f t="shared" si="9"/>
        <v>0.42668037040730766</v>
      </c>
    </row>
    <row r="512" spans="2:7" ht="15" customHeight="1" x14ac:dyDescent="0.25">
      <c r="B512" s="108">
        <v>46091</v>
      </c>
      <c r="C512" s="108" t="s">
        <v>177</v>
      </c>
      <c r="D512" s="109">
        <v>2026</v>
      </c>
      <c r="E512">
        <v>621.55999999999995</v>
      </c>
      <c r="F512" s="110">
        <v>436.24189999999999</v>
      </c>
      <c r="G512" s="111">
        <f t="shared" si="9"/>
        <v>0.42480582447490711</v>
      </c>
    </row>
    <row r="513" spans="2:7" ht="15" customHeight="1" x14ac:dyDescent="0.25">
      <c r="B513" s="108">
        <v>46092</v>
      </c>
      <c r="C513" s="108" t="s">
        <v>177</v>
      </c>
      <c r="D513" s="109">
        <v>2026</v>
      </c>
      <c r="E513">
        <v>599.6</v>
      </c>
      <c r="F513" s="110">
        <v>438.20499999999998</v>
      </c>
      <c r="G513" s="111">
        <f t="shared" si="9"/>
        <v>0.36830935292842404</v>
      </c>
    </row>
    <row r="514" spans="2:7" ht="15" customHeight="1" x14ac:dyDescent="0.25">
      <c r="B514" s="108">
        <v>46093</v>
      </c>
      <c r="C514" s="108" t="s">
        <v>177</v>
      </c>
      <c r="D514" s="109">
        <v>2026</v>
      </c>
      <c r="E514">
        <v>609.21</v>
      </c>
      <c r="F514" s="110">
        <v>440.96570000000003</v>
      </c>
      <c r="G514" s="111">
        <f t="shared" si="9"/>
        <v>0.38153602423045596</v>
      </c>
    </row>
    <row r="515" spans="2:7" ht="15" customHeight="1" x14ac:dyDescent="0.25">
      <c r="B515" s="108">
        <v>46094</v>
      </c>
      <c r="C515" s="108" t="s">
        <v>177</v>
      </c>
      <c r="D515" s="109">
        <v>2026</v>
      </c>
      <c r="E515">
        <v>626.52</v>
      </c>
      <c r="F515" s="110">
        <v>443.25869999999998</v>
      </c>
      <c r="G515" s="111">
        <f t="shared" si="9"/>
        <v>0.41344095445842344</v>
      </c>
    </row>
    <row r="516" spans="2:7" ht="15" customHeight="1" x14ac:dyDescent="0.25">
      <c r="B516" s="108">
        <v>46095</v>
      </c>
      <c r="C516" s="108" t="s">
        <v>177</v>
      </c>
      <c r="D516" s="109">
        <v>2026</v>
      </c>
      <c r="E516">
        <v>624.78</v>
      </c>
      <c r="F516" s="110">
        <v>443.25869999999998</v>
      </c>
      <c r="G516" s="111">
        <f t="shared" si="9"/>
        <v>0.40951548159122431</v>
      </c>
    </row>
    <row r="517" spans="2:7" ht="15" customHeight="1" x14ac:dyDescent="0.25">
      <c r="B517" s="108">
        <v>46096</v>
      </c>
      <c r="C517" s="108" t="s">
        <v>177</v>
      </c>
      <c r="D517" s="109">
        <v>2026</v>
      </c>
      <c r="E517">
        <v>633.79</v>
      </c>
      <c r="F517" s="110">
        <v>443.25869999999998</v>
      </c>
      <c r="G517" s="111">
        <f t="shared" si="9"/>
        <v>0.42984221178287085</v>
      </c>
    </row>
    <row r="518" spans="2:7" ht="15" customHeight="1" x14ac:dyDescent="0.25">
      <c r="B518" s="108">
        <v>46097</v>
      </c>
      <c r="C518" s="108" t="s">
        <v>177</v>
      </c>
      <c r="D518" s="109">
        <v>2026</v>
      </c>
      <c r="E518">
        <v>651.14</v>
      </c>
      <c r="F518" s="110">
        <v>446.8048</v>
      </c>
      <c r="G518" s="111">
        <f t="shared" si="9"/>
        <v>0.4573254360740977</v>
      </c>
    </row>
    <row r="519" spans="2:7" ht="15" customHeight="1" x14ac:dyDescent="0.25">
      <c r="B519" s="108">
        <v>46098</v>
      </c>
      <c r="C519" s="108" t="s">
        <v>177</v>
      </c>
      <c r="D519" s="109">
        <v>2026</v>
      </c>
      <c r="E519">
        <v>665.79</v>
      </c>
      <c r="F519" s="110">
        <v>448.36860000000001</v>
      </c>
      <c r="G519" s="111">
        <f t="shared" si="9"/>
        <v>0.484916651166027</v>
      </c>
    </row>
    <row r="520" spans="2:7" ht="15" customHeight="1" x14ac:dyDescent="0.25">
      <c r="B520" s="108">
        <v>46099</v>
      </c>
      <c r="C520" s="108" t="s">
        <v>177</v>
      </c>
      <c r="D520" s="109">
        <v>2026</v>
      </c>
      <c r="E520">
        <v>666.63</v>
      </c>
      <c r="F520" s="110">
        <v>451.50720000000001</v>
      </c>
      <c r="G520" s="111">
        <f t="shared" si="9"/>
        <v>0.47645486052049657</v>
      </c>
    </row>
    <row r="521" spans="2:7" ht="15" customHeight="1" x14ac:dyDescent="0.25">
      <c r="B521" s="108">
        <v>46100</v>
      </c>
      <c r="C521" s="108" t="s">
        <v>177</v>
      </c>
      <c r="D521" s="109">
        <v>2026</v>
      </c>
      <c r="E521">
        <v>661.01</v>
      </c>
      <c r="F521" s="110">
        <v>451.50720000000001</v>
      </c>
      <c r="G521" s="111">
        <f t="shared" si="9"/>
        <v>0.46400766145035988</v>
      </c>
    </row>
    <row r="522" spans="2:7" ht="15" customHeight="1" x14ac:dyDescent="0.25">
      <c r="B522" s="108">
        <v>46101</v>
      </c>
      <c r="C522" s="108" t="s">
        <v>177</v>
      </c>
      <c r="D522" s="109">
        <v>2026</v>
      </c>
      <c r="E522">
        <v>657.52</v>
      </c>
      <c r="F522" s="110">
        <v>455.25470000000001</v>
      </c>
      <c r="G522" s="111">
        <f t="shared" si="9"/>
        <v>0.44429041589246632</v>
      </c>
    </row>
    <row r="523" spans="2:7" ht="15" customHeight="1" x14ac:dyDescent="0.25">
      <c r="B523" s="108">
        <v>46102</v>
      </c>
      <c r="C523" s="108" t="s">
        <v>177</v>
      </c>
      <c r="D523" s="109">
        <v>2026</v>
      </c>
      <c r="E523">
        <v>655.98</v>
      </c>
      <c r="F523" s="110">
        <v>455.25470000000001</v>
      </c>
      <c r="G523" s="111">
        <f t="shared" si="9"/>
        <v>0.44090769408860586</v>
      </c>
    </row>
    <row r="524" spans="2:7" ht="15" customHeight="1" x14ac:dyDescent="0.25">
      <c r="B524" s="108">
        <v>46103</v>
      </c>
      <c r="C524" s="108" t="s">
        <v>177</v>
      </c>
      <c r="D524" s="109">
        <v>2026</v>
      </c>
      <c r="E524">
        <v>657.54</v>
      </c>
      <c r="F524" s="110">
        <v>455.25470000000001</v>
      </c>
      <c r="G524" s="111">
        <f t="shared" si="9"/>
        <v>0.44433434734446431</v>
      </c>
    </row>
    <row r="525" spans="2:7" ht="15" customHeight="1" x14ac:dyDescent="0.25">
      <c r="B525" s="108">
        <v>46104</v>
      </c>
      <c r="C525" s="108" t="s">
        <v>177</v>
      </c>
      <c r="D525" s="109">
        <v>2026</v>
      </c>
      <c r="E525">
        <v>660.99</v>
      </c>
      <c r="F525" s="110">
        <v>457.07569999999998</v>
      </c>
      <c r="G525" s="111">
        <f t="shared" si="9"/>
        <v>0.44612807025182044</v>
      </c>
    </row>
    <row r="526" spans="2:7" ht="15" customHeight="1" x14ac:dyDescent="0.25">
      <c r="B526" s="108">
        <v>46105</v>
      </c>
      <c r="C526" s="108" t="s">
        <v>177</v>
      </c>
      <c r="D526" s="109">
        <v>2026</v>
      </c>
      <c r="E526">
        <v>668</v>
      </c>
      <c r="F526" s="110">
        <v>459.45249999999999</v>
      </c>
      <c r="G526" s="111">
        <f t="shared" si="9"/>
        <v>0.45390437531627326</v>
      </c>
    </row>
    <row r="527" spans="2:7" ht="15" customHeight="1" x14ac:dyDescent="0.25">
      <c r="B527" s="108">
        <v>46106</v>
      </c>
      <c r="C527" s="108" t="s">
        <v>177</v>
      </c>
      <c r="D527" s="109">
        <v>2026</v>
      </c>
      <c r="E527">
        <v>672.77</v>
      </c>
      <c r="F527" s="110">
        <v>462.6687</v>
      </c>
      <c r="G527" s="111">
        <f t="shared" si="9"/>
        <v>0.45410744232320011</v>
      </c>
    </row>
    <row r="528" spans="2:7" ht="15" customHeight="1" x14ac:dyDescent="0.25">
      <c r="B528" s="108">
        <v>46107</v>
      </c>
      <c r="C528" s="108" t="s">
        <v>177</v>
      </c>
      <c r="D528" s="109">
        <v>2026</v>
      </c>
      <c r="E528">
        <v>665.22</v>
      </c>
      <c r="F528" s="112">
        <v>466.60140000000001</v>
      </c>
      <c r="G528" s="111">
        <f t="shared" si="9"/>
        <v>0.42567081881880342</v>
      </c>
    </row>
    <row r="529" spans="2:7" ht="15" customHeight="1" x14ac:dyDescent="0.25">
      <c r="B529" s="108">
        <v>46108</v>
      </c>
      <c r="C529" s="108" t="s">
        <v>177</v>
      </c>
      <c r="D529" s="109">
        <v>2026</v>
      </c>
      <c r="E529">
        <v>664.74</v>
      </c>
      <c r="F529" s="112">
        <v>468.5145</v>
      </c>
      <c r="G529" s="111">
        <f t="shared" si="9"/>
        <v>0.41882481758835644</v>
      </c>
    </row>
    <row r="530" spans="2:7" ht="15" customHeight="1" x14ac:dyDescent="0.25">
      <c r="B530" s="108">
        <v>46109</v>
      </c>
      <c r="C530" s="108" t="s">
        <v>177</v>
      </c>
      <c r="D530" s="109">
        <v>2026</v>
      </c>
      <c r="E530">
        <v>666.92</v>
      </c>
      <c r="F530" s="112">
        <v>468.5145</v>
      </c>
      <c r="G530" s="111">
        <f>E530/F530-1</f>
        <v>0.42347782192440131</v>
      </c>
    </row>
    <row r="531" spans="2:7" ht="15" customHeight="1" x14ac:dyDescent="0.25">
      <c r="B531" s="108">
        <v>46110</v>
      </c>
      <c r="C531" s="108" t="s">
        <v>177</v>
      </c>
      <c r="D531" s="109">
        <v>2026</v>
      </c>
      <c r="E531">
        <v>666.13</v>
      </c>
      <c r="F531" s="112">
        <v>468.5145</v>
      </c>
      <c r="G531" s="111">
        <f t="shared" ref="G531:G566" si="10">E531/F531-1</f>
        <v>0.42179164145399972</v>
      </c>
    </row>
    <row r="532" spans="2:7" ht="15" customHeight="1" x14ac:dyDescent="0.25">
      <c r="B532" s="108">
        <v>46111</v>
      </c>
      <c r="C532" s="108" t="s">
        <v>177</v>
      </c>
      <c r="D532" s="109">
        <v>2026</v>
      </c>
      <c r="E532">
        <v>659.87</v>
      </c>
      <c r="F532" s="112">
        <v>471.7004</v>
      </c>
      <c r="G532" s="111">
        <f t="shared" si="10"/>
        <v>0.39891761804738768</v>
      </c>
    </row>
    <row r="533" spans="2:7" ht="15" customHeight="1" x14ac:dyDescent="0.25">
      <c r="B533" s="108">
        <v>46112</v>
      </c>
      <c r="C533" s="108" t="s">
        <v>177</v>
      </c>
      <c r="D533" s="109">
        <v>2026</v>
      </c>
      <c r="E533">
        <v>656.94</v>
      </c>
      <c r="F533" s="112">
        <v>473.87020000000001</v>
      </c>
      <c r="G533" s="111">
        <f t="shared" si="10"/>
        <v>0.38632899895372197</v>
      </c>
    </row>
    <row r="534" spans="2:7" ht="15" customHeight="1" x14ac:dyDescent="0.25">
      <c r="B534" s="108">
        <v>46113</v>
      </c>
      <c r="C534" s="108" t="s">
        <v>179</v>
      </c>
      <c r="D534" s="109">
        <v>2026</v>
      </c>
      <c r="E534">
        <v>654.13580000000002</v>
      </c>
      <c r="F534" s="113">
        <v>473.91759999999999</v>
      </c>
      <c r="G534" s="111">
        <f t="shared" si="10"/>
        <v>0.38027327957433954</v>
      </c>
    </row>
    <row r="535" spans="2:7" ht="15" customHeight="1" x14ac:dyDescent="0.25">
      <c r="B535" s="108">
        <v>46114</v>
      </c>
      <c r="C535" s="108" t="s">
        <v>179</v>
      </c>
      <c r="D535" s="109">
        <v>2026</v>
      </c>
      <c r="E535">
        <v>651.7998</v>
      </c>
      <c r="F535" s="113">
        <v>473.91759999999999</v>
      </c>
      <c r="G535" s="111">
        <f t="shared" si="10"/>
        <v>0.37534415265438548</v>
      </c>
    </row>
    <row r="536" spans="2:7" ht="15" customHeight="1" x14ac:dyDescent="0.25">
      <c r="B536" s="108">
        <v>46115</v>
      </c>
      <c r="C536" s="108" t="s">
        <v>179</v>
      </c>
      <c r="D536" s="109">
        <v>2026</v>
      </c>
      <c r="E536">
        <v>639.95000000000005</v>
      </c>
      <c r="F536" s="113">
        <v>473.91759999999999</v>
      </c>
      <c r="G536" s="111">
        <f t="shared" si="10"/>
        <v>0.35034022792147845</v>
      </c>
    </row>
    <row r="537" spans="2:7" ht="15" customHeight="1" x14ac:dyDescent="0.25">
      <c r="B537" s="108">
        <v>46116</v>
      </c>
      <c r="C537" s="108" t="s">
        <v>179</v>
      </c>
      <c r="D537" s="109">
        <v>2026</v>
      </c>
      <c r="E537">
        <v>630.45780000000002</v>
      </c>
      <c r="F537" s="113">
        <v>473.91759999999999</v>
      </c>
      <c r="G537" s="111">
        <f t="shared" si="10"/>
        <v>0.33031100765196308</v>
      </c>
    </row>
    <row r="538" spans="2:7" ht="15" customHeight="1" x14ac:dyDescent="0.25">
      <c r="B538" s="108">
        <v>46117</v>
      </c>
      <c r="C538" s="108" t="s">
        <v>179</v>
      </c>
      <c r="D538" s="109">
        <v>2026</v>
      </c>
      <c r="E538">
        <v>629.06979999999999</v>
      </c>
      <c r="F538" s="113">
        <v>473.91759999999999</v>
      </c>
      <c r="G538" s="111">
        <f t="shared" si="10"/>
        <v>0.32738222847178489</v>
      </c>
    </row>
    <row r="539" spans="2:7" ht="15" customHeight="1" x14ac:dyDescent="0.25">
      <c r="B539" s="108">
        <v>46118</v>
      </c>
      <c r="C539" s="108" t="s">
        <v>179</v>
      </c>
      <c r="D539" s="109">
        <v>2026</v>
      </c>
      <c r="E539">
        <v>634.93820000000005</v>
      </c>
      <c r="F539" s="113">
        <v>474.0598</v>
      </c>
      <c r="G539" s="111">
        <f t="shared" si="10"/>
        <v>0.33936309301062884</v>
      </c>
    </row>
    <row r="540" spans="2:7" ht="15" customHeight="1" x14ac:dyDescent="0.25">
      <c r="B540" s="108">
        <v>46119</v>
      </c>
      <c r="C540" s="108" t="s">
        <v>179</v>
      </c>
      <c r="D540" s="109">
        <v>2026</v>
      </c>
      <c r="E540">
        <v>638.13980000000004</v>
      </c>
      <c r="F540" s="113">
        <v>474.53379999999999</v>
      </c>
      <c r="G540" s="111">
        <f t="shared" si="10"/>
        <v>0.34477206892322543</v>
      </c>
    </row>
    <row r="541" spans="2:7" ht="15" customHeight="1" x14ac:dyDescent="0.25">
      <c r="B541" s="108">
        <v>46120</v>
      </c>
      <c r="C541" s="108" t="s">
        <v>179</v>
      </c>
      <c r="D541" s="109">
        <v>2026</v>
      </c>
      <c r="E541">
        <v>635.04</v>
      </c>
      <c r="F541">
        <v>475.00830000000002</v>
      </c>
      <c r="G541" s="111">
        <f t="shared" si="10"/>
        <v>0.33690295516941471</v>
      </c>
    </row>
    <row r="542" spans="2:7" ht="15" customHeight="1" x14ac:dyDescent="0.25">
      <c r="B542" s="108">
        <v>46121</v>
      </c>
      <c r="C542" s="108" t="s">
        <v>179</v>
      </c>
      <c r="D542" s="109">
        <v>2026</v>
      </c>
      <c r="E542">
        <v>635.41999999999996</v>
      </c>
      <c r="F542">
        <v>475.95830000000001</v>
      </c>
      <c r="G542" s="111">
        <f t="shared" si="10"/>
        <v>0.33503292200178025</v>
      </c>
    </row>
    <row r="543" spans="2:7" ht="15" customHeight="1" x14ac:dyDescent="0.25">
      <c r="B543" s="108">
        <v>46122</v>
      </c>
      <c r="C543" s="108" t="s">
        <v>179</v>
      </c>
      <c r="D543" s="109">
        <v>2026</v>
      </c>
      <c r="E543">
        <v>637.0136</v>
      </c>
      <c r="F543">
        <v>476.43419999999998</v>
      </c>
      <c r="G543" s="111">
        <f t="shared" si="10"/>
        <v>0.33704423402014383</v>
      </c>
    </row>
    <row r="544" spans="2:7" ht="15" customHeight="1" x14ac:dyDescent="0.25">
      <c r="B544" s="108">
        <v>46123</v>
      </c>
      <c r="C544" s="108" t="s">
        <v>179</v>
      </c>
      <c r="D544" s="109">
        <v>2026</v>
      </c>
      <c r="E544">
        <v>631.41399999999999</v>
      </c>
      <c r="F544">
        <v>476.43419999999998</v>
      </c>
      <c r="G544" s="111">
        <f t="shared" si="10"/>
        <v>0.32529108951456465</v>
      </c>
    </row>
    <row r="545" spans="2:7" ht="15" customHeight="1" x14ac:dyDescent="0.25">
      <c r="B545" s="108">
        <v>46124</v>
      </c>
      <c r="C545" s="108" t="s">
        <v>179</v>
      </c>
      <c r="D545" s="109">
        <v>2026</v>
      </c>
      <c r="E545">
        <v>628.93979999999999</v>
      </c>
      <c r="F545">
        <v>476.43419999999998</v>
      </c>
      <c r="G545" s="111">
        <f t="shared" si="10"/>
        <v>0.32009792747875787</v>
      </c>
    </row>
    <row r="546" spans="2:7" ht="15" customHeight="1" x14ac:dyDescent="0.25">
      <c r="B546" s="108">
        <v>46125</v>
      </c>
      <c r="C546" s="108" t="s">
        <v>179</v>
      </c>
      <c r="D546" s="109">
        <v>2026</v>
      </c>
      <c r="E546">
        <v>637.43979999999999</v>
      </c>
      <c r="F546">
        <v>477.14879999999999</v>
      </c>
      <c r="G546" s="111">
        <f t="shared" si="10"/>
        <v>0.33593503745582098</v>
      </c>
    </row>
    <row r="547" spans="2:7" ht="15" customHeight="1" x14ac:dyDescent="0.25">
      <c r="B547" s="108">
        <v>46126</v>
      </c>
      <c r="C547" s="108" t="s">
        <v>179</v>
      </c>
      <c r="D547" s="109">
        <v>2026</v>
      </c>
      <c r="E547">
        <v>629.61779999999999</v>
      </c>
      <c r="F547">
        <v>477.6259</v>
      </c>
      <c r="G547" s="111">
        <f t="shared" si="10"/>
        <v>0.31822373954176264</v>
      </c>
    </row>
    <row r="548" spans="2:7" ht="15" customHeight="1" x14ac:dyDescent="0.25">
      <c r="B548" s="108">
        <v>46127</v>
      </c>
      <c r="C548" s="108" t="s">
        <v>179</v>
      </c>
      <c r="D548" s="109">
        <v>2026</v>
      </c>
      <c r="E548">
        <v>624.93960000000004</v>
      </c>
      <c r="F548">
        <v>478.58109999999999</v>
      </c>
      <c r="G548" s="111">
        <f t="shared" si="10"/>
        <v>0.30581755109008713</v>
      </c>
    </row>
    <row r="549" spans="2:7" ht="15" customHeight="1" x14ac:dyDescent="0.25">
      <c r="B549" s="108">
        <v>46128</v>
      </c>
      <c r="C549" s="108" t="s">
        <v>179</v>
      </c>
      <c r="D549" s="109">
        <v>2026</v>
      </c>
      <c r="E549">
        <v>624.25139999999999</v>
      </c>
      <c r="F549">
        <v>479.77749999999997</v>
      </c>
      <c r="G549" s="111">
        <f t="shared" si="10"/>
        <v>0.30112687652088743</v>
      </c>
    </row>
    <row r="550" spans="2:7" ht="15" customHeight="1" x14ac:dyDescent="0.25">
      <c r="B550" s="108">
        <v>46129</v>
      </c>
      <c r="C550" s="108" t="s">
        <v>179</v>
      </c>
      <c r="D550" s="109">
        <v>2026</v>
      </c>
      <c r="E550" s="114">
        <v>619.62959999999998</v>
      </c>
      <c r="F550">
        <v>480.25720000000001</v>
      </c>
      <c r="G550" s="111">
        <f t="shared" si="10"/>
        <v>0.29020366586903834</v>
      </c>
    </row>
    <row r="551" spans="2:7" ht="15" customHeight="1" x14ac:dyDescent="0.25">
      <c r="B551" s="108">
        <v>46130</v>
      </c>
      <c r="C551" s="108" t="s">
        <v>179</v>
      </c>
      <c r="D551" s="109">
        <v>2026</v>
      </c>
      <c r="E551">
        <v>621.2586</v>
      </c>
      <c r="F551">
        <v>480.25720000000001</v>
      </c>
      <c r="G551" s="111">
        <f t="shared" si="10"/>
        <v>0.29359559835854609</v>
      </c>
    </row>
    <row r="552" spans="2:7" ht="15" customHeight="1" x14ac:dyDescent="0.25">
      <c r="B552" s="108">
        <v>46131</v>
      </c>
      <c r="C552" s="108" t="s">
        <v>179</v>
      </c>
      <c r="D552" s="109">
        <v>2026</v>
      </c>
      <c r="E552">
        <v>621.62099999999998</v>
      </c>
      <c r="F552">
        <v>480.25720000000001</v>
      </c>
      <c r="G552" s="111">
        <f t="shared" si="10"/>
        <v>0.2943501940210369</v>
      </c>
    </row>
    <row r="553" spans="2:7" ht="15" customHeight="1" x14ac:dyDescent="0.25">
      <c r="B553" s="108">
        <v>46132</v>
      </c>
      <c r="C553" s="108" t="s">
        <v>179</v>
      </c>
      <c r="D553" s="109">
        <v>2026</v>
      </c>
      <c r="E553">
        <v>632.9298</v>
      </c>
      <c r="F553">
        <v>481.21769999999998</v>
      </c>
      <c r="G553" s="111">
        <f t="shared" si="10"/>
        <v>0.3152670818218033</v>
      </c>
    </row>
    <row r="554" spans="2:7" ht="15" customHeight="1" x14ac:dyDescent="0.25">
      <c r="B554" s="108">
        <v>46133</v>
      </c>
      <c r="C554" s="108" t="s">
        <v>179</v>
      </c>
      <c r="D554" s="109">
        <v>2026</v>
      </c>
      <c r="E554">
        <v>626.96</v>
      </c>
      <c r="F554">
        <v>481.69889999999998</v>
      </c>
      <c r="G554" s="111">
        <f t="shared" si="10"/>
        <v>0.30155995789070733</v>
      </c>
    </row>
    <row r="555" spans="2:7" ht="15" customHeight="1" x14ac:dyDescent="0.25">
      <c r="B555" s="108">
        <v>46134</v>
      </c>
      <c r="C555" s="108" t="s">
        <v>179</v>
      </c>
      <c r="D555" s="109">
        <v>2026</v>
      </c>
      <c r="E555">
        <v>628.91800000000001</v>
      </c>
      <c r="F555">
        <v>482.7586</v>
      </c>
      <c r="G555" s="111">
        <f t="shared" si="10"/>
        <v>0.30275877011823304</v>
      </c>
    </row>
    <row r="556" spans="2:7" ht="15" customHeight="1" x14ac:dyDescent="0.25">
      <c r="B556" s="108">
        <v>46135</v>
      </c>
      <c r="C556" s="108" t="s">
        <v>179</v>
      </c>
      <c r="D556" s="109">
        <v>2026</v>
      </c>
      <c r="E556">
        <v>629.91980000000001</v>
      </c>
      <c r="F556">
        <v>483.33789999999999</v>
      </c>
      <c r="G556" s="111">
        <f t="shared" si="10"/>
        <v>0.30327003117280893</v>
      </c>
    </row>
    <row r="557" spans="2:7" ht="15" customHeight="1" x14ac:dyDescent="0.25">
      <c r="B557" s="108">
        <v>46136</v>
      </c>
      <c r="C557" s="108" t="s">
        <v>179</v>
      </c>
      <c r="D557" s="109">
        <v>2026</v>
      </c>
      <c r="E557">
        <v>629.52020000000005</v>
      </c>
      <c r="F557">
        <v>483.86950000000002</v>
      </c>
      <c r="G557" s="111">
        <f>E557/F557-1</f>
        <v>0.30101235973749119</v>
      </c>
    </row>
    <row r="558" spans="2:7" ht="15" customHeight="1" x14ac:dyDescent="0.25">
      <c r="B558" s="108">
        <v>46137</v>
      </c>
      <c r="C558" s="108" t="s">
        <v>179</v>
      </c>
      <c r="D558" s="109">
        <v>2026</v>
      </c>
      <c r="E558">
        <v>630.15139999999997</v>
      </c>
      <c r="F558">
        <v>483.86950000000002</v>
      </c>
      <c r="G558" s="111">
        <f t="shared" si="10"/>
        <v>0.30231684369442569</v>
      </c>
    </row>
    <row r="559" spans="2:7" ht="15" customHeight="1" x14ac:dyDescent="0.25">
      <c r="B559" s="108">
        <v>46138</v>
      </c>
      <c r="C559" s="108" t="s">
        <v>179</v>
      </c>
      <c r="D559" s="109">
        <v>2026</v>
      </c>
      <c r="E559">
        <v>631.10619999999994</v>
      </c>
      <c r="F559">
        <v>483.86950000000002</v>
      </c>
      <c r="G559" s="111">
        <f t="shared" si="10"/>
        <v>0.30429010301331227</v>
      </c>
    </row>
    <row r="560" spans="2:7" ht="15" customHeight="1" x14ac:dyDescent="0.25">
      <c r="B560" s="108">
        <v>46139</v>
      </c>
      <c r="C560" s="108" t="s">
        <v>179</v>
      </c>
      <c r="D560" s="109">
        <v>2026</v>
      </c>
      <c r="E560">
        <v>643.58680000000004</v>
      </c>
      <c r="F560">
        <v>484.74040000000002</v>
      </c>
      <c r="G560" s="111">
        <f t="shared" si="10"/>
        <v>0.32769375112947063</v>
      </c>
    </row>
    <row r="561" spans="2:7" ht="15" customHeight="1" x14ac:dyDescent="0.25">
      <c r="B561" s="108">
        <v>46140</v>
      </c>
      <c r="C561" s="108" t="s">
        <v>179</v>
      </c>
      <c r="D561" s="109">
        <v>2026</v>
      </c>
      <c r="E561">
        <v>644.21960000000001</v>
      </c>
      <c r="F561">
        <v>485.2251</v>
      </c>
      <c r="G561" s="111">
        <f t="shared" si="10"/>
        <v>0.32767163116664833</v>
      </c>
    </row>
    <row r="562" spans="2:7" ht="15" customHeight="1" x14ac:dyDescent="0.25">
      <c r="B562" s="108">
        <v>46141</v>
      </c>
      <c r="C562" s="108" t="s">
        <v>179</v>
      </c>
      <c r="D562" s="109">
        <v>2026</v>
      </c>
      <c r="E562">
        <v>632.94380000000001</v>
      </c>
      <c r="F562">
        <v>486.19549999999998</v>
      </c>
      <c r="G562" s="111">
        <f t="shared" si="10"/>
        <v>0.30182981948619436</v>
      </c>
    </row>
    <row r="563" spans="2:7" ht="15" customHeight="1" x14ac:dyDescent="0.25">
      <c r="B563" s="108">
        <v>46142</v>
      </c>
      <c r="C563" s="108" t="s">
        <v>179</v>
      </c>
      <c r="D563" s="109">
        <v>2026</v>
      </c>
      <c r="E563">
        <v>631.31960000000004</v>
      </c>
      <c r="F563">
        <v>487.11919999999998</v>
      </c>
      <c r="G563" s="111">
        <f t="shared" si="10"/>
        <v>0.29602692729007618</v>
      </c>
    </row>
    <row r="564" spans="2:7" ht="15" customHeight="1" x14ac:dyDescent="0.25">
      <c r="B564" s="108">
        <v>46143</v>
      </c>
      <c r="C564" s="108" t="s">
        <v>180</v>
      </c>
      <c r="D564" s="109">
        <v>2026</v>
      </c>
      <c r="E564">
        <v>632.13779999999997</v>
      </c>
      <c r="F564">
        <v>487.11919999999998</v>
      </c>
      <c r="G564" s="111">
        <f t="shared" si="10"/>
        <v>0.29770659830283841</v>
      </c>
    </row>
    <row r="565" spans="2:7" ht="15" customHeight="1" x14ac:dyDescent="0.25">
      <c r="B565" s="108">
        <v>46144</v>
      </c>
      <c r="C565" s="108" t="s">
        <v>180</v>
      </c>
      <c r="D565" s="109">
        <v>2026</v>
      </c>
      <c r="E565">
        <v>631.35</v>
      </c>
      <c r="F565">
        <v>487.11919999999998</v>
      </c>
      <c r="G565" s="111">
        <f t="shared" si="10"/>
        <v>0.29608933501286749</v>
      </c>
    </row>
    <row r="566" spans="2:7" ht="15" customHeight="1" x14ac:dyDescent="0.25">
      <c r="B566" s="108">
        <v>46145</v>
      </c>
      <c r="C566" s="108" t="s">
        <v>180</v>
      </c>
      <c r="D566" s="109">
        <v>2026</v>
      </c>
      <c r="E566">
        <v>632.01880000000006</v>
      </c>
      <c r="F566">
        <v>487.11919999999998</v>
      </c>
      <c r="G566" s="111">
        <f t="shared" si="10"/>
        <v>0.29746230491427994</v>
      </c>
    </row>
    <row r="567" spans="2:7" ht="15" customHeight="1" x14ac:dyDescent="0.25">
      <c r="B567" s="108">
        <v>46146</v>
      </c>
      <c r="C567" s="108" t="s">
        <v>180</v>
      </c>
      <c r="D567" s="109">
        <v>2026</v>
      </c>
      <c r="F567">
        <v>489.55470000000003</v>
      </c>
    </row>
    <row r="568" spans="2:7" ht="15" customHeight="1" x14ac:dyDescent="0.25">
      <c r="B568" s="108">
        <v>46147</v>
      </c>
      <c r="C568" s="108" t="s">
        <v>180</v>
      </c>
      <c r="D568" s="109">
        <v>2026</v>
      </c>
    </row>
    <row r="569" spans="2:7" ht="15" customHeight="1" x14ac:dyDescent="0.25">
      <c r="B569" s="108">
        <v>46148</v>
      </c>
      <c r="C569" s="108" t="s">
        <v>180</v>
      </c>
      <c r="D569" s="109">
        <v>2026</v>
      </c>
    </row>
    <row r="570" spans="2:7" ht="15" customHeight="1" x14ac:dyDescent="0.25">
      <c r="B570" s="108">
        <v>46149</v>
      </c>
      <c r="C570" s="108" t="s">
        <v>180</v>
      </c>
      <c r="D570" s="109">
        <v>2026</v>
      </c>
    </row>
    <row r="571" spans="2:7" ht="15" customHeight="1" x14ac:dyDescent="0.25">
      <c r="B571" s="108">
        <v>46150</v>
      </c>
      <c r="C571" s="108" t="s">
        <v>180</v>
      </c>
      <c r="D571" s="109">
        <v>2026</v>
      </c>
    </row>
    <row r="572" spans="2:7" ht="15" customHeight="1" x14ac:dyDescent="0.25">
      <c r="B572" s="108">
        <v>46151</v>
      </c>
      <c r="C572" s="108" t="s">
        <v>180</v>
      </c>
      <c r="D572" s="109">
        <v>2026</v>
      </c>
    </row>
    <row r="573" spans="2:7" ht="15" customHeight="1" x14ac:dyDescent="0.25">
      <c r="B573" s="108">
        <v>46152</v>
      </c>
      <c r="C573" s="108" t="s">
        <v>180</v>
      </c>
      <c r="D573" s="109">
        <v>2026</v>
      </c>
    </row>
    <row r="574" spans="2:7" ht="15" customHeight="1" x14ac:dyDescent="0.25">
      <c r="B574" s="108">
        <v>46153</v>
      </c>
      <c r="C574" s="108" t="s">
        <v>180</v>
      </c>
      <c r="D574" s="109">
        <v>2026</v>
      </c>
    </row>
    <row r="575" spans="2:7" ht="15" customHeight="1" x14ac:dyDescent="0.25">
      <c r="B575" s="108">
        <v>46154</v>
      </c>
      <c r="C575" s="108" t="s">
        <v>180</v>
      </c>
      <c r="D575" s="109">
        <v>2026</v>
      </c>
    </row>
    <row r="576" spans="2:7" ht="15" customHeight="1" x14ac:dyDescent="0.25">
      <c r="B576" s="108">
        <v>46155</v>
      </c>
      <c r="C576" s="108" t="s">
        <v>180</v>
      </c>
      <c r="D576" s="109">
        <v>2026</v>
      </c>
    </row>
    <row r="577" spans="2:4" ht="15" customHeight="1" x14ac:dyDescent="0.25">
      <c r="B577" s="108">
        <v>46156</v>
      </c>
      <c r="C577" s="108" t="s">
        <v>180</v>
      </c>
      <c r="D577" s="109">
        <v>2026</v>
      </c>
    </row>
    <row r="578" spans="2:4" ht="15" customHeight="1" x14ac:dyDescent="0.25">
      <c r="B578" s="108">
        <v>46157</v>
      </c>
      <c r="C578" s="108" t="s">
        <v>180</v>
      </c>
      <c r="D578" s="109">
        <v>2026</v>
      </c>
    </row>
    <row r="579" spans="2:4" ht="15" customHeight="1" x14ac:dyDescent="0.25">
      <c r="B579" s="108">
        <v>46158</v>
      </c>
      <c r="C579" s="108" t="s">
        <v>180</v>
      </c>
      <c r="D579" s="109">
        <v>2026</v>
      </c>
    </row>
    <row r="580" spans="2:4" ht="15" customHeight="1" x14ac:dyDescent="0.25">
      <c r="B580" s="108">
        <v>46159</v>
      </c>
      <c r="C580" s="108" t="s">
        <v>180</v>
      </c>
      <c r="D580" s="109">
        <v>2026</v>
      </c>
    </row>
    <row r="581" spans="2:4" ht="15" customHeight="1" x14ac:dyDescent="0.25">
      <c r="B581" s="108">
        <v>46160</v>
      </c>
      <c r="C581" s="108" t="s">
        <v>180</v>
      </c>
      <c r="D581" s="109">
        <v>2026</v>
      </c>
    </row>
    <row r="582" spans="2:4" ht="15" customHeight="1" x14ac:dyDescent="0.25">
      <c r="B582" s="108">
        <v>46161</v>
      </c>
      <c r="C582" s="108" t="s">
        <v>180</v>
      </c>
      <c r="D582" s="109">
        <v>2026</v>
      </c>
    </row>
    <row r="583" spans="2:4" ht="15" customHeight="1" x14ac:dyDescent="0.25">
      <c r="B583" s="108">
        <v>46162</v>
      </c>
      <c r="C583" s="108" t="s">
        <v>180</v>
      </c>
      <c r="D583" s="109">
        <v>2026</v>
      </c>
    </row>
    <row r="584" spans="2:4" ht="15" customHeight="1" x14ac:dyDescent="0.25">
      <c r="B584" s="108">
        <v>46163</v>
      </c>
      <c r="C584" s="108" t="s">
        <v>180</v>
      </c>
      <c r="D584" s="109">
        <v>2026</v>
      </c>
    </row>
    <row r="585" spans="2:4" ht="15" customHeight="1" x14ac:dyDescent="0.25">
      <c r="B585" s="108">
        <v>46164</v>
      </c>
      <c r="C585" s="108" t="s">
        <v>180</v>
      </c>
      <c r="D585" s="109">
        <v>2026</v>
      </c>
    </row>
    <row r="586" spans="2:4" ht="15" customHeight="1" x14ac:dyDescent="0.25">
      <c r="B586" s="108">
        <v>46165</v>
      </c>
      <c r="C586" s="108" t="s">
        <v>180</v>
      </c>
      <c r="D586" s="109">
        <v>2026</v>
      </c>
    </row>
    <row r="587" spans="2:4" ht="15" customHeight="1" x14ac:dyDescent="0.25">
      <c r="B587" s="108">
        <v>46166</v>
      </c>
      <c r="C587" s="108" t="s">
        <v>180</v>
      </c>
      <c r="D587" s="109">
        <v>2026</v>
      </c>
    </row>
    <row r="588" spans="2:4" ht="15" customHeight="1" x14ac:dyDescent="0.25">
      <c r="B588" s="108">
        <v>46167</v>
      </c>
      <c r="C588" s="108" t="s">
        <v>180</v>
      </c>
      <c r="D588" s="109">
        <v>2026</v>
      </c>
    </row>
    <row r="589" spans="2:4" ht="15" customHeight="1" x14ac:dyDescent="0.25">
      <c r="B589" s="108">
        <v>46168</v>
      </c>
      <c r="C589" s="108" t="s">
        <v>180</v>
      </c>
      <c r="D589" s="109">
        <v>2026</v>
      </c>
    </row>
    <row r="590" spans="2:4" ht="15" customHeight="1" x14ac:dyDescent="0.25">
      <c r="B590" s="108">
        <v>46169</v>
      </c>
      <c r="C590" s="108" t="s">
        <v>180</v>
      </c>
      <c r="D590" s="109">
        <v>2026</v>
      </c>
    </row>
    <row r="591" spans="2:4" ht="15" customHeight="1" x14ac:dyDescent="0.25">
      <c r="B591" s="108">
        <v>46170</v>
      </c>
      <c r="C591" s="108" t="s">
        <v>180</v>
      </c>
      <c r="D591" s="109">
        <v>2026</v>
      </c>
    </row>
    <row r="592" spans="2:4" ht="15" customHeight="1" x14ac:dyDescent="0.25">
      <c r="B592" s="108">
        <v>46171</v>
      </c>
      <c r="C592" s="108" t="s">
        <v>180</v>
      </c>
      <c r="D592" s="109">
        <v>2026</v>
      </c>
    </row>
    <row r="593" spans="2:4" ht="15" customHeight="1" x14ac:dyDescent="0.25">
      <c r="B593" s="108">
        <v>46172</v>
      </c>
      <c r="C593" s="108" t="s">
        <v>180</v>
      </c>
      <c r="D593" s="109">
        <v>2026</v>
      </c>
    </row>
    <row r="594" spans="2:4" ht="15" customHeight="1" x14ac:dyDescent="0.25">
      <c r="B594" s="108">
        <v>46173</v>
      </c>
      <c r="C594" s="108" t="s">
        <v>180</v>
      </c>
      <c r="D594" s="109">
        <v>2026</v>
      </c>
    </row>
  </sheetData>
  <autoFilter ref="A2:N378" xr:uid="{0B618F11-C5C4-424E-9FAC-191265EC0771}"/>
  <phoneticPr fontId="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3D18-1C4E-4988-A671-74DB334DC439}">
  <sheetPr>
    <pageSetUpPr fitToPage="1"/>
  </sheetPr>
  <dimension ref="A1:DG21"/>
  <sheetViews>
    <sheetView showGridLines="0" topLeftCell="A4" zoomScale="40" zoomScaleNormal="40" zoomScaleSheetLayoutView="40" workbookViewId="0">
      <selection activeCell="BI7" sqref="BI7"/>
    </sheetView>
  </sheetViews>
  <sheetFormatPr baseColWidth="10" defaultColWidth="13.140625" defaultRowHeight="30" customHeight="1" x14ac:dyDescent="0.3"/>
  <cols>
    <col min="1" max="1" width="28.42578125" style="141" customWidth="1"/>
    <col min="2" max="2" width="11.5703125" style="141" bestFit="1" customWidth="1"/>
    <col min="3" max="3" width="69.42578125" style="144" bestFit="1" customWidth="1"/>
    <col min="4" max="4" width="30.85546875" style="144" bestFit="1" customWidth="1"/>
    <col min="5" max="5" width="37.5703125" style="144" bestFit="1" customWidth="1"/>
    <col min="6" max="6" width="74.85546875" style="144" customWidth="1"/>
    <col min="7" max="7" width="30.85546875" style="141" bestFit="1" customWidth="1"/>
    <col min="8" max="8" width="35.85546875" style="141" bestFit="1" customWidth="1"/>
    <col min="9" max="9" width="57" style="144" hidden="1" customWidth="1"/>
    <col min="10" max="10" width="36.5703125" style="144" hidden="1" customWidth="1"/>
    <col min="11" max="11" width="41.42578125" style="141" hidden="1" customWidth="1"/>
    <col min="12" max="12" width="53" style="144" hidden="1" customWidth="1"/>
    <col min="13" max="13" width="38.42578125" style="144" hidden="1" customWidth="1"/>
    <col min="14" max="14" width="35.28515625" style="141" hidden="1" customWidth="1"/>
    <col min="15" max="15" width="56" style="144" hidden="1" customWidth="1"/>
    <col min="16" max="16" width="30.28515625" style="141" hidden="1" customWidth="1"/>
    <col min="17" max="17" width="36" style="141" hidden="1" customWidth="1"/>
    <col min="18" max="18" width="66.42578125" style="144" hidden="1" customWidth="1"/>
    <col min="19" max="19" width="30.42578125" style="141" hidden="1" customWidth="1"/>
    <col min="20" max="20" width="38" style="141" hidden="1" customWidth="1"/>
    <col min="21" max="21" width="57.140625" style="144" hidden="1" customWidth="1"/>
    <col min="22" max="22" width="29.5703125" style="141" hidden="1" customWidth="1"/>
    <col min="23" max="23" width="37.85546875" style="141" hidden="1" customWidth="1"/>
    <col min="24" max="24" width="58.140625" style="144" hidden="1" customWidth="1"/>
    <col min="25" max="26" width="37.42578125" style="141" hidden="1" customWidth="1"/>
    <col min="27" max="27" width="61.42578125" style="144" hidden="1" customWidth="1"/>
    <col min="28" max="29" width="37.42578125" style="141" hidden="1" customWidth="1"/>
    <col min="30" max="30" width="53.42578125" style="144" hidden="1" customWidth="1"/>
    <col min="31" max="32" width="37.42578125" style="141" hidden="1" customWidth="1"/>
    <col min="33" max="33" width="56.7109375" style="144" hidden="1" customWidth="1"/>
    <col min="34" max="35" width="37.42578125" style="141" hidden="1" customWidth="1"/>
    <col min="36" max="36" width="64.85546875" style="144" hidden="1" customWidth="1"/>
    <col min="37" max="38" width="37.42578125" style="141" hidden="1" customWidth="1"/>
    <col min="39" max="39" width="57.28515625" style="144" hidden="1" customWidth="1"/>
    <col min="40" max="41" width="37.42578125" style="141" hidden="1" customWidth="1"/>
    <col min="42" max="42" width="57.85546875" style="144" hidden="1" customWidth="1"/>
    <col min="43" max="44" width="37.42578125" style="141" hidden="1" customWidth="1"/>
    <col min="45" max="45" width="8.140625" style="149" customWidth="1"/>
    <col min="46" max="46" width="15.28515625" style="149" customWidth="1"/>
    <col min="47" max="47" width="1.7109375" style="149" customWidth="1"/>
    <col min="48" max="49" width="1.140625" style="149" customWidth="1"/>
    <col min="50" max="50" width="1" style="149" customWidth="1"/>
    <col min="51" max="51" width="13.140625" style="149" customWidth="1"/>
    <col min="52" max="55" width="1.140625" style="149" customWidth="1"/>
    <col min="56" max="56" width="13.140625" style="149" customWidth="1"/>
    <col min="57" max="57" width="1" style="149" customWidth="1"/>
    <col min="58" max="58" width="0.28515625" style="149" customWidth="1"/>
    <col min="59" max="59" width="1.140625" style="149" customWidth="1"/>
    <col min="60" max="60" width="0.7109375" style="149" customWidth="1"/>
    <col min="61" max="61" width="13.140625" style="149" customWidth="1"/>
    <col min="62" max="64" width="1.140625" style="149" customWidth="1"/>
    <col min="65" max="65" width="1.28515625" style="149" customWidth="1"/>
    <col min="66" max="66" width="10.28515625" style="149" customWidth="1"/>
    <col min="67" max="67" width="1.85546875" style="149" customWidth="1"/>
    <col min="68" max="68" width="0.5703125" style="149" customWidth="1"/>
    <col min="69" max="70" width="1.5703125" style="149" customWidth="1"/>
    <col min="71" max="71" width="22.140625" style="149" customWidth="1"/>
    <col min="72" max="72" width="1.42578125" style="149" customWidth="1"/>
    <col min="73" max="73" width="1.5703125" style="149" customWidth="1"/>
    <col min="74" max="74" width="1.7109375" style="149" customWidth="1"/>
    <col min="75" max="75" width="1.85546875" style="149" customWidth="1"/>
    <col min="76" max="76" width="13.140625" style="149" customWidth="1"/>
    <col min="77" max="78" width="1.42578125" style="149" customWidth="1"/>
    <col min="79" max="79" width="0.85546875" style="149" customWidth="1"/>
    <col min="80" max="80" width="1.5703125" style="149" customWidth="1"/>
    <col min="81" max="81" width="13.140625" style="149" customWidth="1"/>
    <col min="82" max="82" width="1.42578125" style="149" customWidth="1"/>
    <col min="83" max="84" width="1.7109375" style="149" customWidth="1"/>
    <col min="85" max="85" width="1.42578125" style="149" customWidth="1"/>
    <col min="86" max="86" width="13.140625" style="149" customWidth="1"/>
    <col min="87" max="87" width="1" style="149" customWidth="1"/>
    <col min="88" max="88" width="0.85546875" style="149" customWidth="1"/>
    <col min="89" max="89" width="1.140625" style="149" customWidth="1"/>
    <col min="90" max="90" width="1.42578125" style="149" customWidth="1"/>
    <col min="91" max="91" width="13.140625" style="149" customWidth="1"/>
    <col min="92" max="92" width="1.42578125" style="149" customWidth="1"/>
    <col min="93" max="93" width="0.140625" style="149" customWidth="1"/>
    <col min="94" max="94" width="0.5703125" style="149" customWidth="1"/>
    <col min="95" max="95" width="1.28515625" style="149" customWidth="1"/>
    <col min="96" max="96" width="13.140625" style="149" customWidth="1"/>
    <col min="97" max="97" width="1.140625" style="149" customWidth="1"/>
    <col min="98" max="98" width="1.28515625" style="149" customWidth="1"/>
    <col min="99" max="99" width="0.85546875" style="149" customWidth="1"/>
    <col min="100" max="100" width="1.140625" style="149" customWidth="1"/>
    <col min="101" max="101" width="13.140625" style="149" customWidth="1"/>
    <col min="102" max="102" width="1.140625" style="149" customWidth="1"/>
    <col min="103" max="103" width="1" style="149" customWidth="1"/>
    <col min="104" max="104" width="1.28515625" style="149" customWidth="1"/>
    <col min="105" max="105" width="1" style="149" customWidth="1"/>
    <col min="106" max="106" width="13.140625" style="149" customWidth="1"/>
    <col min="107" max="108" width="1.140625" style="149" customWidth="1"/>
    <col min="109" max="109" width="0.5703125" style="149" customWidth="1"/>
    <col min="110" max="110" width="1.5703125" style="149" customWidth="1"/>
    <col min="111" max="190" width="13.140625" style="149" customWidth="1"/>
    <col min="191" max="192" width="2.85546875" style="149" customWidth="1"/>
    <col min="193" max="256" width="13.140625" style="149"/>
    <col min="257" max="257" width="28.42578125" style="149" customWidth="1"/>
    <col min="258" max="258" width="11.5703125" style="149" bestFit="1" customWidth="1"/>
    <col min="259" max="259" width="69.42578125" style="149" bestFit="1" customWidth="1"/>
    <col min="260" max="260" width="30.85546875" style="149" bestFit="1" customWidth="1"/>
    <col min="261" max="261" width="37.5703125" style="149" bestFit="1" customWidth="1"/>
    <col min="262" max="262" width="74.85546875" style="149" customWidth="1"/>
    <col min="263" max="263" width="30.85546875" style="149" bestFit="1" customWidth="1"/>
    <col min="264" max="264" width="35.85546875" style="149" bestFit="1" customWidth="1"/>
    <col min="265" max="300" width="13.140625" style="149" customWidth="1"/>
    <col min="301" max="301" width="8.140625" style="149" customWidth="1"/>
    <col min="302" max="302" width="15.28515625" style="149" customWidth="1"/>
    <col min="303" max="303" width="1.7109375" style="149" customWidth="1"/>
    <col min="304" max="305" width="1.140625" style="149" customWidth="1"/>
    <col min="306" max="306" width="1" style="149" customWidth="1"/>
    <col min="307" max="307" width="13.140625" style="149"/>
    <col min="308" max="311" width="1.140625" style="149" customWidth="1"/>
    <col min="312" max="312" width="13.140625" style="149"/>
    <col min="313" max="313" width="1" style="149" customWidth="1"/>
    <col min="314" max="314" width="0.28515625" style="149" customWidth="1"/>
    <col min="315" max="315" width="1.140625" style="149" customWidth="1"/>
    <col min="316" max="316" width="0.7109375" style="149" customWidth="1"/>
    <col min="317" max="317" width="13.140625" style="149"/>
    <col min="318" max="320" width="1.140625" style="149" customWidth="1"/>
    <col min="321" max="321" width="1.28515625" style="149" customWidth="1"/>
    <col min="322" max="322" width="10.28515625" style="149" customWidth="1"/>
    <col min="323" max="323" width="1.85546875" style="149" customWidth="1"/>
    <col min="324" max="324" width="0.5703125" style="149" customWidth="1"/>
    <col min="325" max="326" width="1.5703125" style="149" customWidth="1"/>
    <col min="327" max="327" width="22.140625" style="149" customWidth="1"/>
    <col min="328" max="328" width="1.42578125" style="149" customWidth="1"/>
    <col min="329" max="329" width="1.5703125" style="149" customWidth="1"/>
    <col min="330" max="330" width="1.7109375" style="149" customWidth="1"/>
    <col min="331" max="331" width="1.85546875" style="149" customWidth="1"/>
    <col min="332" max="332" width="13.140625" style="149"/>
    <col min="333" max="334" width="1.42578125" style="149" customWidth="1"/>
    <col min="335" max="335" width="0.85546875" style="149" customWidth="1"/>
    <col min="336" max="336" width="1.5703125" style="149" customWidth="1"/>
    <col min="337" max="337" width="13.140625" style="149"/>
    <col min="338" max="338" width="1.42578125" style="149" customWidth="1"/>
    <col min="339" max="340" width="1.7109375" style="149" customWidth="1"/>
    <col min="341" max="341" width="1.42578125" style="149" customWidth="1"/>
    <col min="342" max="342" width="13.140625" style="149"/>
    <col min="343" max="343" width="1" style="149" customWidth="1"/>
    <col min="344" max="344" width="0.85546875" style="149" customWidth="1"/>
    <col min="345" max="345" width="1.140625" style="149" customWidth="1"/>
    <col min="346" max="346" width="1.42578125" style="149" customWidth="1"/>
    <col min="347" max="347" width="13.140625" style="149"/>
    <col min="348" max="348" width="1.42578125" style="149" customWidth="1"/>
    <col min="349" max="349" width="0.140625" style="149" customWidth="1"/>
    <col min="350" max="350" width="0.5703125" style="149" customWidth="1"/>
    <col min="351" max="351" width="1.28515625" style="149" customWidth="1"/>
    <col min="352" max="352" width="13.140625" style="149"/>
    <col min="353" max="353" width="1.140625" style="149" customWidth="1"/>
    <col min="354" max="354" width="1.28515625" style="149" customWidth="1"/>
    <col min="355" max="355" width="0.85546875" style="149" customWidth="1"/>
    <col min="356" max="356" width="1.140625" style="149" customWidth="1"/>
    <col min="357" max="357" width="13.140625" style="149"/>
    <col min="358" max="358" width="1.140625" style="149" customWidth="1"/>
    <col min="359" max="359" width="1" style="149" customWidth="1"/>
    <col min="360" max="360" width="1.28515625" style="149" customWidth="1"/>
    <col min="361" max="361" width="1" style="149" customWidth="1"/>
    <col min="362" max="362" width="13.140625" style="149"/>
    <col min="363" max="364" width="1.140625" style="149" customWidth="1"/>
    <col min="365" max="365" width="0.5703125" style="149" customWidth="1"/>
    <col min="366" max="366" width="1.5703125" style="149" customWidth="1"/>
    <col min="367" max="446" width="13.140625" style="149"/>
    <col min="447" max="448" width="2.85546875" style="149" customWidth="1"/>
    <col min="449" max="512" width="13.140625" style="149"/>
    <col min="513" max="513" width="28.42578125" style="149" customWidth="1"/>
    <col min="514" max="514" width="11.5703125" style="149" bestFit="1" customWidth="1"/>
    <col min="515" max="515" width="69.42578125" style="149" bestFit="1" customWidth="1"/>
    <col min="516" max="516" width="30.85546875" style="149" bestFit="1" customWidth="1"/>
    <col min="517" max="517" width="37.5703125" style="149" bestFit="1" customWidth="1"/>
    <col min="518" max="518" width="74.85546875" style="149" customWidth="1"/>
    <col min="519" max="519" width="30.85546875" style="149" bestFit="1" customWidth="1"/>
    <col min="520" max="520" width="35.85546875" style="149" bestFit="1" customWidth="1"/>
    <col min="521" max="556" width="13.140625" style="149" customWidth="1"/>
    <col min="557" max="557" width="8.140625" style="149" customWidth="1"/>
    <col min="558" max="558" width="15.28515625" style="149" customWidth="1"/>
    <col min="559" max="559" width="1.7109375" style="149" customWidth="1"/>
    <col min="560" max="561" width="1.140625" style="149" customWidth="1"/>
    <col min="562" max="562" width="1" style="149" customWidth="1"/>
    <col min="563" max="563" width="13.140625" style="149"/>
    <col min="564" max="567" width="1.140625" style="149" customWidth="1"/>
    <col min="568" max="568" width="13.140625" style="149"/>
    <col min="569" max="569" width="1" style="149" customWidth="1"/>
    <col min="570" max="570" width="0.28515625" style="149" customWidth="1"/>
    <col min="571" max="571" width="1.140625" style="149" customWidth="1"/>
    <col min="572" max="572" width="0.7109375" style="149" customWidth="1"/>
    <col min="573" max="573" width="13.140625" style="149"/>
    <col min="574" max="576" width="1.140625" style="149" customWidth="1"/>
    <col min="577" max="577" width="1.28515625" style="149" customWidth="1"/>
    <col min="578" max="578" width="10.28515625" style="149" customWidth="1"/>
    <col min="579" max="579" width="1.85546875" style="149" customWidth="1"/>
    <col min="580" max="580" width="0.5703125" style="149" customWidth="1"/>
    <col min="581" max="582" width="1.5703125" style="149" customWidth="1"/>
    <col min="583" max="583" width="22.140625" style="149" customWidth="1"/>
    <col min="584" max="584" width="1.42578125" style="149" customWidth="1"/>
    <col min="585" max="585" width="1.5703125" style="149" customWidth="1"/>
    <col min="586" max="586" width="1.7109375" style="149" customWidth="1"/>
    <col min="587" max="587" width="1.85546875" style="149" customWidth="1"/>
    <col min="588" max="588" width="13.140625" style="149"/>
    <col min="589" max="590" width="1.42578125" style="149" customWidth="1"/>
    <col min="591" max="591" width="0.85546875" style="149" customWidth="1"/>
    <col min="592" max="592" width="1.5703125" style="149" customWidth="1"/>
    <col min="593" max="593" width="13.140625" style="149"/>
    <col min="594" max="594" width="1.42578125" style="149" customWidth="1"/>
    <col min="595" max="596" width="1.7109375" style="149" customWidth="1"/>
    <col min="597" max="597" width="1.42578125" style="149" customWidth="1"/>
    <col min="598" max="598" width="13.140625" style="149"/>
    <col min="599" max="599" width="1" style="149" customWidth="1"/>
    <col min="600" max="600" width="0.85546875" style="149" customWidth="1"/>
    <col min="601" max="601" width="1.140625" style="149" customWidth="1"/>
    <col min="602" max="602" width="1.42578125" style="149" customWidth="1"/>
    <col min="603" max="603" width="13.140625" style="149"/>
    <col min="604" max="604" width="1.42578125" style="149" customWidth="1"/>
    <col min="605" max="605" width="0.140625" style="149" customWidth="1"/>
    <col min="606" max="606" width="0.5703125" style="149" customWidth="1"/>
    <col min="607" max="607" width="1.28515625" style="149" customWidth="1"/>
    <col min="608" max="608" width="13.140625" style="149"/>
    <col min="609" max="609" width="1.140625" style="149" customWidth="1"/>
    <col min="610" max="610" width="1.28515625" style="149" customWidth="1"/>
    <col min="611" max="611" width="0.85546875" style="149" customWidth="1"/>
    <col min="612" max="612" width="1.140625" style="149" customWidth="1"/>
    <col min="613" max="613" width="13.140625" style="149"/>
    <col min="614" max="614" width="1.140625" style="149" customWidth="1"/>
    <col min="615" max="615" width="1" style="149" customWidth="1"/>
    <col min="616" max="616" width="1.28515625" style="149" customWidth="1"/>
    <col min="617" max="617" width="1" style="149" customWidth="1"/>
    <col min="618" max="618" width="13.140625" style="149"/>
    <col min="619" max="620" width="1.140625" style="149" customWidth="1"/>
    <col min="621" max="621" width="0.5703125" style="149" customWidth="1"/>
    <col min="622" max="622" width="1.5703125" style="149" customWidth="1"/>
    <col min="623" max="702" width="13.140625" style="149"/>
    <col min="703" max="704" width="2.85546875" style="149" customWidth="1"/>
    <col min="705" max="768" width="13.140625" style="149"/>
    <col min="769" max="769" width="28.42578125" style="149" customWidth="1"/>
    <col min="770" max="770" width="11.5703125" style="149" bestFit="1" customWidth="1"/>
    <col min="771" max="771" width="69.42578125" style="149" bestFit="1" customWidth="1"/>
    <col min="772" max="772" width="30.85546875" style="149" bestFit="1" customWidth="1"/>
    <col min="773" max="773" width="37.5703125" style="149" bestFit="1" customWidth="1"/>
    <col min="774" max="774" width="74.85546875" style="149" customWidth="1"/>
    <col min="775" max="775" width="30.85546875" style="149" bestFit="1" customWidth="1"/>
    <col min="776" max="776" width="35.85546875" style="149" bestFit="1" customWidth="1"/>
    <col min="777" max="812" width="13.140625" style="149" customWidth="1"/>
    <col min="813" max="813" width="8.140625" style="149" customWidth="1"/>
    <col min="814" max="814" width="15.28515625" style="149" customWidth="1"/>
    <col min="815" max="815" width="1.7109375" style="149" customWidth="1"/>
    <col min="816" max="817" width="1.140625" style="149" customWidth="1"/>
    <col min="818" max="818" width="1" style="149" customWidth="1"/>
    <col min="819" max="819" width="13.140625" style="149"/>
    <col min="820" max="823" width="1.140625" style="149" customWidth="1"/>
    <col min="824" max="824" width="13.140625" style="149"/>
    <col min="825" max="825" width="1" style="149" customWidth="1"/>
    <col min="826" max="826" width="0.28515625" style="149" customWidth="1"/>
    <col min="827" max="827" width="1.140625" style="149" customWidth="1"/>
    <col min="828" max="828" width="0.7109375" style="149" customWidth="1"/>
    <col min="829" max="829" width="13.140625" style="149"/>
    <col min="830" max="832" width="1.140625" style="149" customWidth="1"/>
    <col min="833" max="833" width="1.28515625" style="149" customWidth="1"/>
    <col min="834" max="834" width="10.28515625" style="149" customWidth="1"/>
    <col min="835" max="835" width="1.85546875" style="149" customWidth="1"/>
    <col min="836" max="836" width="0.5703125" style="149" customWidth="1"/>
    <col min="837" max="838" width="1.5703125" style="149" customWidth="1"/>
    <col min="839" max="839" width="22.140625" style="149" customWidth="1"/>
    <col min="840" max="840" width="1.42578125" style="149" customWidth="1"/>
    <col min="841" max="841" width="1.5703125" style="149" customWidth="1"/>
    <col min="842" max="842" width="1.7109375" style="149" customWidth="1"/>
    <col min="843" max="843" width="1.85546875" style="149" customWidth="1"/>
    <col min="844" max="844" width="13.140625" style="149"/>
    <col min="845" max="846" width="1.42578125" style="149" customWidth="1"/>
    <col min="847" max="847" width="0.85546875" style="149" customWidth="1"/>
    <col min="848" max="848" width="1.5703125" style="149" customWidth="1"/>
    <col min="849" max="849" width="13.140625" style="149"/>
    <col min="850" max="850" width="1.42578125" style="149" customWidth="1"/>
    <col min="851" max="852" width="1.7109375" style="149" customWidth="1"/>
    <col min="853" max="853" width="1.42578125" style="149" customWidth="1"/>
    <col min="854" max="854" width="13.140625" style="149"/>
    <col min="855" max="855" width="1" style="149" customWidth="1"/>
    <col min="856" max="856" width="0.85546875" style="149" customWidth="1"/>
    <col min="857" max="857" width="1.140625" style="149" customWidth="1"/>
    <col min="858" max="858" width="1.42578125" style="149" customWidth="1"/>
    <col min="859" max="859" width="13.140625" style="149"/>
    <col min="860" max="860" width="1.42578125" style="149" customWidth="1"/>
    <col min="861" max="861" width="0.140625" style="149" customWidth="1"/>
    <col min="862" max="862" width="0.5703125" style="149" customWidth="1"/>
    <col min="863" max="863" width="1.28515625" style="149" customWidth="1"/>
    <col min="864" max="864" width="13.140625" style="149"/>
    <col min="865" max="865" width="1.140625" style="149" customWidth="1"/>
    <col min="866" max="866" width="1.28515625" style="149" customWidth="1"/>
    <col min="867" max="867" width="0.85546875" style="149" customWidth="1"/>
    <col min="868" max="868" width="1.140625" style="149" customWidth="1"/>
    <col min="869" max="869" width="13.140625" style="149"/>
    <col min="870" max="870" width="1.140625" style="149" customWidth="1"/>
    <col min="871" max="871" width="1" style="149" customWidth="1"/>
    <col min="872" max="872" width="1.28515625" style="149" customWidth="1"/>
    <col min="873" max="873" width="1" style="149" customWidth="1"/>
    <col min="874" max="874" width="13.140625" style="149"/>
    <col min="875" max="876" width="1.140625" style="149" customWidth="1"/>
    <col min="877" max="877" width="0.5703125" style="149" customWidth="1"/>
    <col min="878" max="878" width="1.5703125" style="149" customWidth="1"/>
    <col min="879" max="958" width="13.140625" style="149"/>
    <col min="959" max="960" width="2.85546875" style="149" customWidth="1"/>
    <col min="961" max="1024" width="13.140625" style="149"/>
    <col min="1025" max="1025" width="28.42578125" style="149" customWidth="1"/>
    <col min="1026" max="1026" width="11.5703125" style="149" bestFit="1" customWidth="1"/>
    <col min="1027" max="1027" width="69.42578125" style="149" bestFit="1" customWidth="1"/>
    <col min="1028" max="1028" width="30.85546875" style="149" bestFit="1" customWidth="1"/>
    <col min="1029" max="1029" width="37.5703125" style="149" bestFit="1" customWidth="1"/>
    <col min="1030" max="1030" width="74.85546875" style="149" customWidth="1"/>
    <col min="1031" max="1031" width="30.85546875" style="149" bestFit="1" customWidth="1"/>
    <col min="1032" max="1032" width="35.85546875" style="149" bestFit="1" customWidth="1"/>
    <col min="1033" max="1068" width="13.140625" style="149" customWidth="1"/>
    <col min="1069" max="1069" width="8.140625" style="149" customWidth="1"/>
    <col min="1070" max="1070" width="15.28515625" style="149" customWidth="1"/>
    <col min="1071" max="1071" width="1.7109375" style="149" customWidth="1"/>
    <col min="1072" max="1073" width="1.140625" style="149" customWidth="1"/>
    <col min="1074" max="1074" width="1" style="149" customWidth="1"/>
    <col min="1075" max="1075" width="13.140625" style="149"/>
    <col min="1076" max="1079" width="1.140625" style="149" customWidth="1"/>
    <col min="1080" max="1080" width="13.140625" style="149"/>
    <col min="1081" max="1081" width="1" style="149" customWidth="1"/>
    <col min="1082" max="1082" width="0.28515625" style="149" customWidth="1"/>
    <col min="1083" max="1083" width="1.140625" style="149" customWidth="1"/>
    <col min="1084" max="1084" width="0.7109375" style="149" customWidth="1"/>
    <col min="1085" max="1085" width="13.140625" style="149"/>
    <col min="1086" max="1088" width="1.140625" style="149" customWidth="1"/>
    <col min="1089" max="1089" width="1.28515625" style="149" customWidth="1"/>
    <col min="1090" max="1090" width="10.28515625" style="149" customWidth="1"/>
    <col min="1091" max="1091" width="1.85546875" style="149" customWidth="1"/>
    <col min="1092" max="1092" width="0.5703125" style="149" customWidth="1"/>
    <col min="1093" max="1094" width="1.5703125" style="149" customWidth="1"/>
    <col min="1095" max="1095" width="22.140625" style="149" customWidth="1"/>
    <col min="1096" max="1096" width="1.42578125" style="149" customWidth="1"/>
    <col min="1097" max="1097" width="1.5703125" style="149" customWidth="1"/>
    <col min="1098" max="1098" width="1.7109375" style="149" customWidth="1"/>
    <col min="1099" max="1099" width="1.85546875" style="149" customWidth="1"/>
    <col min="1100" max="1100" width="13.140625" style="149"/>
    <col min="1101" max="1102" width="1.42578125" style="149" customWidth="1"/>
    <col min="1103" max="1103" width="0.85546875" style="149" customWidth="1"/>
    <col min="1104" max="1104" width="1.5703125" style="149" customWidth="1"/>
    <col min="1105" max="1105" width="13.140625" style="149"/>
    <col min="1106" max="1106" width="1.42578125" style="149" customWidth="1"/>
    <col min="1107" max="1108" width="1.7109375" style="149" customWidth="1"/>
    <col min="1109" max="1109" width="1.42578125" style="149" customWidth="1"/>
    <col min="1110" max="1110" width="13.140625" style="149"/>
    <col min="1111" max="1111" width="1" style="149" customWidth="1"/>
    <col min="1112" max="1112" width="0.85546875" style="149" customWidth="1"/>
    <col min="1113" max="1113" width="1.140625" style="149" customWidth="1"/>
    <col min="1114" max="1114" width="1.42578125" style="149" customWidth="1"/>
    <col min="1115" max="1115" width="13.140625" style="149"/>
    <col min="1116" max="1116" width="1.42578125" style="149" customWidth="1"/>
    <col min="1117" max="1117" width="0.140625" style="149" customWidth="1"/>
    <col min="1118" max="1118" width="0.5703125" style="149" customWidth="1"/>
    <col min="1119" max="1119" width="1.28515625" style="149" customWidth="1"/>
    <col min="1120" max="1120" width="13.140625" style="149"/>
    <col min="1121" max="1121" width="1.140625" style="149" customWidth="1"/>
    <col min="1122" max="1122" width="1.28515625" style="149" customWidth="1"/>
    <col min="1123" max="1123" width="0.85546875" style="149" customWidth="1"/>
    <col min="1124" max="1124" width="1.140625" style="149" customWidth="1"/>
    <col min="1125" max="1125" width="13.140625" style="149"/>
    <col min="1126" max="1126" width="1.140625" style="149" customWidth="1"/>
    <col min="1127" max="1127" width="1" style="149" customWidth="1"/>
    <col min="1128" max="1128" width="1.28515625" style="149" customWidth="1"/>
    <col min="1129" max="1129" width="1" style="149" customWidth="1"/>
    <col min="1130" max="1130" width="13.140625" style="149"/>
    <col min="1131" max="1132" width="1.140625" style="149" customWidth="1"/>
    <col min="1133" max="1133" width="0.5703125" style="149" customWidth="1"/>
    <col min="1134" max="1134" width="1.5703125" style="149" customWidth="1"/>
    <col min="1135" max="1214" width="13.140625" style="149"/>
    <col min="1215" max="1216" width="2.85546875" style="149" customWidth="1"/>
    <col min="1217" max="1280" width="13.140625" style="149"/>
    <col min="1281" max="1281" width="28.42578125" style="149" customWidth="1"/>
    <col min="1282" max="1282" width="11.5703125" style="149" bestFit="1" customWidth="1"/>
    <col min="1283" max="1283" width="69.42578125" style="149" bestFit="1" customWidth="1"/>
    <col min="1284" max="1284" width="30.85546875" style="149" bestFit="1" customWidth="1"/>
    <col min="1285" max="1285" width="37.5703125" style="149" bestFit="1" customWidth="1"/>
    <col min="1286" max="1286" width="74.85546875" style="149" customWidth="1"/>
    <col min="1287" max="1287" width="30.85546875" style="149" bestFit="1" customWidth="1"/>
    <col min="1288" max="1288" width="35.85546875" style="149" bestFit="1" customWidth="1"/>
    <col min="1289" max="1324" width="13.140625" style="149" customWidth="1"/>
    <col min="1325" max="1325" width="8.140625" style="149" customWidth="1"/>
    <col min="1326" max="1326" width="15.28515625" style="149" customWidth="1"/>
    <col min="1327" max="1327" width="1.7109375" style="149" customWidth="1"/>
    <col min="1328" max="1329" width="1.140625" style="149" customWidth="1"/>
    <col min="1330" max="1330" width="1" style="149" customWidth="1"/>
    <col min="1331" max="1331" width="13.140625" style="149"/>
    <col min="1332" max="1335" width="1.140625" style="149" customWidth="1"/>
    <col min="1336" max="1336" width="13.140625" style="149"/>
    <col min="1337" max="1337" width="1" style="149" customWidth="1"/>
    <col min="1338" max="1338" width="0.28515625" style="149" customWidth="1"/>
    <col min="1339" max="1339" width="1.140625" style="149" customWidth="1"/>
    <col min="1340" max="1340" width="0.7109375" style="149" customWidth="1"/>
    <col min="1341" max="1341" width="13.140625" style="149"/>
    <col min="1342" max="1344" width="1.140625" style="149" customWidth="1"/>
    <col min="1345" max="1345" width="1.28515625" style="149" customWidth="1"/>
    <col min="1346" max="1346" width="10.28515625" style="149" customWidth="1"/>
    <col min="1347" max="1347" width="1.85546875" style="149" customWidth="1"/>
    <col min="1348" max="1348" width="0.5703125" style="149" customWidth="1"/>
    <col min="1349" max="1350" width="1.5703125" style="149" customWidth="1"/>
    <col min="1351" max="1351" width="22.140625" style="149" customWidth="1"/>
    <col min="1352" max="1352" width="1.42578125" style="149" customWidth="1"/>
    <col min="1353" max="1353" width="1.5703125" style="149" customWidth="1"/>
    <col min="1354" max="1354" width="1.7109375" style="149" customWidth="1"/>
    <col min="1355" max="1355" width="1.85546875" style="149" customWidth="1"/>
    <col min="1356" max="1356" width="13.140625" style="149"/>
    <col min="1357" max="1358" width="1.42578125" style="149" customWidth="1"/>
    <col min="1359" max="1359" width="0.85546875" style="149" customWidth="1"/>
    <col min="1360" max="1360" width="1.5703125" style="149" customWidth="1"/>
    <col min="1361" max="1361" width="13.140625" style="149"/>
    <col min="1362" max="1362" width="1.42578125" style="149" customWidth="1"/>
    <col min="1363" max="1364" width="1.7109375" style="149" customWidth="1"/>
    <col min="1365" max="1365" width="1.42578125" style="149" customWidth="1"/>
    <col min="1366" max="1366" width="13.140625" style="149"/>
    <col min="1367" max="1367" width="1" style="149" customWidth="1"/>
    <col min="1368" max="1368" width="0.85546875" style="149" customWidth="1"/>
    <col min="1369" max="1369" width="1.140625" style="149" customWidth="1"/>
    <col min="1370" max="1370" width="1.42578125" style="149" customWidth="1"/>
    <col min="1371" max="1371" width="13.140625" style="149"/>
    <col min="1372" max="1372" width="1.42578125" style="149" customWidth="1"/>
    <col min="1373" max="1373" width="0.140625" style="149" customWidth="1"/>
    <col min="1374" max="1374" width="0.5703125" style="149" customWidth="1"/>
    <col min="1375" max="1375" width="1.28515625" style="149" customWidth="1"/>
    <col min="1376" max="1376" width="13.140625" style="149"/>
    <col min="1377" max="1377" width="1.140625" style="149" customWidth="1"/>
    <col min="1378" max="1378" width="1.28515625" style="149" customWidth="1"/>
    <col min="1379" max="1379" width="0.85546875" style="149" customWidth="1"/>
    <col min="1380" max="1380" width="1.140625" style="149" customWidth="1"/>
    <col min="1381" max="1381" width="13.140625" style="149"/>
    <col min="1382" max="1382" width="1.140625" style="149" customWidth="1"/>
    <col min="1383" max="1383" width="1" style="149" customWidth="1"/>
    <col min="1384" max="1384" width="1.28515625" style="149" customWidth="1"/>
    <col min="1385" max="1385" width="1" style="149" customWidth="1"/>
    <col min="1386" max="1386" width="13.140625" style="149"/>
    <col min="1387" max="1388" width="1.140625" style="149" customWidth="1"/>
    <col min="1389" max="1389" width="0.5703125" style="149" customWidth="1"/>
    <col min="1390" max="1390" width="1.5703125" style="149" customWidth="1"/>
    <col min="1391" max="1470" width="13.140625" style="149"/>
    <col min="1471" max="1472" width="2.85546875" style="149" customWidth="1"/>
    <col min="1473" max="1536" width="13.140625" style="149"/>
    <col min="1537" max="1537" width="28.42578125" style="149" customWidth="1"/>
    <col min="1538" max="1538" width="11.5703125" style="149" bestFit="1" customWidth="1"/>
    <col min="1539" max="1539" width="69.42578125" style="149" bestFit="1" customWidth="1"/>
    <col min="1540" max="1540" width="30.85546875" style="149" bestFit="1" customWidth="1"/>
    <col min="1541" max="1541" width="37.5703125" style="149" bestFit="1" customWidth="1"/>
    <col min="1542" max="1542" width="74.85546875" style="149" customWidth="1"/>
    <col min="1543" max="1543" width="30.85546875" style="149" bestFit="1" customWidth="1"/>
    <col min="1544" max="1544" width="35.85546875" style="149" bestFit="1" customWidth="1"/>
    <col min="1545" max="1580" width="13.140625" style="149" customWidth="1"/>
    <col min="1581" max="1581" width="8.140625" style="149" customWidth="1"/>
    <col min="1582" max="1582" width="15.28515625" style="149" customWidth="1"/>
    <col min="1583" max="1583" width="1.7109375" style="149" customWidth="1"/>
    <col min="1584" max="1585" width="1.140625" style="149" customWidth="1"/>
    <col min="1586" max="1586" width="1" style="149" customWidth="1"/>
    <col min="1587" max="1587" width="13.140625" style="149"/>
    <col min="1588" max="1591" width="1.140625" style="149" customWidth="1"/>
    <col min="1592" max="1592" width="13.140625" style="149"/>
    <col min="1593" max="1593" width="1" style="149" customWidth="1"/>
    <col min="1594" max="1594" width="0.28515625" style="149" customWidth="1"/>
    <col min="1595" max="1595" width="1.140625" style="149" customWidth="1"/>
    <col min="1596" max="1596" width="0.7109375" style="149" customWidth="1"/>
    <col min="1597" max="1597" width="13.140625" style="149"/>
    <col min="1598" max="1600" width="1.140625" style="149" customWidth="1"/>
    <col min="1601" max="1601" width="1.28515625" style="149" customWidth="1"/>
    <col min="1602" max="1602" width="10.28515625" style="149" customWidth="1"/>
    <col min="1603" max="1603" width="1.85546875" style="149" customWidth="1"/>
    <col min="1604" max="1604" width="0.5703125" style="149" customWidth="1"/>
    <col min="1605" max="1606" width="1.5703125" style="149" customWidth="1"/>
    <col min="1607" max="1607" width="22.140625" style="149" customWidth="1"/>
    <col min="1608" max="1608" width="1.42578125" style="149" customWidth="1"/>
    <col min="1609" max="1609" width="1.5703125" style="149" customWidth="1"/>
    <col min="1610" max="1610" width="1.7109375" style="149" customWidth="1"/>
    <col min="1611" max="1611" width="1.85546875" style="149" customWidth="1"/>
    <col min="1612" max="1612" width="13.140625" style="149"/>
    <col min="1613" max="1614" width="1.42578125" style="149" customWidth="1"/>
    <col min="1615" max="1615" width="0.85546875" style="149" customWidth="1"/>
    <col min="1616" max="1616" width="1.5703125" style="149" customWidth="1"/>
    <col min="1617" max="1617" width="13.140625" style="149"/>
    <col min="1618" max="1618" width="1.42578125" style="149" customWidth="1"/>
    <col min="1619" max="1620" width="1.7109375" style="149" customWidth="1"/>
    <col min="1621" max="1621" width="1.42578125" style="149" customWidth="1"/>
    <col min="1622" max="1622" width="13.140625" style="149"/>
    <col min="1623" max="1623" width="1" style="149" customWidth="1"/>
    <col min="1624" max="1624" width="0.85546875" style="149" customWidth="1"/>
    <col min="1625" max="1625" width="1.140625" style="149" customWidth="1"/>
    <col min="1626" max="1626" width="1.42578125" style="149" customWidth="1"/>
    <col min="1627" max="1627" width="13.140625" style="149"/>
    <col min="1628" max="1628" width="1.42578125" style="149" customWidth="1"/>
    <col min="1629" max="1629" width="0.140625" style="149" customWidth="1"/>
    <col min="1630" max="1630" width="0.5703125" style="149" customWidth="1"/>
    <col min="1631" max="1631" width="1.28515625" style="149" customWidth="1"/>
    <col min="1632" max="1632" width="13.140625" style="149"/>
    <col min="1633" max="1633" width="1.140625" style="149" customWidth="1"/>
    <col min="1634" max="1634" width="1.28515625" style="149" customWidth="1"/>
    <col min="1635" max="1635" width="0.85546875" style="149" customWidth="1"/>
    <col min="1636" max="1636" width="1.140625" style="149" customWidth="1"/>
    <col min="1637" max="1637" width="13.140625" style="149"/>
    <col min="1638" max="1638" width="1.140625" style="149" customWidth="1"/>
    <col min="1639" max="1639" width="1" style="149" customWidth="1"/>
    <col min="1640" max="1640" width="1.28515625" style="149" customWidth="1"/>
    <col min="1641" max="1641" width="1" style="149" customWidth="1"/>
    <col min="1642" max="1642" width="13.140625" style="149"/>
    <col min="1643" max="1644" width="1.140625" style="149" customWidth="1"/>
    <col min="1645" max="1645" width="0.5703125" style="149" customWidth="1"/>
    <col min="1646" max="1646" width="1.5703125" style="149" customWidth="1"/>
    <col min="1647" max="1726" width="13.140625" style="149"/>
    <col min="1727" max="1728" width="2.85546875" style="149" customWidth="1"/>
    <col min="1729" max="1792" width="13.140625" style="149"/>
    <col min="1793" max="1793" width="28.42578125" style="149" customWidth="1"/>
    <col min="1794" max="1794" width="11.5703125" style="149" bestFit="1" customWidth="1"/>
    <col min="1795" max="1795" width="69.42578125" style="149" bestFit="1" customWidth="1"/>
    <col min="1796" max="1796" width="30.85546875" style="149" bestFit="1" customWidth="1"/>
    <col min="1797" max="1797" width="37.5703125" style="149" bestFit="1" customWidth="1"/>
    <col min="1798" max="1798" width="74.85546875" style="149" customWidth="1"/>
    <col min="1799" max="1799" width="30.85546875" style="149" bestFit="1" customWidth="1"/>
    <col min="1800" max="1800" width="35.85546875" style="149" bestFit="1" customWidth="1"/>
    <col min="1801" max="1836" width="13.140625" style="149" customWidth="1"/>
    <col min="1837" max="1837" width="8.140625" style="149" customWidth="1"/>
    <col min="1838" max="1838" width="15.28515625" style="149" customWidth="1"/>
    <col min="1839" max="1839" width="1.7109375" style="149" customWidth="1"/>
    <col min="1840" max="1841" width="1.140625" style="149" customWidth="1"/>
    <col min="1842" max="1842" width="1" style="149" customWidth="1"/>
    <col min="1843" max="1843" width="13.140625" style="149"/>
    <col min="1844" max="1847" width="1.140625" style="149" customWidth="1"/>
    <col min="1848" max="1848" width="13.140625" style="149"/>
    <col min="1849" max="1849" width="1" style="149" customWidth="1"/>
    <col min="1850" max="1850" width="0.28515625" style="149" customWidth="1"/>
    <col min="1851" max="1851" width="1.140625" style="149" customWidth="1"/>
    <col min="1852" max="1852" width="0.7109375" style="149" customWidth="1"/>
    <col min="1853" max="1853" width="13.140625" style="149"/>
    <col min="1854" max="1856" width="1.140625" style="149" customWidth="1"/>
    <col min="1857" max="1857" width="1.28515625" style="149" customWidth="1"/>
    <col min="1858" max="1858" width="10.28515625" style="149" customWidth="1"/>
    <col min="1859" max="1859" width="1.85546875" style="149" customWidth="1"/>
    <col min="1860" max="1860" width="0.5703125" style="149" customWidth="1"/>
    <col min="1861" max="1862" width="1.5703125" style="149" customWidth="1"/>
    <col min="1863" max="1863" width="22.140625" style="149" customWidth="1"/>
    <col min="1864" max="1864" width="1.42578125" style="149" customWidth="1"/>
    <col min="1865" max="1865" width="1.5703125" style="149" customWidth="1"/>
    <col min="1866" max="1866" width="1.7109375" style="149" customWidth="1"/>
    <col min="1867" max="1867" width="1.85546875" style="149" customWidth="1"/>
    <col min="1868" max="1868" width="13.140625" style="149"/>
    <col min="1869" max="1870" width="1.42578125" style="149" customWidth="1"/>
    <col min="1871" max="1871" width="0.85546875" style="149" customWidth="1"/>
    <col min="1872" max="1872" width="1.5703125" style="149" customWidth="1"/>
    <col min="1873" max="1873" width="13.140625" style="149"/>
    <col min="1874" max="1874" width="1.42578125" style="149" customWidth="1"/>
    <col min="1875" max="1876" width="1.7109375" style="149" customWidth="1"/>
    <col min="1877" max="1877" width="1.42578125" style="149" customWidth="1"/>
    <col min="1878" max="1878" width="13.140625" style="149"/>
    <col min="1879" max="1879" width="1" style="149" customWidth="1"/>
    <col min="1880" max="1880" width="0.85546875" style="149" customWidth="1"/>
    <col min="1881" max="1881" width="1.140625" style="149" customWidth="1"/>
    <col min="1882" max="1882" width="1.42578125" style="149" customWidth="1"/>
    <col min="1883" max="1883" width="13.140625" style="149"/>
    <col min="1884" max="1884" width="1.42578125" style="149" customWidth="1"/>
    <col min="1885" max="1885" width="0.140625" style="149" customWidth="1"/>
    <col min="1886" max="1886" width="0.5703125" style="149" customWidth="1"/>
    <col min="1887" max="1887" width="1.28515625" style="149" customWidth="1"/>
    <col min="1888" max="1888" width="13.140625" style="149"/>
    <col min="1889" max="1889" width="1.140625" style="149" customWidth="1"/>
    <col min="1890" max="1890" width="1.28515625" style="149" customWidth="1"/>
    <col min="1891" max="1891" width="0.85546875" style="149" customWidth="1"/>
    <col min="1892" max="1892" width="1.140625" style="149" customWidth="1"/>
    <col min="1893" max="1893" width="13.140625" style="149"/>
    <col min="1894" max="1894" width="1.140625" style="149" customWidth="1"/>
    <col min="1895" max="1895" width="1" style="149" customWidth="1"/>
    <col min="1896" max="1896" width="1.28515625" style="149" customWidth="1"/>
    <col min="1897" max="1897" width="1" style="149" customWidth="1"/>
    <col min="1898" max="1898" width="13.140625" style="149"/>
    <col min="1899" max="1900" width="1.140625" style="149" customWidth="1"/>
    <col min="1901" max="1901" width="0.5703125" style="149" customWidth="1"/>
    <col min="1902" max="1902" width="1.5703125" style="149" customWidth="1"/>
    <col min="1903" max="1982" width="13.140625" style="149"/>
    <col min="1983" max="1984" width="2.85546875" style="149" customWidth="1"/>
    <col min="1985" max="2048" width="13.140625" style="149"/>
    <col min="2049" max="2049" width="28.42578125" style="149" customWidth="1"/>
    <col min="2050" max="2050" width="11.5703125" style="149" bestFit="1" customWidth="1"/>
    <col min="2051" max="2051" width="69.42578125" style="149" bestFit="1" customWidth="1"/>
    <col min="2052" max="2052" width="30.85546875" style="149" bestFit="1" customWidth="1"/>
    <col min="2053" max="2053" width="37.5703125" style="149" bestFit="1" customWidth="1"/>
    <col min="2054" max="2054" width="74.85546875" style="149" customWidth="1"/>
    <col min="2055" max="2055" width="30.85546875" style="149" bestFit="1" customWidth="1"/>
    <col min="2056" max="2056" width="35.85546875" style="149" bestFit="1" customWidth="1"/>
    <col min="2057" max="2092" width="13.140625" style="149" customWidth="1"/>
    <col min="2093" max="2093" width="8.140625" style="149" customWidth="1"/>
    <col min="2094" max="2094" width="15.28515625" style="149" customWidth="1"/>
    <col min="2095" max="2095" width="1.7109375" style="149" customWidth="1"/>
    <col min="2096" max="2097" width="1.140625" style="149" customWidth="1"/>
    <col min="2098" max="2098" width="1" style="149" customWidth="1"/>
    <col min="2099" max="2099" width="13.140625" style="149"/>
    <col min="2100" max="2103" width="1.140625" style="149" customWidth="1"/>
    <col min="2104" max="2104" width="13.140625" style="149"/>
    <col min="2105" max="2105" width="1" style="149" customWidth="1"/>
    <col min="2106" max="2106" width="0.28515625" style="149" customWidth="1"/>
    <col min="2107" max="2107" width="1.140625" style="149" customWidth="1"/>
    <col min="2108" max="2108" width="0.7109375" style="149" customWidth="1"/>
    <col min="2109" max="2109" width="13.140625" style="149"/>
    <col min="2110" max="2112" width="1.140625" style="149" customWidth="1"/>
    <col min="2113" max="2113" width="1.28515625" style="149" customWidth="1"/>
    <col min="2114" max="2114" width="10.28515625" style="149" customWidth="1"/>
    <col min="2115" max="2115" width="1.85546875" style="149" customWidth="1"/>
    <col min="2116" max="2116" width="0.5703125" style="149" customWidth="1"/>
    <col min="2117" max="2118" width="1.5703125" style="149" customWidth="1"/>
    <col min="2119" max="2119" width="22.140625" style="149" customWidth="1"/>
    <col min="2120" max="2120" width="1.42578125" style="149" customWidth="1"/>
    <col min="2121" max="2121" width="1.5703125" style="149" customWidth="1"/>
    <col min="2122" max="2122" width="1.7109375" style="149" customWidth="1"/>
    <col min="2123" max="2123" width="1.85546875" style="149" customWidth="1"/>
    <col min="2124" max="2124" width="13.140625" style="149"/>
    <col min="2125" max="2126" width="1.42578125" style="149" customWidth="1"/>
    <col min="2127" max="2127" width="0.85546875" style="149" customWidth="1"/>
    <col min="2128" max="2128" width="1.5703125" style="149" customWidth="1"/>
    <col min="2129" max="2129" width="13.140625" style="149"/>
    <col min="2130" max="2130" width="1.42578125" style="149" customWidth="1"/>
    <col min="2131" max="2132" width="1.7109375" style="149" customWidth="1"/>
    <col min="2133" max="2133" width="1.42578125" style="149" customWidth="1"/>
    <col min="2134" max="2134" width="13.140625" style="149"/>
    <col min="2135" max="2135" width="1" style="149" customWidth="1"/>
    <col min="2136" max="2136" width="0.85546875" style="149" customWidth="1"/>
    <col min="2137" max="2137" width="1.140625" style="149" customWidth="1"/>
    <col min="2138" max="2138" width="1.42578125" style="149" customWidth="1"/>
    <col min="2139" max="2139" width="13.140625" style="149"/>
    <col min="2140" max="2140" width="1.42578125" style="149" customWidth="1"/>
    <col min="2141" max="2141" width="0.140625" style="149" customWidth="1"/>
    <col min="2142" max="2142" width="0.5703125" style="149" customWidth="1"/>
    <col min="2143" max="2143" width="1.28515625" style="149" customWidth="1"/>
    <col min="2144" max="2144" width="13.140625" style="149"/>
    <col min="2145" max="2145" width="1.140625" style="149" customWidth="1"/>
    <col min="2146" max="2146" width="1.28515625" style="149" customWidth="1"/>
    <col min="2147" max="2147" width="0.85546875" style="149" customWidth="1"/>
    <col min="2148" max="2148" width="1.140625" style="149" customWidth="1"/>
    <col min="2149" max="2149" width="13.140625" style="149"/>
    <col min="2150" max="2150" width="1.140625" style="149" customWidth="1"/>
    <col min="2151" max="2151" width="1" style="149" customWidth="1"/>
    <col min="2152" max="2152" width="1.28515625" style="149" customWidth="1"/>
    <col min="2153" max="2153" width="1" style="149" customWidth="1"/>
    <col min="2154" max="2154" width="13.140625" style="149"/>
    <col min="2155" max="2156" width="1.140625" style="149" customWidth="1"/>
    <col min="2157" max="2157" width="0.5703125" style="149" customWidth="1"/>
    <col min="2158" max="2158" width="1.5703125" style="149" customWidth="1"/>
    <col min="2159" max="2238" width="13.140625" style="149"/>
    <col min="2239" max="2240" width="2.85546875" style="149" customWidth="1"/>
    <col min="2241" max="2304" width="13.140625" style="149"/>
    <col min="2305" max="2305" width="28.42578125" style="149" customWidth="1"/>
    <col min="2306" max="2306" width="11.5703125" style="149" bestFit="1" customWidth="1"/>
    <col min="2307" max="2307" width="69.42578125" style="149" bestFit="1" customWidth="1"/>
    <col min="2308" max="2308" width="30.85546875" style="149" bestFit="1" customWidth="1"/>
    <col min="2309" max="2309" width="37.5703125" style="149" bestFit="1" customWidth="1"/>
    <col min="2310" max="2310" width="74.85546875" style="149" customWidth="1"/>
    <col min="2311" max="2311" width="30.85546875" style="149" bestFit="1" customWidth="1"/>
    <col min="2312" max="2312" width="35.85546875" style="149" bestFit="1" customWidth="1"/>
    <col min="2313" max="2348" width="13.140625" style="149" customWidth="1"/>
    <col min="2349" max="2349" width="8.140625" style="149" customWidth="1"/>
    <col min="2350" max="2350" width="15.28515625" style="149" customWidth="1"/>
    <col min="2351" max="2351" width="1.7109375" style="149" customWidth="1"/>
    <col min="2352" max="2353" width="1.140625" style="149" customWidth="1"/>
    <col min="2354" max="2354" width="1" style="149" customWidth="1"/>
    <col min="2355" max="2355" width="13.140625" style="149"/>
    <col min="2356" max="2359" width="1.140625" style="149" customWidth="1"/>
    <col min="2360" max="2360" width="13.140625" style="149"/>
    <col min="2361" max="2361" width="1" style="149" customWidth="1"/>
    <col min="2362" max="2362" width="0.28515625" style="149" customWidth="1"/>
    <col min="2363" max="2363" width="1.140625" style="149" customWidth="1"/>
    <col min="2364" max="2364" width="0.7109375" style="149" customWidth="1"/>
    <col min="2365" max="2365" width="13.140625" style="149"/>
    <col min="2366" max="2368" width="1.140625" style="149" customWidth="1"/>
    <col min="2369" max="2369" width="1.28515625" style="149" customWidth="1"/>
    <col min="2370" max="2370" width="10.28515625" style="149" customWidth="1"/>
    <col min="2371" max="2371" width="1.85546875" style="149" customWidth="1"/>
    <col min="2372" max="2372" width="0.5703125" style="149" customWidth="1"/>
    <col min="2373" max="2374" width="1.5703125" style="149" customWidth="1"/>
    <col min="2375" max="2375" width="22.140625" style="149" customWidth="1"/>
    <col min="2376" max="2376" width="1.42578125" style="149" customWidth="1"/>
    <col min="2377" max="2377" width="1.5703125" style="149" customWidth="1"/>
    <col min="2378" max="2378" width="1.7109375" style="149" customWidth="1"/>
    <col min="2379" max="2379" width="1.85546875" style="149" customWidth="1"/>
    <col min="2380" max="2380" width="13.140625" style="149"/>
    <col min="2381" max="2382" width="1.42578125" style="149" customWidth="1"/>
    <col min="2383" max="2383" width="0.85546875" style="149" customWidth="1"/>
    <col min="2384" max="2384" width="1.5703125" style="149" customWidth="1"/>
    <col min="2385" max="2385" width="13.140625" style="149"/>
    <col min="2386" max="2386" width="1.42578125" style="149" customWidth="1"/>
    <col min="2387" max="2388" width="1.7109375" style="149" customWidth="1"/>
    <col min="2389" max="2389" width="1.42578125" style="149" customWidth="1"/>
    <col min="2390" max="2390" width="13.140625" style="149"/>
    <col min="2391" max="2391" width="1" style="149" customWidth="1"/>
    <col min="2392" max="2392" width="0.85546875" style="149" customWidth="1"/>
    <col min="2393" max="2393" width="1.140625" style="149" customWidth="1"/>
    <col min="2394" max="2394" width="1.42578125" style="149" customWidth="1"/>
    <col min="2395" max="2395" width="13.140625" style="149"/>
    <col min="2396" max="2396" width="1.42578125" style="149" customWidth="1"/>
    <col min="2397" max="2397" width="0.140625" style="149" customWidth="1"/>
    <col min="2398" max="2398" width="0.5703125" style="149" customWidth="1"/>
    <col min="2399" max="2399" width="1.28515625" style="149" customWidth="1"/>
    <col min="2400" max="2400" width="13.140625" style="149"/>
    <col min="2401" max="2401" width="1.140625" style="149" customWidth="1"/>
    <col min="2402" max="2402" width="1.28515625" style="149" customWidth="1"/>
    <col min="2403" max="2403" width="0.85546875" style="149" customWidth="1"/>
    <col min="2404" max="2404" width="1.140625" style="149" customWidth="1"/>
    <col min="2405" max="2405" width="13.140625" style="149"/>
    <col min="2406" max="2406" width="1.140625" style="149" customWidth="1"/>
    <col min="2407" max="2407" width="1" style="149" customWidth="1"/>
    <col min="2408" max="2408" width="1.28515625" style="149" customWidth="1"/>
    <col min="2409" max="2409" width="1" style="149" customWidth="1"/>
    <col min="2410" max="2410" width="13.140625" style="149"/>
    <col min="2411" max="2412" width="1.140625" style="149" customWidth="1"/>
    <col min="2413" max="2413" width="0.5703125" style="149" customWidth="1"/>
    <col min="2414" max="2414" width="1.5703125" style="149" customWidth="1"/>
    <col min="2415" max="2494" width="13.140625" style="149"/>
    <col min="2495" max="2496" width="2.85546875" style="149" customWidth="1"/>
    <col min="2497" max="2560" width="13.140625" style="149"/>
    <col min="2561" max="2561" width="28.42578125" style="149" customWidth="1"/>
    <col min="2562" max="2562" width="11.5703125" style="149" bestFit="1" customWidth="1"/>
    <col min="2563" max="2563" width="69.42578125" style="149" bestFit="1" customWidth="1"/>
    <col min="2564" max="2564" width="30.85546875" style="149" bestFit="1" customWidth="1"/>
    <col min="2565" max="2565" width="37.5703125" style="149" bestFit="1" customWidth="1"/>
    <col min="2566" max="2566" width="74.85546875" style="149" customWidth="1"/>
    <col min="2567" max="2567" width="30.85546875" style="149" bestFit="1" customWidth="1"/>
    <col min="2568" max="2568" width="35.85546875" style="149" bestFit="1" customWidth="1"/>
    <col min="2569" max="2604" width="13.140625" style="149" customWidth="1"/>
    <col min="2605" max="2605" width="8.140625" style="149" customWidth="1"/>
    <col min="2606" max="2606" width="15.28515625" style="149" customWidth="1"/>
    <col min="2607" max="2607" width="1.7109375" style="149" customWidth="1"/>
    <col min="2608" max="2609" width="1.140625" style="149" customWidth="1"/>
    <col min="2610" max="2610" width="1" style="149" customWidth="1"/>
    <col min="2611" max="2611" width="13.140625" style="149"/>
    <col min="2612" max="2615" width="1.140625" style="149" customWidth="1"/>
    <col min="2616" max="2616" width="13.140625" style="149"/>
    <col min="2617" max="2617" width="1" style="149" customWidth="1"/>
    <col min="2618" max="2618" width="0.28515625" style="149" customWidth="1"/>
    <col min="2619" max="2619" width="1.140625" style="149" customWidth="1"/>
    <col min="2620" max="2620" width="0.7109375" style="149" customWidth="1"/>
    <col min="2621" max="2621" width="13.140625" style="149"/>
    <col min="2622" max="2624" width="1.140625" style="149" customWidth="1"/>
    <col min="2625" max="2625" width="1.28515625" style="149" customWidth="1"/>
    <col min="2626" max="2626" width="10.28515625" style="149" customWidth="1"/>
    <col min="2627" max="2627" width="1.85546875" style="149" customWidth="1"/>
    <col min="2628" max="2628" width="0.5703125" style="149" customWidth="1"/>
    <col min="2629" max="2630" width="1.5703125" style="149" customWidth="1"/>
    <col min="2631" max="2631" width="22.140625" style="149" customWidth="1"/>
    <col min="2632" max="2632" width="1.42578125" style="149" customWidth="1"/>
    <col min="2633" max="2633" width="1.5703125" style="149" customWidth="1"/>
    <col min="2634" max="2634" width="1.7109375" style="149" customWidth="1"/>
    <col min="2635" max="2635" width="1.85546875" style="149" customWidth="1"/>
    <col min="2636" max="2636" width="13.140625" style="149"/>
    <col min="2637" max="2638" width="1.42578125" style="149" customWidth="1"/>
    <col min="2639" max="2639" width="0.85546875" style="149" customWidth="1"/>
    <col min="2640" max="2640" width="1.5703125" style="149" customWidth="1"/>
    <col min="2641" max="2641" width="13.140625" style="149"/>
    <col min="2642" max="2642" width="1.42578125" style="149" customWidth="1"/>
    <col min="2643" max="2644" width="1.7109375" style="149" customWidth="1"/>
    <col min="2645" max="2645" width="1.42578125" style="149" customWidth="1"/>
    <col min="2646" max="2646" width="13.140625" style="149"/>
    <col min="2647" max="2647" width="1" style="149" customWidth="1"/>
    <col min="2648" max="2648" width="0.85546875" style="149" customWidth="1"/>
    <col min="2649" max="2649" width="1.140625" style="149" customWidth="1"/>
    <col min="2650" max="2650" width="1.42578125" style="149" customWidth="1"/>
    <col min="2651" max="2651" width="13.140625" style="149"/>
    <col min="2652" max="2652" width="1.42578125" style="149" customWidth="1"/>
    <col min="2653" max="2653" width="0.140625" style="149" customWidth="1"/>
    <col min="2654" max="2654" width="0.5703125" style="149" customWidth="1"/>
    <col min="2655" max="2655" width="1.28515625" style="149" customWidth="1"/>
    <col min="2656" max="2656" width="13.140625" style="149"/>
    <col min="2657" max="2657" width="1.140625" style="149" customWidth="1"/>
    <col min="2658" max="2658" width="1.28515625" style="149" customWidth="1"/>
    <col min="2659" max="2659" width="0.85546875" style="149" customWidth="1"/>
    <col min="2660" max="2660" width="1.140625" style="149" customWidth="1"/>
    <col min="2661" max="2661" width="13.140625" style="149"/>
    <col min="2662" max="2662" width="1.140625" style="149" customWidth="1"/>
    <col min="2663" max="2663" width="1" style="149" customWidth="1"/>
    <col min="2664" max="2664" width="1.28515625" style="149" customWidth="1"/>
    <col min="2665" max="2665" width="1" style="149" customWidth="1"/>
    <col min="2666" max="2666" width="13.140625" style="149"/>
    <col min="2667" max="2668" width="1.140625" style="149" customWidth="1"/>
    <col min="2669" max="2669" width="0.5703125" style="149" customWidth="1"/>
    <col min="2670" max="2670" width="1.5703125" style="149" customWidth="1"/>
    <col min="2671" max="2750" width="13.140625" style="149"/>
    <col min="2751" max="2752" width="2.85546875" style="149" customWidth="1"/>
    <col min="2753" max="2816" width="13.140625" style="149"/>
    <col min="2817" max="2817" width="28.42578125" style="149" customWidth="1"/>
    <col min="2818" max="2818" width="11.5703125" style="149" bestFit="1" customWidth="1"/>
    <col min="2819" max="2819" width="69.42578125" style="149" bestFit="1" customWidth="1"/>
    <col min="2820" max="2820" width="30.85546875" style="149" bestFit="1" customWidth="1"/>
    <col min="2821" max="2821" width="37.5703125" style="149" bestFit="1" customWidth="1"/>
    <col min="2822" max="2822" width="74.85546875" style="149" customWidth="1"/>
    <col min="2823" max="2823" width="30.85546875" style="149" bestFit="1" customWidth="1"/>
    <col min="2824" max="2824" width="35.85546875" style="149" bestFit="1" customWidth="1"/>
    <col min="2825" max="2860" width="13.140625" style="149" customWidth="1"/>
    <col min="2861" max="2861" width="8.140625" style="149" customWidth="1"/>
    <col min="2862" max="2862" width="15.28515625" style="149" customWidth="1"/>
    <col min="2863" max="2863" width="1.7109375" style="149" customWidth="1"/>
    <col min="2864" max="2865" width="1.140625" style="149" customWidth="1"/>
    <col min="2866" max="2866" width="1" style="149" customWidth="1"/>
    <col min="2867" max="2867" width="13.140625" style="149"/>
    <col min="2868" max="2871" width="1.140625" style="149" customWidth="1"/>
    <col min="2872" max="2872" width="13.140625" style="149"/>
    <col min="2873" max="2873" width="1" style="149" customWidth="1"/>
    <col min="2874" max="2874" width="0.28515625" style="149" customWidth="1"/>
    <col min="2875" max="2875" width="1.140625" style="149" customWidth="1"/>
    <col min="2876" max="2876" width="0.7109375" style="149" customWidth="1"/>
    <col min="2877" max="2877" width="13.140625" style="149"/>
    <col min="2878" max="2880" width="1.140625" style="149" customWidth="1"/>
    <col min="2881" max="2881" width="1.28515625" style="149" customWidth="1"/>
    <col min="2882" max="2882" width="10.28515625" style="149" customWidth="1"/>
    <col min="2883" max="2883" width="1.85546875" style="149" customWidth="1"/>
    <col min="2884" max="2884" width="0.5703125" style="149" customWidth="1"/>
    <col min="2885" max="2886" width="1.5703125" style="149" customWidth="1"/>
    <col min="2887" max="2887" width="22.140625" style="149" customWidth="1"/>
    <col min="2888" max="2888" width="1.42578125" style="149" customWidth="1"/>
    <col min="2889" max="2889" width="1.5703125" style="149" customWidth="1"/>
    <col min="2890" max="2890" width="1.7109375" style="149" customWidth="1"/>
    <col min="2891" max="2891" width="1.85546875" style="149" customWidth="1"/>
    <col min="2892" max="2892" width="13.140625" style="149"/>
    <col min="2893" max="2894" width="1.42578125" style="149" customWidth="1"/>
    <col min="2895" max="2895" width="0.85546875" style="149" customWidth="1"/>
    <col min="2896" max="2896" width="1.5703125" style="149" customWidth="1"/>
    <col min="2897" max="2897" width="13.140625" style="149"/>
    <col min="2898" max="2898" width="1.42578125" style="149" customWidth="1"/>
    <col min="2899" max="2900" width="1.7109375" style="149" customWidth="1"/>
    <col min="2901" max="2901" width="1.42578125" style="149" customWidth="1"/>
    <col min="2902" max="2902" width="13.140625" style="149"/>
    <col min="2903" max="2903" width="1" style="149" customWidth="1"/>
    <col min="2904" max="2904" width="0.85546875" style="149" customWidth="1"/>
    <col min="2905" max="2905" width="1.140625" style="149" customWidth="1"/>
    <col min="2906" max="2906" width="1.42578125" style="149" customWidth="1"/>
    <col min="2907" max="2907" width="13.140625" style="149"/>
    <col min="2908" max="2908" width="1.42578125" style="149" customWidth="1"/>
    <col min="2909" max="2909" width="0.140625" style="149" customWidth="1"/>
    <col min="2910" max="2910" width="0.5703125" style="149" customWidth="1"/>
    <col min="2911" max="2911" width="1.28515625" style="149" customWidth="1"/>
    <col min="2912" max="2912" width="13.140625" style="149"/>
    <col min="2913" max="2913" width="1.140625" style="149" customWidth="1"/>
    <col min="2914" max="2914" width="1.28515625" style="149" customWidth="1"/>
    <col min="2915" max="2915" width="0.85546875" style="149" customWidth="1"/>
    <col min="2916" max="2916" width="1.140625" style="149" customWidth="1"/>
    <col min="2917" max="2917" width="13.140625" style="149"/>
    <col min="2918" max="2918" width="1.140625" style="149" customWidth="1"/>
    <col min="2919" max="2919" width="1" style="149" customWidth="1"/>
    <col min="2920" max="2920" width="1.28515625" style="149" customWidth="1"/>
    <col min="2921" max="2921" width="1" style="149" customWidth="1"/>
    <col min="2922" max="2922" width="13.140625" style="149"/>
    <col min="2923" max="2924" width="1.140625" style="149" customWidth="1"/>
    <col min="2925" max="2925" width="0.5703125" style="149" customWidth="1"/>
    <col min="2926" max="2926" width="1.5703125" style="149" customWidth="1"/>
    <col min="2927" max="3006" width="13.140625" style="149"/>
    <col min="3007" max="3008" width="2.85546875" style="149" customWidth="1"/>
    <col min="3009" max="3072" width="13.140625" style="149"/>
    <col min="3073" max="3073" width="28.42578125" style="149" customWidth="1"/>
    <col min="3074" max="3074" width="11.5703125" style="149" bestFit="1" customWidth="1"/>
    <col min="3075" max="3075" width="69.42578125" style="149" bestFit="1" customWidth="1"/>
    <col min="3076" max="3076" width="30.85546875" style="149" bestFit="1" customWidth="1"/>
    <col min="3077" max="3077" width="37.5703125" style="149" bestFit="1" customWidth="1"/>
    <col min="3078" max="3078" width="74.85546875" style="149" customWidth="1"/>
    <col min="3079" max="3079" width="30.85546875" style="149" bestFit="1" customWidth="1"/>
    <col min="3080" max="3080" width="35.85546875" style="149" bestFit="1" customWidth="1"/>
    <col min="3081" max="3116" width="13.140625" style="149" customWidth="1"/>
    <col min="3117" max="3117" width="8.140625" style="149" customWidth="1"/>
    <col min="3118" max="3118" width="15.28515625" style="149" customWidth="1"/>
    <col min="3119" max="3119" width="1.7109375" style="149" customWidth="1"/>
    <col min="3120" max="3121" width="1.140625" style="149" customWidth="1"/>
    <col min="3122" max="3122" width="1" style="149" customWidth="1"/>
    <col min="3123" max="3123" width="13.140625" style="149"/>
    <col min="3124" max="3127" width="1.140625" style="149" customWidth="1"/>
    <col min="3128" max="3128" width="13.140625" style="149"/>
    <col min="3129" max="3129" width="1" style="149" customWidth="1"/>
    <col min="3130" max="3130" width="0.28515625" style="149" customWidth="1"/>
    <col min="3131" max="3131" width="1.140625" style="149" customWidth="1"/>
    <col min="3132" max="3132" width="0.7109375" style="149" customWidth="1"/>
    <col min="3133" max="3133" width="13.140625" style="149"/>
    <col min="3134" max="3136" width="1.140625" style="149" customWidth="1"/>
    <col min="3137" max="3137" width="1.28515625" style="149" customWidth="1"/>
    <col min="3138" max="3138" width="10.28515625" style="149" customWidth="1"/>
    <col min="3139" max="3139" width="1.85546875" style="149" customWidth="1"/>
    <col min="3140" max="3140" width="0.5703125" style="149" customWidth="1"/>
    <col min="3141" max="3142" width="1.5703125" style="149" customWidth="1"/>
    <col min="3143" max="3143" width="22.140625" style="149" customWidth="1"/>
    <col min="3144" max="3144" width="1.42578125" style="149" customWidth="1"/>
    <col min="3145" max="3145" width="1.5703125" style="149" customWidth="1"/>
    <col min="3146" max="3146" width="1.7109375" style="149" customWidth="1"/>
    <col min="3147" max="3147" width="1.85546875" style="149" customWidth="1"/>
    <col min="3148" max="3148" width="13.140625" style="149"/>
    <col min="3149" max="3150" width="1.42578125" style="149" customWidth="1"/>
    <col min="3151" max="3151" width="0.85546875" style="149" customWidth="1"/>
    <col min="3152" max="3152" width="1.5703125" style="149" customWidth="1"/>
    <col min="3153" max="3153" width="13.140625" style="149"/>
    <col min="3154" max="3154" width="1.42578125" style="149" customWidth="1"/>
    <col min="3155" max="3156" width="1.7109375" style="149" customWidth="1"/>
    <col min="3157" max="3157" width="1.42578125" style="149" customWidth="1"/>
    <col min="3158" max="3158" width="13.140625" style="149"/>
    <col min="3159" max="3159" width="1" style="149" customWidth="1"/>
    <col min="3160" max="3160" width="0.85546875" style="149" customWidth="1"/>
    <col min="3161" max="3161" width="1.140625" style="149" customWidth="1"/>
    <col min="3162" max="3162" width="1.42578125" style="149" customWidth="1"/>
    <col min="3163" max="3163" width="13.140625" style="149"/>
    <col min="3164" max="3164" width="1.42578125" style="149" customWidth="1"/>
    <col min="3165" max="3165" width="0.140625" style="149" customWidth="1"/>
    <col min="3166" max="3166" width="0.5703125" style="149" customWidth="1"/>
    <col min="3167" max="3167" width="1.28515625" style="149" customWidth="1"/>
    <col min="3168" max="3168" width="13.140625" style="149"/>
    <col min="3169" max="3169" width="1.140625" style="149" customWidth="1"/>
    <col min="3170" max="3170" width="1.28515625" style="149" customWidth="1"/>
    <col min="3171" max="3171" width="0.85546875" style="149" customWidth="1"/>
    <col min="3172" max="3172" width="1.140625" style="149" customWidth="1"/>
    <col min="3173" max="3173" width="13.140625" style="149"/>
    <col min="3174" max="3174" width="1.140625" style="149" customWidth="1"/>
    <col min="3175" max="3175" width="1" style="149" customWidth="1"/>
    <col min="3176" max="3176" width="1.28515625" style="149" customWidth="1"/>
    <col min="3177" max="3177" width="1" style="149" customWidth="1"/>
    <col min="3178" max="3178" width="13.140625" style="149"/>
    <col min="3179" max="3180" width="1.140625" style="149" customWidth="1"/>
    <col min="3181" max="3181" width="0.5703125" style="149" customWidth="1"/>
    <col min="3182" max="3182" width="1.5703125" style="149" customWidth="1"/>
    <col min="3183" max="3262" width="13.140625" style="149"/>
    <col min="3263" max="3264" width="2.85546875" style="149" customWidth="1"/>
    <col min="3265" max="3328" width="13.140625" style="149"/>
    <col min="3329" max="3329" width="28.42578125" style="149" customWidth="1"/>
    <col min="3330" max="3330" width="11.5703125" style="149" bestFit="1" customWidth="1"/>
    <col min="3331" max="3331" width="69.42578125" style="149" bestFit="1" customWidth="1"/>
    <col min="3332" max="3332" width="30.85546875" style="149" bestFit="1" customWidth="1"/>
    <col min="3333" max="3333" width="37.5703125" style="149" bestFit="1" customWidth="1"/>
    <col min="3334" max="3334" width="74.85546875" style="149" customWidth="1"/>
    <col min="3335" max="3335" width="30.85546875" style="149" bestFit="1" customWidth="1"/>
    <col min="3336" max="3336" width="35.85546875" style="149" bestFit="1" customWidth="1"/>
    <col min="3337" max="3372" width="13.140625" style="149" customWidth="1"/>
    <col min="3373" max="3373" width="8.140625" style="149" customWidth="1"/>
    <col min="3374" max="3374" width="15.28515625" style="149" customWidth="1"/>
    <col min="3375" max="3375" width="1.7109375" style="149" customWidth="1"/>
    <col min="3376" max="3377" width="1.140625" style="149" customWidth="1"/>
    <col min="3378" max="3378" width="1" style="149" customWidth="1"/>
    <col min="3379" max="3379" width="13.140625" style="149"/>
    <col min="3380" max="3383" width="1.140625" style="149" customWidth="1"/>
    <col min="3384" max="3384" width="13.140625" style="149"/>
    <col min="3385" max="3385" width="1" style="149" customWidth="1"/>
    <col min="3386" max="3386" width="0.28515625" style="149" customWidth="1"/>
    <col min="3387" max="3387" width="1.140625" style="149" customWidth="1"/>
    <col min="3388" max="3388" width="0.7109375" style="149" customWidth="1"/>
    <col min="3389" max="3389" width="13.140625" style="149"/>
    <col min="3390" max="3392" width="1.140625" style="149" customWidth="1"/>
    <col min="3393" max="3393" width="1.28515625" style="149" customWidth="1"/>
    <col min="3394" max="3394" width="10.28515625" style="149" customWidth="1"/>
    <col min="3395" max="3395" width="1.85546875" style="149" customWidth="1"/>
    <col min="3396" max="3396" width="0.5703125" style="149" customWidth="1"/>
    <col min="3397" max="3398" width="1.5703125" style="149" customWidth="1"/>
    <col min="3399" max="3399" width="22.140625" style="149" customWidth="1"/>
    <col min="3400" max="3400" width="1.42578125" style="149" customWidth="1"/>
    <col min="3401" max="3401" width="1.5703125" style="149" customWidth="1"/>
    <col min="3402" max="3402" width="1.7109375" style="149" customWidth="1"/>
    <col min="3403" max="3403" width="1.85546875" style="149" customWidth="1"/>
    <col min="3404" max="3404" width="13.140625" style="149"/>
    <col min="3405" max="3406" width="1.42578125" style="149" customWidth="1"/>
    <col min="3407" max="3407" width="0.85546875" style="149" customWidth="1"/>
    <col min="3408" max="3408" width="1.5703125" style="149" customWidth="1"/>
    <col min="3409" max="3409" width="13.140625" style="149"/>
    <col min="3410" max="3410" width="1.42578125" style="149" customWidth="1"/>
    <col min="3411" max="3412" width="1.7109375" style="149" customWidth="1"/>
    <col min="3413" max="3413" width="1.42578125" style="149" customWidth="1"/>
    <col min="3414" max="3414" width="13.140625" style="149"/>
    <col min="3415" max="3415" width="1" style="149" customWidth="1"/>
    <col min="3416" max="3416" width="0.85546875" style="149" customWidth="1"/>
    <col min="3417" max="3417" width="1.140625" style="149" customWidth="1"/>
    <col min="3418" max="3418" width="1.42578125" style="149" customWidth="1"/>
    <col min="3419" max="3419" width="13.140625" style="149"/>
    <col min="3420" max="3420" width="1.42578125" style="149" customWidth="1"/>
    <col min="3421" max="3421" width="0.140625" style="149" customWidth="1"/>
    <col min="3422" max="3422" width="0.5703125" style="149" customWidth="1"/>
    <col min="3423" max="3423" width="1.28515625" style="149" customWidth="1"/>
    <col min="3424" max="3424" width="13.140625" style="149"/>
    <col min="3425" max="3425" width="1.140625" style="149" customWidth="1"/>
    <col min="3426" max="3426" width="1.28515625" style="149" customWidth="1"/>
    <col min="3427" max="3427" width="0.85546875" style="149" customWidth="1"/>
    <col min="3428" max="3428" width="1.140625" style="149" customWidth="1"/>
    <col min="3429" max="3429" width="13.140625" style="149"/>
    <col min="3430" max="3430" width="1.140625" style="149" customWidth="1"/>
    <col min="3431" max="3431" width="1" style="149" customWidth="1"/>
    <col min="3432" max="3432" width="1.28515625" style="149" customWidth="1"/>
    <col min="3433" max="3433" width="1" style="149" customWidth="1"/>
    <col min="3434" max="3434" width="13.140625" style="149"/>
    <col min="3435" max="3436" width="1.140625" style="149" customWidth="1"/>
    <col min="3437" max="3437" width="0.5703125" style="149" customWidth="1"/>
    <col min="3438" max="3438" width="1.5703125" style="149" customWidth="1"/>
    <col min="3439" max="3518" width="13.140625" style="149"/>
    <col min="3519" max="3520" width="2.85546875" style="149" customWidth="1"/>
    <col min="3521" max="3584" width="13.140625" style="149"/>
    <col min="3585" max="3585" width="28.42578125" style="149" customWidth="1"/>
    <col min="3586" max="3586" width="11.5703125" style="149" bestFit="1" customWidth="1"/>
    <col min="3587" max="3587" width="69.42578125" style="149" bestFit="1" customWidth="1"/>
    <col min="3588" max="3588" width="30.85546875" style="149" bestFit="1" customWidth="1"/>
    <col min="3589" max="3589" width="37.5703125" style="149" bestFit="1" customWidth="1"/>
    <col min="3590" max="3590" width="74.85546875" style="149" customWidth="1"/>
    <col min="3591" max="3591" width="30.85546875" style="149" bestFit="1" customWidth="1"/>
    <col min="3592" max="3592" width="35.85546875" style="149" bestFit="1" customWidth="1"/>
    <col min="3593" max="3628" width="13.140625" style="149" customWidth="1"/>
    <col min="3629" max="3629" width="8.140625" style="149" customWidth="1"/>
    <col min="3630" max="3630" width="15.28515625" style="149" customWidth="1"/>
    <col min="3631" max="3631" width="1.7109375" style="149" customWidth="1"/>
    <col min="3632" max="3633" width="1.140625" style="149" customWidth="1"/>
    <col min="3634" max="3634" width="1" style="149" customWidth="1"/>
    <col min="3635" max="3635" width="13.140625" style="149"/>
    <col min="3636" max="3639" width="1.140625" style="149" customWidth="1"/>
    <col min="3640" max="3640" width="13.140625" style="149"/>
    <col min="3641" max="3641" width="1" style="149" customWidth="1"/>
    <col min="3642" max="3642" width="0.28515625" style="149" customWidth="1"/>
    <col min="3643" max="3643" width="1.140625" style="149" customWidth="1"/>
    <col min="3644" max="3644" width="0.7109375" style="149" customWidth="1"/>
    <col min="3645" max="3645" width="13.140625" style="149"/>
    <col min="3646" max="3648" width="1.140625" style="149" customWidth="1"/>
    <col min="3649" max="3649" width="1.28515625" style="149" customWidth="1"/>
    <col min="3650" max="3650" width="10.28515625" style="149" customWidth="1"/>
    <col min="3651" max="3651" width="1.85546875" style="149" customWidth="1"/>
    <col min="3652" max="3652" width="0.5703125" style="149" customWidth="1"/>
    <col min="3653" max="3654" width="1.5703125" style="149" customWidth="1"/>
    <col min="3655" max="3655" width="22.140625" style="149" customWidth="1"/>
    <col min="3656" max="3656" width="1.42578125" style="149" customWidth="1"/>
    <col min="3657" max="3657" width="1.5703125" style="149" customWidth="1"/>
    <col min="3658" max="3658" width="1.7109375" style="149" customWidth="1"/>
    <col min="3659" max="3659" width="1.85546875" style="149" customWidth="1"/>
    <col min="3660" max="3660" width="13.140625" style="149"/>
    <col min="3661" max="3662" width="1.42578125" style="149" customWidth="1"/>
    <col min="3663" max="3663" width="0.85546875" style="149" customWidth="1"/>
    <col min="3664" max="3664" width="1.5703125" style="149" customWidth="1"/>
    <col min="3665" max="3665" width="13.140625" style="149"/>
    <col min="3666" max="3666" width="1.42578125" style="149" customWidth="1"/>
    <col min="3667" max="3668" width="1.7109375" style="149" customWidth="1"/>
    <col min="3669" max="3669" width="1.42578125" style="149" customWidth="1"/>
    <col min="3670" max="3670" width="13.140625" style="149"/>
    <col min="3671" max="3671" width="1" style="149" customWidth="1"/>
    <col min="3672" max="3672" width="0.85546875" style="149" customWidth="1"/>
    <col min="3673" max="3673" width="1.140625" style="149" customWidth="1"/>
    <col min="3674" max="3674" width="1.42578125" style="149" customWidth="1"/>
    <col min="3675" max="3675" width="13.140625" style="149"/>
    <col min="3676" max="3676" width="1.42578125" style="149" customWidth="1"/>
    <col min="3677" max="3677" width="0.140625" style="149" customWidth="1"/>
    <col min="3678" max="3678" width="0.5703125" style="149" customWidth="1"/>
    <col min="3679" max="3679" width="1.28515625" style="149" customWidth="1"/>
    <col min="3680" max="3680" width="13.140625" style="149"/>
    <col min="3681" max="3681" width="1.140625" style="149" customWidth="1"/>
    <col min="3682" max="3682" width="1.28515625" style="149" customWidth="1"/>
    <col min="3683" max="3683" width="0.85546875" style="149" customWidth="1"/>
    <col min="3684" max="3684" width="1.140625" style="149" customWidth="1"/>
    <col min="3685" max="3685" width="13.140625" style="149"/>
    <col min="3686" max="3686" width="1.140625" style="149" customWidth="1"/>
    <col min="3687" max="3687" width="1" style="149" customWidth="1"/>
    <col min="3688" max="3688" width="1.28515625" style="149" customWidth="1"/>
    <col min="3689" max="3689" width="1" style="149" customWidth="1"/>
    <col min="3690" max="3690" width="13.140625" style="149"/>
    <col min="3691" max="3692" width="1.140625" style="149" customWidth="1"/>
    <col min="3693" max="3693" width="0.5703125" style="149" customWidth="1"/>
    <col min="3694" max="3694" width="1.5703125" style="149" customWidth="1"/>
    <col min="3695" max="3774" width="13.140625" style="149"/>
    <col min="3775" max="3776" width="2.85546875" style="149" customWidth="1"/>
    <col min="3777" max="3840" width="13.140625" style="149"/>
    <col min="3841" max="3841" width="28.42578125" style="149" customWidth="1"/>
    <col min="3842" max="3842" width="11.5703125" style="149" bestFit="1" customWidth="1"/>
    <col min="3843" max="3843" width="69.42578125" style="149" bestFit="1" customWidth="1"/>
    <col min="3844" max="3844" width="30.85546875" style="149" bestFit="1" customWidth="1"/>
    <col min="3845" max="3845" width="37.5703125" style="149" bestFit="1" customWidth="1"/>
    <col min="3846" max="3846" width="74.85546875" style="149" customWidth="1"/>
    <col min="3847" max="3847" width="30.85546875" style="149" bestFit="1" customWidth="1"/>
    <col min="3848" max="3848" width="35.85546875" style="149" bestFit="1" customWidth="1"/>
    <col min="3849" max="3884" width="13.140625" style="149" customWidth="1"/>
    <col min="3885" max="3885" width="8.140625" style="149" customWidth="1"/>
    <col min="3886" max="3886" width="15.28515625" style="149" customWidth="1"/>
    <col min="3887" max="3887" width="1.7109375" style="149" customWidth="1"/>
    <col min="3888" max="3889" width="1.140625" style="149" customWidth="1"/>
    <col min="3890" max="3890" width="1" style="149" customWidth="1"/>
    <col min="3891" max="3891" width="13.140625" style="149"/>
    <col min="3892" max="3895" width="1.140625" style="149" customWidth="1"/>
    <col min="3896" max="3896" width="13.140625" style="149"/>
    <col min="3897" max="3897" width="1" style="149" customWidth="1"/>
    <col min="3898" max="3898" width="0.28515625" style="149" customWidth="1"/>
    <col min="3899" max="3899" width="1.140625" style="149" customWidth="1"/>
    <col min="3900" max="3900" width="0.7109375" style="149" customWidth="1"/>
    <col min="3901" max="3901" width="13.140625" style="149"/>
    <col min="3902" max="3904" width="1.140625" style="149" customWidth="1"/>
    <col min="3905" max="3905" width="1.28515625" style="149" customWidth="1"/>
    <col min="3906" max="3906" width="10.28515625" style="149" customWidth="1"/>
    <col min="3907" max="3907" width="1.85546875" style="149" customWidth="1"/>
    <col min="3908" max="3908" width="0.5703125" style="149" customWidth="1"/>
    <col min="3909" max="3910" width="1.5703125" style="149" customWidth="1"/>
    <col min="3911" max="3911" width="22.140625" style="149" customWidth="1"/>
    <col min="3912" max="3912" width="1.42578125" style="149" customWidth="1"/>
    <col min="3913" max="3913" width="1.5703125" style="149" customWidth="1"/>
    <col min="3914" max="3914" width="1.7109375" style="149" customWidth="1"/>
    <col min="3915" max="3915" width="1.85546875" style="149" customWidth="1"/>
    <col min="3916" max="3916" width="13.140625" style="149"/>
    <col min="3917" max="3918" width="1.42578125" style="149" customWidth="1"/>
    <col min="3919" max="3919" width="0.85546875" style="149" customWidth="1"/>
    <col min="3920" max="3920" width="1.5703125" style="149" customWidth="1"/>
    <col min="3921" max="3921" width="13.140625" style="149"/>
    <col min="3922" max="3922" width="1.42578125" style="149" customWidth="1"/>
    <col min="3923" max="3924" width="1.7109375" style="149" customWidth="1"/>
    <col min="3925" max="3925" width="1.42578125" style="149" customWidth="1"/>
    <col min="3926" max="3926" width="13.140625" style="149"/>
    <col min="3927" max="3927" width="1" style="149" customWidth="1"/>
    <col min="3928" max="3928" width="0.85546875" style="149" customWidth="1"/>
    <col min="3929" max="3929" width="1.140625" style="149" customWidth="1"/>
    <col min="3930" max="3930" width="1.42578125" style="149" customWidth="1"/>
    <col min="3931" max="3931" width="13.140625" style="149"/>
    <col min="3932" max="3932" width="1.42578125" style="149" customWidth="1"/>
    <col min="3933" max="3933" width="0.140625" style="149" customWidth="1"/>
    <col min="3934" max="3934" width="0.5703125" style="149" customWidth="1"/>
    <col min="3935" max="3935" width="1.28515625" style="149" customWidth="1"/>
    <col min="3936" max="3936" width="13.140625" style="149"/>
    <col min="3937" max="3937" width="1.140625" style="149" customWidth="1"/>
    <col min="3938" max="3938" width="1.28515625" style="149" customWidth="1"/>
    <col min="3939" max="3939" width="0.85546875" style="149" customWidth="1"/>
    <col min="3940" max="3940" width="1.140625" style="149" customWidth="1"/>
    <col min="3941" max="3941" width="13.140625" style="149"/>
    <col min="3942" max="3942" width="1.140625" style="149" customWidth="1"/>
    <col min="3943" max="3943" width="1" style="149" customWidth="1"/>
    <col min="3944" max="3944" width="1.28515625" style="149" customWidth="1"/>
    <col min="3945" max="3945" width="1" style="149" customWidth="1"/>
    <col min="3946" max="3946" width="13.140625" style="149"/>
    <col min="3947" max="3948" width="1.140625" style="149" customWidth="1"/>
    <col min="3949" max="3949" width="0.5703125" style="149" customWidth="1"/>
    <col min="3950" max="3950" width="1.5703125" style="149" customWidth="1"/>
    <col min="3951" max="4030" width="13.140625" style="149"/>
    <col min="4031" max="4032" width="2.85546875" style="149" customWidth="1"/>
    <col min="4033" max="4096" width="13.140625" style="149"/>
    <col min="4097" max="4097" width="28.42578125" style="149" customWidth="1"/>
    <col min="4098" max="4098" width="11.5703125" style="149" bestFit="1" customWidth="1"/>
    <col min="4099" max="4099" width="69.42578125" style="149" bestFit="1" customWidth="1"/>
    <col min="4100" max="4100" width="30.85546875" style="149" bestFit="1" customWidth="1"/>
    <col min="4101" max="4101" width="37.5703125" style="149" bestFit="1" customWidth="1"/>
    <col min="4102" max="4102" width="74.85546875" style="149" customWidth="1"/>
    <col min="4103" max="4103" width="30.85546875" style="149" bestFit="1" customWidth="1"/>
    <col min="4104" max="4104" width="35.85546875" style="149" bestFit="1" customWidth="1"/>
    <col min="4105" max="4140" width="13.140625" style="149" customWidth="1"/>
    <col min="4141" max="4141" width="8.140625" style="149" customWidth="1"/>
    <col min="4142" max="4142" width="15.28515625" style="149" customWidth="1"/>
    <col min="4143" max="4143" width="1.7109375" style="149" customWidth="1"/>
    <col min="4144" max="4145" width="1.140625" style="149" customWidth="1"/>
    <col min="4146" max="4146" width="1" style="149" customWidth="1"/>
    <col min="4147" max="4147" width="13.140625" style="149"/>
    <col min="4148" max="4151" width="1.140625" style="149" customWidth="1"/>
    <col min="4152" max="4152" width="13.140625" style="149"/>
    <col min="4153" max="4153" width="1" style="149" customWidth="1"/>
    <col min="4154" max="4154" width="0.28515625" style="149" customWidth="1"/>
    <col min="4155" max="4155" width="1.140625" style="149" customWidth="1"/>
    <col min="4156" max="4156" width="0.7109375" style="149" customWidth="1"/>
    <col min="4157" max="4157" width="13.140625" style="149"/>
    <col min="4158" max="4160" width="1.140625" style="149" customWidth="1"/>
    <col min="4161" max="4161" width="1.28515625" style="149" customWidth="1"/>
    <col min="4162" max="4162" width="10.28515625" style="149" customWidth="1"/>
    <col min="4163" max="4163" width="1.85546875" style="149" customWidth="1"/>
    <col min="4164" max="4164" width="0.5703125" style="149" customWidth="1"/>
    <col min="4165" max="4166" width="1.5703125" style="149" customWidth="1"/>
    <col min="4167" max="4167" width="22.140625" style="149" customWidth="1"/>
    <col min="4168" max="4168" width="1.42578125" style="149" customWidth="1"/>
    <col min="4169" max="4169" width="1.5703125" style="149" customWidth="1"/>
    <col min="4170" max="4170" width="1.7109375" style="149" customWidth="1"/>
    <col min="4171" max="4171" width="1.85546875" style="149" customWidth="1"/>
    <col min="4172" max="4172" width="13.140625" style="149"/>
    <col min="4173" max="4174" width="1.42578125" style="149" customWidth="1"/>
    <col min="4175" max="4175" width="0.85546875" style="149" customWidth="1"/>
    <col min="4176" max="4176" width="1.5703125" style="149" customWidth="1"/>
    <col min="4177" max="4177" width="13.140625" style="149"/>
    <col min="4178" max="4178" width="1.42578125" style="149" customWidth="1"/>
    <col min="4179" max="4180" width="1.7109375" style="149" customWidth="1"/>
    <col min="4181" max="4181" width="1.42578125" style="149" customWidth="1"/>
    <col min="4182" max="4182" width="13.140625" style="149"/>
    <col min="4183" max="4183" width="1" style="149" customWidth="1"/>
    <col min="4184" max="4184" width="0.85546875" style="149" customWidth="1"/>
    <col min="4185" max="4185" width="1.140625" style="149" customWidth="1"/>
    <col min="4186" max="4186" width="1.42578125" style="149" customWidth="1"/>
    <col min="4187" max="4187" width="13.140625" style="149"/>
    <col min="4188" max="4188" width="1.42578125" style="149" customWidth="1"/>
    <col min="4189" max="4189" width="0.140625" style="149" customWidth="1"/>
    <col min="4190" max="4190" width="0.5703125" style="149" customWidth="1"/>
    <col min="4191" max="4191" width="1.28515625" style="149" customWidth="1"/>
    <col min="4192" max="4192" width="13.140625" style="149"/>
    <col min="4193" max="4193" width="1.140625" style="149" customWidth="1"/>
    <col min="4194" max="4194" width="1.28515625" style="149" customWidth="1"/>
    <col min="4195" max="4195" width="0.85546875" style="149" customWidth="1"/>
    <col min="4196" max="4196" width="1.140625" style="149" customWidth="1"/>
    <col min="4197" max="4197" width="13.140625" style="149"/>
    <col min="4198" max="4198" width="1.140625" style="149" customWidth="1"/>
    <col min="4199" max="4199" width="1" style="149" customWidth="1"/>
    <col min="4200" max="4200" width="1.28515625" style="149" customWidth="1"/>
    <col min="4201" max="4201" width="1" style="149" customWidth="1"/>
    <col min="4202" max="4202" width="13.140625" style="149"/>
    <col min="4203" max="4204" width="1.140625" style="149" customWidth="1"/>
    <col min="4205" max="4205" width="0.5703125" style="149" customWidth="1"/>
    <col min="4206" max="4206" width="1.5703125" style="149" customWidth="1"/>
    <col min="4207" max="4286" width="13.140625" style="149"/>
    <col min="4287" max="4288" width="2.85546875" style="149" customWidth="1"/>
    <col min="4289" max="4352" width="13.140625" style="149"/>
    <col min="4353" max="4353" width="28.42578125" style="149" customWidth="1"/>
    <col min="4354" max="4354" width="11.5703125" style="149" bestFit="1" customWidth="1"/>
    <col min="4355" max="4355" width="69.42578125" style="149" bestFit="1" customWidth="1"/>
    <col min="4356" max="4356" width="30.85546875" style="149" bestFit="1" customWidth="1"/>
    <col min="4357" max="4357" width="37.5703125" style="149" bestFit="1" customWidth="1"/>
    <col min="4358" max="4358" width="74.85546875" style="149" customWidth="1"/>
    <col min="4359" max="4359" width="30.85546875" style="149" bestFit="1" customWidth="1"/>
    <col min="4360" max="4360" width="35.85546875" style="149" bestFit="1" customWidth="1"/>
    <col min="4361" max="4396" width="13.140625" style="149" customWidth="1"/>
    <col min="4397" max="4397" width="8.140625" style="149" customWidth="1"/>
    <col min="4398" max="4398" width="15.28515625" style="149" customWidth="1"/>
    <col min="4399" max="4399" width="1.7109375" style="149" customWidth="1"/>
    <col min="4400" max="4401" width="1.140625" style="149" customWidth="1"/>
    <col min="4402" max="4402" width="1" style="149" customWidth="1"/>
    <col min="4403" max="4403" width="13.140625" style="149"/>
    <col min="4404" max="4407" width="1.140625" style="149" customWidth="1"/>
    <col min="4408" max="4408" width="13.140625" style="149"/>
    <col min="4409" max="4409" width="1" style="149" customWidth="1"/>
    <col min="4410" max="4410" width="0.28515625" style="149" customWidth="1"/>
    <col min="4411" max="4411" width="1.140625" style="149" customWidth="1"/>
    <col min="4412" max="4412" width="0.7109375" style="149" customWidth="1"/>
    <col min="4413" max="4413" width="13.140625" style="149"/>
    <col min="4414" max="4416" width="1.140625" style="149" customWidth="1"/>
    <col min="4417" max="4417" width="1.28515625" style="149" customWidth="1"/>
    <col min="4418" max="4418" width="10.28515625" style="149" customWidth="1"/>
    <col min="4419" max="4419" width="1.85546875" style="149" customWidth="1"/>
    <col min="4420" max="4420" width="0.5703125" style="149" customWidth="1"/>
    <col min="4421" max="4422" width="1.5703125" style="149" customWidth="1"/>
    <col min="4423" max="4423" width="22.140625" style="149" customWidth="1"/>
    <col min="4424" max="4424" width="1.42578125" style="149" customWidth="1"/>
    <col min="4425" max="4425" width="1.5703125" style="149" customWidth="1"/>
    <col min="4426" max="4426" width="1.7109375" style="149" customWidth="1"/>
    <col min="4427" max="4427" width="1.85546875" style="149" customWidth="1"/>
    <col min="4428" max="4428" width="13.140625" style="149"/>
    <col min="4429" max="4430" width="1.42578125" style="149" customWidth="1"/>
    <col min="4431" max="4431" width="0.85546875" style="149" customWidth="1"/>
    <col min="4432" max="4432" width="1.5703125" style="149" customWidth="1"/>
    <col min="4433" max="4433" width="13.140625" style="149"/>
    <col min="4434" max="4434" width="1.42578125" style="149" customWidth="1"/>
    <col min="4435" max="4436" width="1.7109375" style="149" customWidth="1"/>
    <col min="4437" max="4437" width="1.42578125" style="149" customWidth="1"/>
    <col min="4438" max="4438" width="13.140625" style="149"/>
    <col min="4439" max="4439" width="1" style="149" customWidth="1"/>
    <col min="4440" max="4440" width="0.85546875" style="149" customWidth="1"/>
    <col min="4441" max="4441" width="1.140625" style="149" customWidth="1"/>
    <col min="4442" max="4442" width="1.42578125" style="149" customWidth="1"/>
    <col min="4443" max="4443" width="13.140625" style="149"/>
    <col min="4444" max="4444" width="1.42578125" style="149" customWidth="1"/>
    <col min="4445" max="4445" width="0.140625" style="149" customWidth="1"/>
    <col min="4446" max="4446" width="0.5703125" style="149" customWidth="1"/>
    <col min="4447" max="4447" width="1.28515625" style="149" customWidth="1"/>
    <col min="4448" max="4448" width="13.140625" style="149"/>
    <col min="4449" max="4449" width="1.140625" style="149" customWidth="1"/>
    <col min="4450" max="4450" width="1.28515625" style="149" customWidth="1"/>
    <col min="4451" max="4451" width="0.85546875" style="149" customWidth="1"/>
    <col min="4452" max="4452" width="1.140625" style="149" customWidth="1"/>
    <col min="4453" max="4453" width="13.140625" style="149"/>
    <col min="4454" max="4454" width="1.140625" style="149" customWidth="1"/>
    <col min="4455" max="4455" width="1" style="149" customWidth="1"/>
    <col min="4456" max="4456" width="1.28515625" style="149" customWidth="1"/>
    <col min="4457" max="4457" width="1" style="149" customWidth="1"/>
    <col min="4458" max="4458" width="13.140625" style="149"/>
    <col min="4459" max="4460" width="1.140625" style="149" customWidth="1"/>
    <col min="4461" max="4461" width="0.5703125" style="149" customWidth="1"/>
    <col min="4462" max="4462" width="1.5703125" style="149" customWidth="1"/>
    <col min="4463" max="4542" width="13.140625" style="149"/>
    <col min="4543" max="4544" width="2.85546875" style="149" customWidth="1"/>
    <col min="4545" max="4608" width="13.140625" style="149"/>
    <col min="4609" max="4609" width="28.42578125" style="149" customWidth="1"/>
    <col min="4610" max="4610" width="11.5703125" style="149" bestFit="1" customWidth="1"/>
    <col min="4611" max="4611" width="69.42578125" style="149" bestFit="1" customWidth="1"/>
    <col min="4612" max="4612" width="30.85546875" style="149" bestFit="1" customWidth="1"/>
    <col min="4613" max="4613" width="37.5703125" style="149" bestFit="1" customWidth="1"/>
    <col min="4614" max="4614" width="74.85546875" style="149" customWidth="1"/>
    <col min="4615" max="4615" width="30.85546875" style="149" bestFit="1" customWidth="1"/>
    <col min="4616" max="4616" width="35.85546875" style="149" bestFit="1" customWidth="1"/>
    <col min="4617" max="4652" width="13.140625" style="149" customWidth="1"/>
    <col min="4653" max="4653" width="8.140625" style="149" customWidth="1"/>
    <col min="4654" max="4654" width="15.28515625" style="149" customWidth="1"/>
    <col min="4655" max="4655" width="1.7109375" style="149" customWidth="1"/>
    <col min="4656" max="4657" width="1.140625" style="149" customWidth="1"/>
    <col min="4658" max="4658" width="1" style="149" customWidth="1"/>
    <col min="4659" max="4659" width="13.140625" style="149"/>
    <col min="4660" max="4663" width="1.140625" style="149" customWidth="1"/>
    <col min="4664" max="4664" width="13.140625" style="149"/>
    <col min="4665" max="4665" width="1" style="149" customWidth="1"/>
    <col min="4666" max="4666" width="0.28515625" style="149" customWidth="1"/>
    <col min="4667" max="4667" width="1.140625" style="149" customWidth="1"/>
    <col min="4668" max="4668" width="0.7109375" style="149" customWidth="1"/>
    <col min="4669" max="4669" width="13.140625" style="149"/>
    <col min="4670" max="4672" width="1.140625" style="149" customWidth="1"/>
    <col min="4673" max="4673" width="1.28515625" style="149" customWidth="1"/>
    <col min="4674" max="4674" width="10.28515625" style="149" customWidth="1"/>
    <col min="4675" max="4675" width="1.85546875" style="149" customWidth="1"/>
    <col min="4676" max="4676" width="0.5703125" style="149" customWidth="1"/>
    <col min="4677" max="4678" width="1.5703125" style="149" customWidth="1"/>
    <col min="4679" max="4679" width="22.140625" style="149" customWidth="1"/>
    <col min="4680" max="4680" width="1.42578125" style="149" customWidth="1"/>
    <col min="4681" max="4681" width="1.5703125" style="149" customWidth="1"/>
    <col min="4682" max="4682" width="1.7109375" style="149" customWidth="1"/>
    <col min="4683" max="4683" width="1.85546875" style="149" customWidth="1"/>
    <col min="4684" max="4684" width="13.140625" style="149"/>
    <col min="4685" max="4686" width="1.42578125" style="149" customWidth="1"/>
    <col min="4687" max="4687" width="0.85546875" style="149" customWidth="1"/>
    <col min="4688" max="4688" width="1.5703125" style="149" customWidth="1"/>
    <col min="4689" max="4689" width="13.140625" style="149"/>
    <col min="4690" max="4690" width="1.42578125" style="149" customWidth="1"/>
    <col min="4691" max="4692" width="1.7109375" style="149" customWidth="1"/>
    <col min="4693" max="4693" width="1.42578125" style="149" customWidth="1"/>
    <col min="4694" max="4694" width="13.140625" style="149"/>
    <col min="4695" max="4695" width="1" style="149" customWidth="1"/>
    <col min="4696" max="4696" width="0.85546875" style="149" customWidth="1"/>
    <col min="4697" max="4697" width="1.140625" style="149" customWidth="1"/>
    <col min="4698" max="4698" width="1.42578125" style="149" customWidth="1"/>
    <col min="4699" max="4699" width="13.140625" style="149"/>
    <col min="4700" max="4700" width="1.42578125" style="149" customWidth="1"/>
    <col min="4701" max="4701" width="0.140625" style="149" customWidth="1"/>
    <col min="4702" max="4702" width="0.5703125" style="149" customWidth="1"/>
    <col min="4703" max="4703" width="1.28515625" style="149" customWidth="1"/>
    <col min="4704" max="4704" width="13.140625" style="149"/>
    <col min="4705" max="4705" width="1.140625" style="149" customWidth="1"/>
    <col min="4706" max="4706" width="1.28515625" style="149" customWidth="1"/>
    <col min="4707" max="4707" width="0.85546875" style="149" customWidth="1"/>
    <col min="4708" max="4708" width="1.140625" style="149" customWidth="1"/>
    <col min="4709" max="4709" width="13.140625" style="149"/>
    <col min="4710" max="4710" width="1.140625" style="149" customWidth="1"/>
    <col min="4711" max="4711" width="1" style="149" customWidth="1"/>
    <col min="4712" max="4712" width="1.28515625" style="149" customWidth="1"/>
    <col min="4713" max="4713" width="1" style="149" customWidth="1"/>
    <col min="4714" max="4714" width="13.140625" style="149"/>
    <col min="4715" max="4716" width="1.140625" style="149" customWidth="1"/>
    <col min="4717" max="4717" width="0.5703125" style="149" customWidth="1"/>
    <col min="4718" max="4718" width="1.5703125" style="149" customWidth="1"/>
    <col min="4719" max="4798" width="13.140625" style="149"/>
    <col min="4799" max="4800" width="2.85546875" style="149" customWidth="1"/>
    <col min="4801" max="4864" width="13.140625" style="149"/>
    <col min="4865" max="4865" width="28.42578125" style="149" customWidth="1"/>
    <col min="4866" max="4866" width="11.5703125" style="149" bestFit="1" customWidth="1"/>
    <col min="4867" max="4867" width="69.42578125" style="149" bestFit="1" customWidth="1"/>
    <col min="4868" max="4868" width="30.85546875" style="149" bestFit="1" customWidth="1"/>
    <col min="4869" max="4869" width="37.5703125" style="149" bestFit="1" customWidth="1"/>
    <col min="4870" max="4870" width="74.85546875" style="149" customWidth="1"/>
    <col min="4871" max="4871" width="30.85546875" style="149" bestFit="1" customWidth="1"/>
    <col min="4872" max="4872" width="35.85546875" style="149" bestFit="1" customWidth="1"/>
    <col min="4873" max="4908" width="13.140625" style="149" customWidth="1"/>
    <col min="4909" max="4909" width="8.140625" style="149" customWidth="1"/>
    <col min="4910" max="4910" width="15.28515625" style="149" customWidth="1"/>
    <col min="4911" max="4911" width="1.7109375" style="149" customWidth="1"/>
    <col min="4912" max="4913" width="1.140625" style="149" customWidth="1"/>
    <col min="4914" max="4914" width="1" style="149" customWidth="1"/>
    <col min="4915" max="4915" width="13.140625" style="149"/>
    <col min="4916" max="4919" width="1.140625" style="149" customWidth="1"/>
    <col min="4920" max="4920" width="13.140625" style="149"/>
    <col min="4921" max="4921" width="1" style="149" customWidth="1"/>
    <col min="4922" max="4922" width="0.28515625" style="149" customWidth="1"/>
    <col min="4923" max="4923" width="1.140625" style="149" customWidth="1"/>
    <col min="4924" max="4924" width="0.7109375" style="149" customWidth="1"/>
    <col min="4925" max="4925" width="13.140625" style="149"/>
    <col min="4926" max="4928" width="1.140625" style="149" customWidth="1"/>
    <col min="4929" max="4929" width="1.28515625" style="149" customWidth="1"/>
    <col min="4930" max="4930" width="10.28515625" style="149" customWidth="1"/>
    <col min="4931" max="4931" width="1.85546875" style="149" customWidth="1"/>
    <col min="4932" max="4932" width="0.5703125" style="149" customWidth="1"/>
    <col min="4933" max="4934" width="1.5703125" style="149" customWidth="1"/>
    <col min="4935" max="4935" width="22.140625" style="149" customWidth="1"/>
    <col min="4936" max="4936" width="1.42578125" style="149" customWidth="1"/>
    <col min="4937" max="4937" width="1.5703125" style="149" customWidth="1"/>
    <col min="4938" max="4938" width="1.7109375" style="149" customWidth="1"/>
    <col min="4939" max="4939" width="1.85546875" style="149" customWidth="1"/>
    <col min="4940" max="4940" width="13.140625" style="149"/>
    <col min="4941" max="4942" width="1.42578125" style="149" customWidth="1"/>
    <col min="4943" max="4943" width="0.85546875" style="149" customWidth="1"/>
    <col min="4944" max="4944" width="1.5703125" style="149" customWidth="1"/>
    <col min="4945" max="4945" width="13.140625" style="149"/>
    <col min="4946" max="4946" width="1.42578125" style="149" customWidth="1"/>
    <col min="4947" max="4948" width="1.7109375" style="149" customWidth="1"/>
    <col min="4949" max="4949" width="1.42578125" style="149" customWidth="1"/>
    <col min="4950" max="4950" width="13.140625" style="149"/>
    <col min="4951" max="4951" width="1" style="149" customWidth="1"/>
    <col min="4952" max="4952" width="0.85546875" style="149" customWidth="1"/>
    <col min="4953" max="4953" width="1.140625" style="149" customWidth="1"/>
    <col min="4954" max="4954" width="1.42578125" style="149" customWidth="1"/>
    <col min="4955" max="4955" width="13.140625" style="149"/>
    <col min="4956" max="4956" width="1.42578125" style="149" customWidth="1"/>
    <col min="4957" max="4957" width="0.140625" style="149" customWidth="1"/>
    <col min="4958" max="4958" width="0.5703125" style="149" customWidth="1"/>
    <col min="4959" max="4959" width="1.28515625" style="149" customWidth="1"/>
    <col min="4960" max="4960" width="13.140625" style="149"/>
    <col min="4961" max="4961" width="1.140625" style="149" customWidth="1"/>
    <col min="4962" max="4962" width="1.28515625" style="149" customWidth="1"/>
    <col min="4963" max="4963" width="0.85546875" style="149" customWidth="1"/>
    <col min="4964" max="4964" width="1.140625" style="149" customWidth="1"/>
    <col min="4965" max="4965" width="13.140625" style="149"/>
    <col min="4966" max="4966" width="1.140625" style="149" customWidth="1"/>
    <col min="4967" max="4967" width="1" style="149" customWidth="1"/>
    <col min="4968" max="4968" width="1.28515625" style="149" customWidth="1"/>
    <col min="4969" max="4969" width="1" style="149" customWidth="1"/>
    <col min="4970" max="4970" width="13.140625" style="149"/>
    <col min="4971" max="4972" width="1.140625" style="149" customWidth="1"/>
    <col min="4973" max="4973" width="0.5703125" style="149" customWidth="1"/>
    <col min="4974" max="4974" width="1.5703125" style="149" customWidth="1"/>
    <col min="4975" max="5054" width="13.140625" style="149"/>
    <col min="5055" max="5056" width="2.85546875" style="149" customWidth="1"/>
    <col min="5057" max="5120" width="13.140625" style="149"/>
    <col min="5121" max="5121" width="28.42578125" style="149" customWidth="1"/>
    <col min="5122" max="5122" width="11.5703125" style="149" bestFit="1" customWidth="1"/>
    <col min="5123" max="5123" width="69.42578125" style="149" bestFit="1" customWidth="1"/>
    <col min="5124" max="5124" width="30.85546875" style="149" bestFit="1" customWidth="1"/>
    <col min="5125" max="5125" width="37.5703125" style="149" bestFit="1" customWidth="1"/>
    <col min="5126" max="5126" width="74.85546875" style="149" customWidth="1"/>
    <col min="5127" max="5127" width="30.85546875" style="149" bestFit="1" customWidth="1"/>
    <col min="5128" max="5128" width="35.85546875" style="149" bestFit="1" customWidth="1"/>
    <col min="5129" max="5164" width="13.140625" style="149" customWidth="1"/>
    <col min="5165" max="5165" width="8.140625" style="149" customWidth="1"/>
    <col min="5166" max="5166" width="15.28515625" style="149" customWidth="1"/>
    <col min="5167" max="5167" width="1.7109375" style="149" customWidth="1"/>
    <col min="5168" max="5169" width="1.140625" style="149" customWidth="1"/>
    <col min="5170" max="5170" width="1" style="149" customWidth="1"/>
    <col min="5171" max="5171" width="13.140625" style="149"/>
    <col min="5172" max="5175" width="1.140625" style="149" customWidth="1"/>
    <col min="5176" max="5176" width="13.140625" style="149"/>
    <col min="5177" max="5177" width="1" style="149" customWidth="1"/>
    <col min="5178" max="5178" width="0.28515625" style="149" customWidth="1"/>
    <col min="5179" max="5179" width="1.140625" style="149" customWidth="1"/>
    <col min="5180" max="5180" width="0.7109375" style="149" customWidth="1"/>
    <col min="5181" max="5181" width="13.140625" style="149"/>
    <col min="5182" max="5184" width="1.140625" style="149" customWidth="1"/>
    <col min="5185" max="5185" width="1.28515625" style="149" customWidth="1"/>
    <col min="5186" max="5186" width="10.28515625" style="149" customWidth="1"/>
    <col min="5187" max="5187" width="1.85546875" style="149" customWidth="1"/>
    <col min="5188" max="5188" width="0.5703125" style="149" customWidth="1"/>
    <col min="5189" max="5190" width="1.5703125" style="149" customWidth="1"/>
    <col min="5191" max="5191" width="22.140625" style="149" customWidth="1"/>
    <col min="5192" max="5192" width="1.42578125" style="149" customWidth="1"/>
    <col min="5193" max="5193" width="1.5703125" style="149" customWidth="1"/>
    <col min="5194" max="5194" width="1.7109375" style="149" customWidth="1"/>
    <col min="5195" max="5195" width="1.85546875" style="149" customWidth="1"/>
    <col min="5196" max="5196" width="13.140625" style="149"/>
    <col min="5197" max="5198" width="1.42578125" style="149" customWidth="1"/>
    <col min="5199" max="5199" width="0.85546875" style="149" customWidth="1"/>
    <col min="5200" max="5200" width="1.5703125" style="149" customWidth="1"/>
    <col min="5201" max="5201" width="13.140625" style="149"/>
    <col min="5202" max="5202" width="1.42578125" style="149" customWidth="1"/>
    <col min="5203" max="5204" width="1.7109375" style="149" customWidth="1"/>
    <col min="5205" max="5205" width="1.42578125" style="149" customWidth="1"/>
    <col min="5206" max="5206" width="13.140625" style="149"/>
    <col min="5207" max="5207" width="1" style="149" customWidth="1"/>
    <col min="5208" max="5208" width="0.85546875" style="149" customWidth="1"/>
    <col min="5209" max="5209" width="1.140625" style="149" customWidth="1"/>
    <col min="5210" max="5210" width="1.42578125" style="149" customWidth="1"/>
    <col min="5211" max="5211" width="13.140625" style="149"/>
    <col min="5212" max="5212" width="1.42578125" style="149" customWidth="1"/>
    <col min="5213" max="5213" width="0.140625" style="149" customWidth="1"/>
    <col min="5214" max="5214" width="0.5703125" style="149" customWidth="1"/>
    <col min="5215" max="5215" width="1.28515625" style="149" customWidth="1"/>
    <col min="5216" max="5216" width="13.140625" style="149"/>
    <col min="5217" max="5217" width="1.140625" style="149" customWidth="1"/>
    <col min="5218" max="5218" width="1.28515625" style="149" customWidth="1"/>
    <col min="5219" max="5219" width="0.85546875" style="149" customWidth="1"/>
    <col min="5220" max="5220" width="1.140625" style="149" customWidth="1"/>
    <col min="5221" max="5221" width="13.140625" style="149"/>
    <col min="5222" max="5222" width="1.140625" style="149" customWidth="1"/>
    <col min="5223" max="5223" width="1" style="149" customWidth="1"/>
    <col min="5224" max="5224" width="1.28515625" style="149" customWidth="1"/>
    <col min="5225" max="5225" width="1" style="149" customWidth="1"/>
    <col min="5226" max="5226" width="13.140625" style="149"/>
    <col min="5227" max="5228" width="1.140625" style="149" customWidth="1"/>
    <col min="5229" max="5229" width="0.5703125" style="149" customWidth="1"/>
    <col min="5230" max="5230" width="1.5703125" style="149" customWidth="1"/>
    <col min="5231" max="5310" width="13.140625" style="149"/>
    <col min="5311" max="5312" width="2.85546875" style="149" customWidth="1"/>
    <col min="5313" max="5376" width="13.140625" style="149"/>
    <col min="5377" max="5377" width="28.42578125" style="149" customWidth="1"/>
    <col min="5378" max="5378" width="11.5703125" style="149" bestFit="1" customWidth="1"/>
    <col min="5379" max="5379" width="69.42578125" style="149" bestFit="1" customWidth="1"/>
    <col min="5380" max="5380" width="30.85546875" style="149" bestFit="1" customWidth="1"/>
    <col min="5381" max="5381" width="37.5703125" style="149" bestFit="1" customWidth="1"/>
    <col min="5382" max="5382" width="74.85546875" style="149" customWidth="1"/>
    <col min="5383" max="5383" width="30.85546875" style="149" bestFit="1" customWidth="1"/>
    <col min="5384" max="5384" width="35.85546875" style="149" bestFit="1" customWidth="1"/>
    <col min="5385" max="5420" width="13.140625" style="149" customWidth="1"/>
    <col min="5421" max="5421" width="8.140625" style="149" customWidth="1"/>
    <col min="5422" max="5422" width="15.28515625" style="149" customWidth="1"/>
    <col min="5423" max="5423" width="1.7109375" style="149" customWidth="1"/>
    <col min="5424" max="5425" width="1.140625" style="149" customWidth="1"/>
    <col min="5426" max="5426" width="1" style="149" customWidth="1"/>
    <col min="5427" max="5427" width="13.140625" style="149"/>
    <col min="5428" max="5431" width="1.140625" style="149" customWidth="1"/>
    <col min="5432" max="5432" width="13.140625" style="149"/>
    <col min="5433" max="5433" width="1" style="149" customWidth="1"/>
    <col min="5434" max="5434" width="0.28515625" style="149" customWidth="1"/>
    <col min="5435" max="5435" width="1.140625" style="149" customWidth="1"/>
    <col min="5436" max="5436" width="0.7109375" style="149" customWidth="1"/>
    <col min="5437" max="5437" width="13.140625" style="149"/>
    <col min="5438" max="5440" width="1.140625" style="149" customWidth="1"/>
    <col min="5441" max="5441" width="1.28515625" style="149" customWidth="1"/>
    <col min="5442" max="5442" width="10.28515625" style="149" customWidth="1"/>
    <col min="5443" max="5443" width="1.85546875" style="149" customWidth="1"/>
    <col min="5444" max="5444" width="0.5703125" style="149" customWidth="1"/>
    <col min="5445" max="5446" width="1.5703125" style="149" customWidth="1"/>
    <col min="5447" max="5447" width="22.140625" style="149" customWidth="1"/>
    <col min="5448" max="5448" width="1.42578125" style="149" customWidth="1"/>
    <col min="5449" max="5449" width="1.5703125" style="149" customWidth="1"/>
    <col min="5450" max="5450" width="1.7109375" style="149" customWidth="1"/>
    <col min="5451" max="5451" width="1.85546875" style="149" customWidth="1"/>
    <col min="5452" max="5452" width="13.140625" style="149"/>
    <col min="5453" max="5454" width="1.42578125" style="149" customWidth="1"/>
    <col min="5455" max="5455" width="0.85546875" style="149" customWidth="1"/>
    <col min="5456" max="5456" width="1.5703125" style="149" customWidth="1"/>
    <col min="5457" max="5457" width="13.140625" style="149"/>
    <col min="5458" max="5458" width="1.42578125" style="149" customWidth="1"/>
    <col min="5459" max="5460" width="1.7109375" style="149" customWidth="1"/>
    <col min="5461" max="5461" width="1.42578125" style="149" customWidth="1"/>
    <col min="5462" max="5462" width="13.140625" style="149"/>
    <col min="5463" max="5463" width="1" style="149" customWidth="1"/>
    <col min="5464" max="5464" width="0.85546875" style="149" customWidth="1"/>
    <col min="5465" max="5465" width="1.140625" style="149" customWidth="1"/>
    <col min="5466" max="5466" width="1.42578125" style="149" customWidth="1"/>
    <col min="5467" max="5467" width="13.140625" style="149"/>
    <col min="5468" max="5468" width="1.42578125" style="149" customWidth="1"/>
    <col min="5469" max="5469" width="0.140625" style="149" customWidth="1"/>
    <col min="5470" max="5470" width="0.5703125" style="149" customWidth="1"/>
    <col min="5471" max="5471" width="1.28515625" style="149" customWidth="1"/>
    <col min="5472" max="5472" width="13.140625" style="149"/>
    <col min="5473" max="5473" width="1.140625" style="149" customWidth="1"/>
    <col min="5474" max="5474" width="1.28515625" style="149" customWidth="1"/>
    <col min="5475" max="5475" width="0.85546875" style="149" customWidth="1"/>
    <col min="5476" max="5476" width="1.140625" style="149" customWidth="1"/>
    <col min="5477" max="5477" width="13.140625" style="149"/>
    <col min="5478" max="5478" width="1.140625" style="149" customWidth="1"/>
    <col min="5479" max="5479" width="1" style="149" customWidth="1"/>
    <col min="5480" max="5480" width="1.28515625" style="149" customWidth="1"/>
    <col min="5481" max="5481" width="1" style="149" customWidth="1"/>
    <col min="5482" max="5482" width="13.140625" style="149"/>
    <col min="5483" max="5484" width="1.140625" style="149" customWidth="1"/>
    <col min="5485" max="5485" width="0.5703125" style="149" customWidth="1"/>
    <col min="5486" max="5486" width="1.5703125" style="149" customWidth="1"/>
    <col min="5487" max="5566" width="13.140625" style="149"/>
    <col min="5567" max="5568" width="2.85546875" style="149" customWidth="1"/>
    <col min="5569" max="5632" width="13.140625" style="149"/>
    <col min="5633" max="5633" width="28.42578125" style="149" customWidth="1"/>
    <col min="5634" max="5634" width="11.5703125" style="149" bestFit="1" customWidth="1"/>
    <col min="5635" max="5635" width="69.42578125" style="149" bestFit="1" customWidth="1"/>
    <col min="5636" max="5636" width="30.85546875" style="149" bestFit="1" customWidth="1"/>
    <col min="5637" max="5637" width="37.5703125" style="149" bestFit="1" customWidth="1"/>
    <col min="5638" max="5638" width="74.85546875" style="149" customWidth="1"/>
    <col min="5639" max="5639" width="30.85546875" style="149" bestFit="1" customWidth="1"/>
    <col min="5640" max="5640" width="35.85546875" style="149" bestFit="1" customWidth="1"/>
    <col min="5641" max="5676" width="13.140625" style="149" customWidth="1"/>
    <col min="5677" max="5677" width="8.140625" style="149" customWidth="1"/>
    <col min="5678" max="5678" width="15.28515625" style="149" customWidth="1"/>
    <col min="5679" max="5679" width="1.7109375" style="149" customWidth="1"/>
    <col min="5680" max="5681" width="1.140625" style="149" customWidth="1"/>
    <col min="5682" max="5682" width="1" style="149" customWidth="1"/>
    <col min="5683" max="5683" width="13.140625" style="149"/>
    <col min="5684" max="5687" width="1.140625" style="149" customWidth="1"/>
    <col min="5688" max="5688" width="13.140625" style="149"/>
    <col min="5689" max="5689" width="1" style="149" customWidth="1"/>
    <col min="5690" max="5690" width="0.28515625" style="149" customWidth="1"/>
    <col min="5691" max="5691" width="1.140625" style="149" customWidth="1"/>
    <col min="5692" max="5692" width="0.7109375" style="149" customWidth="1"/>
    <col min="5693" max="5693" width="13.140625" style="149"/>
    <col min="5694" max="5696" width="1.140625" style="149" customWidth="1"/>
    <col min="5697" max="5697" width="1.28515625" style="149" customWidth="1"/>
    <col min="5698" max="5698" width="10.28515625" style="149" customWidth="1"/>
    <col min="5699" max="5699" width="1.85546875" style="149" customWidth="1"/>
    <col min="5700" max="5700" width="0.5703125" style="149" customWidth="1"/>
    <col min="5701" max="5702" width="1.5703125" style="149" customWidth="1"/>
    <col min="5703" max="5703" width="22.140625" style="149" customWidth="1"/>
    <col min="5704" max="5704" width="1.42578125" style="149" customWidth="1"/>
    <col min="5705" max="5705" width="1.5703125" style="149" customWidth="1"/>
    <col min="5706" max="5706" width="1.7109375" style="149" customWidth="1"/>
    <col min="5707" max="5707" width="1.85546875" style="149" customWidth="1"/>
    <col min="5708" max="5708" width="13.140625" style="149"/>
    <col min="5709" max="5710" width="1.42578125" style="149" customWidth="1"/>
    <col min="5711" max="5711" width="0.85546875" style="149" customWidth="1"/>
    <col min="5712" max="5712" width="1.5703125" style="149" customWidth="1"/>
    <col min="5713" max="5713" width="13.140625" style="149"/>
    <col min="5714" max="5714" width="1.42578125" style="149" customWidth="1"/>
    <col min="5715" max="5716" width="1.7109375" style="149" customWidth="1"/>
    <col min="5717" max="5717" width="1.42578125" style="149" customWidth="1"/>
    <col min="5718" max="5718" width="13.140625" style="149"/>
    <col min="5719" max="5719" width="1" style="149" customWidth="1"/>
    <col min="5720" max="5720" width="0.85546875" style="149" customWidth="1"/>
    <col min="5721" max="5721" width="1.140625" style="149" customWidth="1"/>
    <col min="5722" max="5722" width="1.42578125" style="149" customWidth="1"/>
    <col min="5723" max="5723" width="13.140625" style="149"/>
    <col min="5724" max="5724" width="1.42578125" style="149" customWidth="1"/>
    <col min="5725" max="5725" width="0.140625" style="149" customWidth="1"/>
    <col min="5726" max="5726" width="0.5703125" style="149" customWidth="1"/>
    <col min="5727" max="5727" width="1.28515625" style="149" customWidth="1"/>
    <col min="5728" max="5728" width="13.140625" style="149"/>
    <col min="5729" max="5729" width="1.140625" style="149" customWidth="1"/>
    <col min="5730" max="5730" width="1.28515625" style="149" customWidth="1"/>
    <col min="5731" max="5731" width="0.85546875" style="149" customWidth="1"/>
    <col min="5732" max="5732" width="1.140625" style="149" customWidth="1"/>
    <col min="5733" max="5733" width="13.140625" style="149"/>
    <col min="5734" max="5734" width="1.140625" style="149" customWidth="1"/>
    <col min="5735" max="5735" width="1" style="149" customWidth="1"/>
    <col min="5736" max="5736" width="1.28515625" style="149" customWidth="1"/>
    <col min="5737" max="5737" width="1" style="149" customWidth="1"/>
    <col min="5738" max="5738" width="13.140625" style="149"/>
    <col min="5739" max="5740" width="1.140625" style="149" customWidth="1"/>
    <col min="5741" max="5741" width="0.5703125" style="149" customWidth="1"/>
    <col min="5742" max="5742" width="1.5703125" style="149" customWidth="1"/>
    <col min="5743" max="5822" width="13.140625" style="149"/>
    <col min="5823" max="5824" width="2.85546875" style="149" customWidth="1"/>
    <col min="5825" max="5888" width="13.140625" style="149"/>
    <col min="5889" max="5889" width="28.42578125" style="149" customWidth="1"/>
    <col min="5890" max="5890" width="11.5703125" style="149" bestFit="1" customWidth="1"/>
    <col min="5891" max="5891" width="69.42578125" style="149" bestFit="1" customWidth="1"/>
    <col min="5892" max="5892" width="30.85546875" style="149" bestFit="1" customWidth="1"/>
    <col min="5893" max="5893" width="37.5703125" style="149" bestFit="1" customWidth="1"/>
    <col min="5894" max="5894" width="74.85546875" style="149" customWidth="1"/>
    <col min="5895" max="5895" width="30.85546875" style="149" bestFit="1" customWidth="1"/>
    <col min="5896" max="5896" width="35.85546875" style="149" bestFit="1" customWidth="1"/>
    <col min="5897" max="5932" width="13.140625" style="149" customWidth="1"/>
    <col min="5933" max="5933" width="8.140625" style="149" customWidth="1"/>
    <col min="5934" max="5934" width="15.28515625" style="149" customWidth="1"/>
    <col min="5935" max="5935" width="1.7109375" style="149" customWidth="1"/>
    <col min="5936" max="5937" width="1.140625" style="149" customWidth="1"/>
    <col min="5938" max="5938" width="1" style="149" customWidth="1"/>
    <col min="5939" max="5939" width="13.140625" style="149"/>
    <col min="5940" max="5943" width="1.140625" style="149" customWidth="1"/>
    <col min="5944" max="5944" width="13.140625" style="149"/>
    <col min="5945" max="5945" width="1" style="149" customWidth="1"/>
    <col min="5946" max="5946" width="0.28515625" style="149" customWidth="1"/>
    <col min="5947" max="5947" width="1.140625" style="149" customWidth="1"/>
    <col min="5948" max="5948" width="0.7109375" style="149" customWidth="1"/>
    <col min="5949" max="5949" width="13.140625" style="149"/>
    <col min="5950" max="5952" width="1.140625" style="149" customWidth="1"/>
    <col min="5953" max="5953" width="1.28515625" style="149" customWidth="1"/>
    <col min="5954" max="5954" width="10.28515625" style="149" customWidth="1"/>
    <col min="5955" max="5955" width="1.85546875" style="149" customWidth="1"/>
    <col min="5956" max="5956" width="0.5703125" style="149" customWidth="1"/>
    <col min="5957" max="5958" width="1.5703125" style="149" customWidth="1"/>
    <col min="5959" max="5959" width="22.140625" style="149" customWidth="1"/>
    <col min="5960" max="5960" width="1.42578125" style="149" customWidth="1"/>
    <col min="5961" max="5961" width="1.5703125" style="149" customWidth="1"/>
    <col min="5962" max="5962" width="1.7109375" style="149" customWidth="1"/>
    <col min="5963" max="5963" width="1.85546875" style="149" customWidth="1"/>
    <col min="5964" max="5964" width="13.140625" style="149"/>
    <col min="5965" max="5966" width="1.42578125" style="149" customWidth="1"/>
    <col min="5967" max="5967" width="0.85546875" style="149" customWidth="1"/>
    <col min="5968" max="5968" width="1.5703125" style="149" customWidth="1"/>
    <col min="5969" max="5969" width="13.140625" style="149"/>
    <col min="5970" max="5970" width="1.42578125" style="149" customWidth="1"/>
    <col min="5971" max="5972" width="1.7109375" style="149" customWidth="1"/>
    <col min="5973" max="5973" width="1.42578125" style="149" customWidth="1"/>
    <col min="5974" max="5974" width="13.140625" style="149"/>
    <col min="5975" max="5975" width="1" style="149" customWidth="1"/>
    <col min="5976" max="5976" width="0.85546875" style="149" customWidth="1"/>
    <col min="5977" max="5977" width="1.140625" style="149" customWidth="1"/>
    <col min="5978" max="5978" width="1.42578125" style="149" customWidth="1"/>
    <col min="5979" max="5979" width="13.140625" style="149"/>
    <col min="5980" max="5980" width="1.42578125" style="149" customWidth="1"/>
    <col min="5981" max="5981" width="0.140625" style="149" customWidth="1"/>
    <col min="5982" max="5982" width="0.5703125" style="149" customWidth="1"/>
    <col min="5983" max="5983" width="1.28515625" style="149" customWidth="1"/>
    <col min="5984" max="5984" width="13.140625" style="149"/>
    <col min="5985" max="5985" width="1.140625" style="149" customWidth="1"/>
    <col min="5986" max="5986" width="1.28515625" style="149" customWidth="1"/>
    <col min="5987" max="5987" width="0.85546875" style="149" customWidth="1"/>
    <col min="5988" max="5988" width="1.140625" style="149" customWidth="1"/>
    <col min="5989" max="5989" width="13.140625" style="149"/>
    <col min="5990" max="5990" width="1.140625" style="149" customWidth="1"/>
    <col min="5991" max="5991" width="1" style="149" customWidth="1"/>
    <col min="5992" max="5992" width="1.28515625" style="149" customWidth="1"/>
    <col min="5993" max="5993" width="1" style="149" customWidth="1"/>
    <col min="5994" max="5994" width="13.140625" style="149"/>
    <col min="5995" max="5996" width="1.140625" style="149" customWidth="1"/>
    <col min="5997" max="5997" width="0.5703125" style="149" customWidth="1"/>
    <col min="5998" max="5998" width="1.5703125" style="149" customWidth="1"/>
    <col min="5999" max="6078" width="13.140625" style="149"/>
    <col min="6079" max="6080" width="2.85546875" style="149" customWidth="1"/>
    <col min="6081" max="6144" width="13.140625" style="149"/>
    <col min="6145" max="6145" width="28.42578125" style="149" customWidth="1"/>
    <col min="6146" max="6146" width="11.5703125" style="149" bestFit="1" customWidth="1"/>
    <col min="6147" max="6147" width="69.42578125" style="149" bestFit="1" customWidth="1"/>
    <col min="6148" max="6148" width="30.85546875" style="149" bestFit="1" customWidth="1"/>
    <col min="6149" max="6149" width="37.5703125" style="149" bestFit="1" customWidth="1"/>
    <col min="6150" max="6150" width="74.85546875" style="149" customWidth="1"/>
    <col min="6151" max="6151" width="30.85546875" style="149" bestFit="1" customWidth="1"/>
    <col min="6152" max="6152" width="35.85546875" style="149" bestFit="1" customWidth="1"/>
    <col min="6153" max="6188" width="13.140625" style="149" customWidth="1"/>
    <col min="6189" max="6189" width="8.140625" style="149" customWidth="1"/>
    <col min="6190" max="6190" width="15.28515625" style="149" customWidth="1"/>
    <col min="6191" max="6191" width="1.7109375" style="149" customWidth="1"/>
    <col min="6192" max="6193" width="1.140625" style="149" customWidth="1"/>
    <col min="6194" max="6194" width="1" style="149" customWidth="1"/>
    <col min="6195" max="6195" width="13.140625" style="149"/>
    <col min="6196" max="6199" width="1.140625" style="149" customWidth="1"/>
    <col min="6200" max="6200" width="13.140625" style="149"/>
    <col min="6201" max="6201" width="1" style="149" customWidth="1"/>
    <col min="6202" max="6202" width="0.28515625" style="149" customWidth="1"/>
    <col min="6203" max="6203" width="1.140625" style="149" customWidth="1"/>
    <col min="6204" max="6204" width="0.7109375" style="149" customWidth="1"/>
    <col min="6205" max="6205" width="13.140625" style="149"/>
    <col min="6206" max="6208" width="1.140625" style="149" customWidth="1"/>
    <col min="6209" max="6209" width="1.28515625" style="149" customWidth="1"/>
    <col min="6210" max="6210" width="10.28515625" style="149" customWidth="1"/>
    <col min="6211" max="6211" width="1.85546875" style="149" customWidth="1"/>
    <col min="6212" max="6212" width="0.5703125" style="149" customWidth="1"/>
    <col min="6213" max="6214" width="1.5703125" style="149" customWidth="1"/>
    <col min="6215" max="6215" width="22.140625" style="149" customWidth="1"/>
    <col min="6216" max="6216" width="1.42578125" style="149" customWidth="1"/>
    <col min="6217" max="6217" width="1.5703125" style="149" customWidth="1"/>
    <col min="6218" max="6218" width="1.7109375" style="149" customWidth="1"/>
    <col min="6219" max="6219" width="1.85546875" style="149" customWidth="1"/>
    <col min="6220" max="6220" width="13.140625" style="149"/>
    <col min="6221" max="6222" width="1.42578125" style="149" customWidth="1"/>
    <col min="6223" max="6223" width="0.85546875" style="149" customWidth="1"/>
    <col min="6224" max="6224" width="1.5703125" style="149" customWidth="1"/>
    <col min="6225" max="6225" width="13.140625" style="149"/>
    <col min="6226" max="6226" width="1.42578125" style="149" customWidth="1"/>
    <col min="6227" max="6228" width="1.7109375" style="149" customWidth="1"/>
    <col min="6229" max="6229" width="1.42578125" style="149" customWidth="1"/>
    <col min="6230" max="6230" width="13.140625" style="149"/>
    <col min="6231" max="6231" width="1" style="149" customWidth="1"/>
    <col min="6232" max="6232" width="0.85546875" style="149" customWidth="1"/>
    <col min="6233" max="6233" width="1.140625" style="149" customWidth="1"/>
    <col min="6234" max="6234" width="1.42578125" style="149" customWidth="1"/>
    <col min="6235" max="6235" width="13.140625" style="149"/>
    <col min="6236" max="6236" width="1.42578125" style="149" customWidth="1"/>
    <col min="6237" max="6237" width="0.140625" style="149" customWidth="1"/>
    <col min="6238" max="6238" width="0.5703125" style="149" customWidth="1"/>
    <col min="6239" max="6239" width="1.28515625" style="149" customWidth="1"/>
    <col min="6240" max="6240" width="13.140625" style="149"/>
    <col min="6241" max="6241" width="1.140625" style="149" customWidth="1"/>
    <col min="6242" max="6242" width="1.28515625" style="149" customWidth="1"/>
    <col min="6243" max="6243" width="0.85546875" style="149" customWidth="1"/>
    <col min="6244" max="6244" width="1.140625" style="149" customWidth="1"/>
    <col min="6245" max="6245" width="13.140625" style="149"/>
    <col min="6246" max="6246" width="1.140625" style="149" customWidth="1"/>
    <col min="6247" max="6247" width="1" style="149" customWidth="1"/>
    <col min="6248" max="6248" width="1.28515625" style="149" customWidth="1"/>
    <col min="6249" max="6249" width="1" style="149" customWidth="1"/>
    <col min="6250" max="6250" width="13.140625" style="149"/>
    <col min="6251" max="6252" width="1.140625" style="149" customWidth="1"/>
    <col min="6253" max="6253" width="0.5703125" style="149" customWidth="1"/>
    <col min="6254" max="6254" width="1.5703125" style="149" customWidth="1"/>
    <col min="6255" max="6334" width="13.140625" style="149"/>
    <col min="6335" max="6336" width="2.85546875" style="149" customWidth="1"/>
    <col min="6337" max="6400" width="13.140625" style="149"/>
    <col min="6401" max="6401" width="28.42578125" style="149" customWidth="1"/>
    <col min="6402" max="6402" width="11.5703125" style="149" bestFit="1" customWidth="1"/>
    <col min="6403" max="6403" width="69.42578125" style="149" bestFit="1" customWidth="1"/>
    <col min="6404" max="6404" width="30.85546875" style="149" bestFit="1" customWidth="1"/>
    <col min="6405" max="6405" width="37.5703125" style="149" bestFit="1" customWidth="1"/>
    <col min="6406" max="6406" width="74.85546875" style="149" customWidth="1"/>
    <col min="6407" max="6407" width="30.85546875" style="149" bestFit="1" customWidth="1"/>
    <col min="6408" max="6408" width="35.85546875" style="149" bestFit="1" customWidth="1"/>
    <col min="6409" max="6444" width="13.140625" style="149" customWidth="1"/>
    <col min="6445" max="6445" width="8.140625" style="149" customWidth="1"/>
    <col min="6446" max="6446" width="15.28515625" style="149" customWidth="1"/>
    <col min="6447" max="6447" width="1.7109375" style="149" customWidth="1"/>
    <col min="6448" max="6449" width="1.140625" style="149" customWidth="1"/>
    <col min="6450" max="6450" width="1" style="149" customWidth="1"/>
    <col min="6451" max="6451" width="13.140625" style="149"/>
    <col min="6452" max="6455" width="1.140625" style="149" customWidth="1"/>
    <col min="6456" max="6456" width="13.140625" style="149"/>
    <col min="6457" max="6457" width="1" style="149" customWidth="1"/>
    <col min="6458" max="6458" width="0.28515625" style="149" customWidth="1"/>
    <col min="6459" max="6459" width="1.140625" style="149" customWidth="1"/>
    <col min="6460" max="6460" width="0.7109375" style="149" customWidth="1"/>
    <col min="6461" max="6461" width="13.140625" style="149"/>
    <col min="6462" max="6464" width="1.140625" style="149" customWidth="1"/>
    <col min="6465" max="6465" width="1.28515625" style="149" customWidth="1"/>
    <col min="6466" max="6466" width="10.28515625" style="149" customWidth="1"/>
    <col min="6467" max="6467" width="1.85546875" style="149" customWidth="1"/>
    <col min="6468" max="6468" width="0.5703125" style="149" customWidth="1"/>
    <col min="6469" max="6470" width="1.5703125" style="149" customWidth="1"/>
    <col min="6471" max="6471" width="22.140625" style="149" customWidth="1"/>
    <col min="6472" max="6472" width="1.42578125" style="149" customWidth="1"/>
    <col min="6473" max="6473" width="1.5703125" style="149" customWidth="1"/>
    <col min="6474" max="6474" width="1.7109375" style="149" customWidth="1"/>
    <col min="6475" max="6475" width="1.85546875" style="149" customWidth="1"/>
    <col min="6476" max="6476" width="13.140625" style="149"/>
    <col min="6477" max="6478" width="1.42578125" style="149" customWidth="1"/>
    <col min="6479" max="6479" width="0.85546875" style="149" customWidth="1"/>
    <col min="6480" max="6480" width="1.5703125" style="149" customWidth="1"/>
    <col min="6481" max="6481" width="13.140625" style="149"/>
    <col min="6482" max="6482" width="1.42578125" style="149" customWidth="1"/>
    <col min="6483" max="6484" width="1.7109375" style="149" customWidth="1"/>
    <col min="6485" max="6485" width="1.42578125" style="149" customWidth="1"/>
    <col min="6486" max="6486" width="13.140625" style="149"/>
    <col min="6487" max="6487" width="1" style="149" customWidth="1"/>
    <col min="6488" max="6488" width="0.85546875" style="149" customWidth="1"/>
    <col min="6489" max="6489" width="1.140625" style="149" customWidth="1"/>
    <col min="6490" max="6490" width="1.42578125" style="149" customWidth="1"/>
    <col min="6491" max="6491" width="13.140625" style="149"/>
    <col min="6492" max="6492" width="1.42578125" style="149" customWidth="1"/>
    <col min="6493" max="6493" width="0.140625" style="149" customWidth="1"/>
    <col min="6494" max="6494" width="0.5703125" style="149" customWidth="1"/>
    <col min="6495" max="6495" width="1.28515625" style="149" customWidth="1"/>
    <col min="6496" max="6496" width="13.140625" style="149"/>
    <col min="6497" max="6497" width="1.140625" style="149" customWidth="1"/>
    <col min="6498" max="6498" width="1.28515625" style="149" customWidth="1"/>
    <col min="6499" max="6499" width="0.85546875" style="149" customWidth="1"/>
    <col min="6500" max="6500" width="1.140625" style="149" customWidth="1"/>
    <col min="6501" max="6501" width="13.140625" style="149"/>
    <col min="6502" max="6502" width="1.140625" style="149" customWidth="1"/>
    <col min="6503" max="6503" width="1" style="149" customWidth="1"/>
    <col min="6504" max="6504" width="1.28515625" style="149" customWidth="1"/>
    <col min="6505" max="6505" width="1" style="149" customWidth="1"/>
    <col min="6506" max="6506" width="13.140625" style="149"/>
    <col min="6507" max="6508" width="1.140625" style="149" customWidth="1"/>
    <col min="6509" max="6509" width="0.5703125" style="149" customWidth="1"/>
    <col min="6510" max="6510" width="1.5703125" style="149" customWidth="1"/>
    <col min="6511" max="6590" width="13.140625" style="149"/>
    <col min="6591" max="6592" width="2.85546875" style="149" customWidth="1"/>
    <col min="6593" max="6656" width="13.140625" style="149"/>
    <col min="6657" max="6657" width="28.42578125" style="149" customWidth="1"/>
    <col min="6658" max="6658" width="11.5703125" style="149" bestFit="1" customWidth="1"/>
    <col min="6659" max="6659" width="69.42578125" style="149" bestFit="1" customWidth="1"/>
    <col min="6660" max="6660" width="30.85546875" style="149" bestFit="1" customWidth="1"/>
    <col min="6661" max="6661" width="37.5703125" style="149" bestFit="1" customWidth="1"/>
    <col min="6662" max="6662" width="74.85546875" style="149" customWidth="1"/>
    <col min="6663" max="6663" width="30.85546875" style="149" bestFit="1" customWidth="1"/>
    <col min="6664" max="6664" width="35.85546875" style="149" bestFit="1" customWidth="1"/>
    <col min="6665" max="6700" width="13.140625" style="149" customWidth="1"/>
    <col min="6701" max="6701" width="8.140625" style="149" customWidth="1"/>
    <col min="6702" max="6702" width="15.28515625" style="149" customWidth="1"/>
    <col min="6703" max="6703" width="1.7109375" style="149" customWidth="1"/>
    <col min="6704" max="6705" width="1.140625" style="149" customWidth="1"/>
    <col min="6706" max="6706" width="1" style="149" customWidth="1"/>
    <col min="6707" max="6707" width="13.140625" style="149"/>
    <col min="6708" max="6711" width="1.140625" style="149" customWidth="1"/>
    <col min="6712" max="6712" width="13.140625" style="149"/>
    <col min="6713" max="6713" width="1" style="149" customWidth="1"/>
    <col min="6714" max="6714" width="0.28515625" style="149" customWidth="1"/>
    <col min="6715" max="6715" width="1.140625" style="149" customWidth="1"/>
    <col min="6716" max="6716" width="0.7109375" style="149" customWidth="1"/>
    <col min="6717" max="6717" width="13.140625" style="149"/>
    <col min="6718" max="6720" width="1.140625" style="149" customWidth="1"/>
    <col min="6721" max="6721" width="1.28515625" style="149" customWidth="1"/>
    <col min="6722" max="6722" width="10.28515625" style="149" customWidth="1"/>
    <col min="6723" max="6723" width="1.85546875" style="149" customWidth="1"/>
    <col min="6724" max="6724" width="0.5703125" style="149" customWidth="1"/>
    <col min="6725" max="6726" width="1.5703125" style="149" customWidth="1"/>
    <col min="6727" max="6727" width="22.140625" style="149" customWidth="1"/>
    <col min="6728" max="6728" width="1.42578125" style="149" customWidth="1"/>
    <col min="6729" max="6729" width="1.5703125" style="149" customWidth="1"/>
    <col min="6730" max="6730" width="1.7109375" style="149" customWidth="1"/>
    <col min="6731" max="6731" width="1.85546875" style="149" customWidth="1"/>
    <col min="6732" max="6732" width="13.140625" style="149"/>
    <col min="6733" max="6734" width="1.42578125" style="149" customWidth="1"/>
    <col min="6735" max="6735" width="0.85546875" style="149" customWidth="1"/>
    <col min="6736" max="6736" width="1.5703125" style="149" customWidth="1"/>
    <col min="6737" max="6737" width="13.140625" style="149"/>
    <col min="6738" max="6738" width="1.42578125" style="149" customWidth="1"/>
    <col min="6739" max="6740" width="1.7109375" style="149" customWidth="1"/>
    <col min="6741" max="6741" width="1.42578125" style="149" customWidth="1"/>
    <col min="6742" max="6742" width="13.140625" style="149"/>
    <col min="6743" max="6743" width="1" style="149" customWidth="1"/>
    <col min="6744" max="6744" width="0.85546875" style="149" customWidth="1"/>
    <col min="6745" max="6745" width="1.140625" style="149" customWidth="1"/>
    <col min="6746" max="6746" width="1.42578125" style="149" customWidth="1"/>
    <col min="6747" max="6747" width="13.140625" style="149"/>
    <col min="6748" max="6748" width="1.42578125" style="149" customWidth="1"/>
    <col min="6749" max="6749" width="0.140625" style="149" customWidth="1"/>
    <col min="6750" max="6750" width="0.5703125" style="149" customWidth="1"/>
    <col min="6751" max="6751" width="1.28515625" style="149" customWidth="1"/>
    <col min="6752" max="6752" width="13.140625" style="149"/>
    <col min="6753" max="6753" width="1.140625" style="149" customWidth="1"/>
    <col min="6754" max="6754" width="1.28515625" style="149" customWidth="1"/>
    <col min="6755" max="6755" width="0.85546875" style="149" customWidth="1"/>
    <col min="6756" max="6756" width="1.140625" style="149" customWidth="1"/>
    <col min="6757" max="6757" width="13.140625" style="149"/>
    <col min="6758" max="6758" width="1.140625" style="149" customWidth="1"/>
    <col min="6759" max="6759" width="1" style="149" customWidth="1"/>
    <col min="6760" max="6760" width="1.28515625" style="149" customWidth="1"/>
    <col min="6761" max="6761" width="1" style="149" customWidth="1"/>
    <col min="6762" max="6762" width="13.140625" style="149"/>
    <col min="6763" max="6764" width="1.140625" style="149" customWidth="1"/>
    <col min="6765" max="6765" width="0.5703125" style="149" customWidth="1"/>
    <col min="6766" max="6766" width="1.5703125" style="149" customWidth="1"/>
    <col min="6767" max="6846" width="13.140625" style="149"/>
    <col min="6847" max="6848" width="2.85546875" style="149" customWidth="1"/>
    <col min="6849" max="6912" width="13.140625" style="149"/>
    <col min="6913" max="6913" width="28.42578125" style="149" customWidth="1"/>
    <col min="6914" max="6914" width="11.5703125" style="149" bestFit="1" customWidth="1"/>
    <col min="6915" max="6915" width="69.42578125" style="149" bestFit="1" customWidth="1"/>
    <col min="6916" max="6916" width="30.85546875" style="149" bestFit="1" customWidth="1"/>
    <col min="6917" max="6917" width="37.5703125" style="149" bestFit="1" customWidth="1"/>
    <col min="6918" max="6918" width="74.85546875" style="149" customWidth="1"/>
    <col min="6919" max="6919" width="30.85546875" style="149" bestFit="1" customWidth="1"/>
    <col min="6920" max="6920" width="35.85546875" style="149" bestFit="1" customWidth="1"/>
    <col min="6921" max="6956" width="13.140625" style="149" customWidth="1"/>
    <col min="6957" max="6957" width="8.140625" style="149" customWidth="1"/>
    <col min="6958" max="6958" width="15.28515625" style="149" customWidth="1"/>
    <col min="6959" max="6959" width="1.7109375" style="149" customWidth="1"/>
    <col min="6960" max="6961" width="1.140625" style="149" customWidth="1"/>
    <col min="6962" max="6962" width="1" style="149" customWidth="1"/>
    <col min="6963" max="6963" width="13.140625" style="149"/>
    <col min="6964" max="6967" width="1.140625" style="149" customWidth="1"/>
    <col min="6968" max="6968" width="13.140625" style="149"/>
    <col min="6969" max="6969" width="1" style="149" customWidth="1"/>
    <col min="6970" max="6970" width="0.28515625" style="149" customWidth="1"/>
    <col min="6971" max="6971" width="1.140625" style="149" customWidth="1"/>
    <col min="6972" max="6972" width="0.7109375" style="149" customWidth="1"/>
    <col min="6973" max="6973" width="13.140625" style="149"/>
    <col min="6974" max="6976" width="1.140625" style="149" customWidth="1"/>
    <col min="6977" max="6977" width="1.28515625" style="149" customWidth="1"/>
    <col min="6978" max="6978" width="10.28515625" style="149" customWidth="1"/>
    <col min="6979" max="6979" width="1.85546875" style="149" customWidth="1"/>
    <col min="6980" max="6980" width="0.5703125" style="149" customWidth="1"/>
    <col min="6981" max="6982" width="1.5703125" style="149" customWidth="1"/>
    <col min="6983" max="6983" width="22.140625" style="149" customWidth="1"/>
    <col min="6984" max="6984" width="1.42578125" style="149" customWidth="1"/>
    <col min="6985" max="6985" width="1.5703125" style="149" customWidth="1"/>
    <col min="6986" max="6986" width="1.7109375" style="149" customWidth="1"/>
    <col min="6987" max="6987" width="1.85546875" style="149" customWidth="1"/>
    <col min="6988" max="6988" width="13.140625" style="149"/>
    <col min="6989" max="6990" width="1.42578125" style="149" customWidth="1"/>
    <col min="6991" max="6991" width="0.85546875" style="149" customWidth="1"/>
    <col min="6992" max="6992" width="1.5703125" style="149" customWidth="1"/>
    <col min="6993" max="6993" width="13.140625" style="149"/>
    <col min="6994" max="6994" width="1.42578125" style="149" customWidth="1"/>
    <col min="6995" max="6996" width="1.7109375" style="149" customWidth="1"/>
    <col min="6997" max="6997" width="1.42578125" style="149" customWidth="1"/>
    <col min="6998" max="6998" width="13.140625" style="149"/>
    <col min="6999" max="6999" width="1" style="149" customWidth="1"/>
    <col min="7000" max="7000" width="0.85546875" style="149" customWidth="1"/>
    <col min="7001" max="7001" width="1.140625" style="149" customWidth="1"/>
    <col min="7002" max="7002" width="1.42578125" style="149" customWidth="1"/>
    <col min="7003" max="7003" width="13.140625" style="149"/>
    <col min="7004" max="7004" width="1.42578125" style="149" customWidth="1"/>
    <col min="7005" max="7005" width="0.140625" style="149" customWidth="1"/>
    <col min="7006" max="7006" width="0.5703125" style="149" customWidth="1"/>
    <col min="7007" max="7007" width="1.28515625" style="149" customWidth="1"/>
    <col min="7008" max="7008" width="13.140625" style="149"/>
    <col min="7009" max="7009" width="1.140625" style="149" customWidth="1"/>
    <col min="7010" max="7010" width="1.28515625" style="149" customWidth="1"/>
    <col min="7011" max="7011" width="0.85546875" style="149" customWidth="1"/>
    <col min="7012" max="7012" width="1.140625" style="149" customWidth="1"/>
    <col min="7013" max="7013" width="13.140625" style="149"/>
    <col min="7014" max="7014" width="1.140625" style="149" customWidth="1"/>
    <col min="7015" max="7015" width="1" style="149" customWidth="1"/>
    <col min="7016" max="7016" width="1.28515625" style="149" customWidth="1"/>
    <col min="7017" max="7017" width="1" style="149" customWidth="1"/>
    <col min="7018" max="7018" width="13.140625" style="149"/>
    <col min="7019" max="7020" width="1.140625" style="149" customWidth="1"/>
    <col min="7021" max="7021" width="0.5703125" style="149" customWidth="1"/>
    <col min="7022" max="7022" width="1.5703125" style="149" customWidth="1"/>
    <col min="7023" max="7102" width="13.140625" style="149"/>
    <col min="7103" max="7104" width="2.85546875" style="149" customWidth="1"/>
    <col min="7105" max="7168" width="13.140625" style="149"/>
    <col min="7169" max="7169" width="28.42578125" style="149" customWidth="1"/>
    <col min="7170" max="7170" width="11.5703125" style="149" bestFit="1" customWidth="1"/>
    <col min="7171" max="7171" width="69.42578125" style="149" bestFit="1" customWidth="1"/>
    <col min="7172" max="7172" width="30.85546875" style="149" bestFit="1" customWidth="1"/>
    <col min="7173" max="7173" width="37.5703125" style="149" bestFit="1" customWidth="1"/>
    <col min="7174" max="7174" width="74.85546875" style="149" customWidth="1"/>
    <col min="7175" max="7175" width="30.85546875" style="149" bestFit="1" customWidth="1"/>
    <col min="7176" max="7176" width="35.85546875" style="149" bestFit="1" customWidth="1"/>
    <col min="7177" max="7212" width="13.140625" style="149" customWidth="1"/>
    <col min="7213" max="7213" width="8.140625" style="149" customWidth="1"/>
    <col min="7214" max="7214" width="15.28515625" style="149" customWidth="1"/>
    <col min="7215" max="7215" width="1.7109375" style="149" customWidth="1"/>
    <col min="7216" max="7217" width="1.140625" style="149" customWidth="1"/>
    <col min="7218" max="7218" width="1" style="149" customWidth="1"/>
    <col min="7219" max="7219" width="13.140625" style="149"/>
    <col min="7220" max="7223" width="1.140625" style="149" customWidth="1"/>
    <col min="7224" max="7224" width="13.140625" style="149"/>
    <col min="7225" max="7225" width="1" style="149" customWidth="1"/>
    <col min="7226" max="7226" width="0.28515625" style="149" customWidth="1"/>
    <col min="7227" max="7227" width="1.140625" style="149" customWidth="1"/>
    <col min="7228" max="7228" width="0.7109375" style="149" customWidth="1"/>
    <col min="7229" max="7229" width="13.140625" style="149"/>
    <col min="7230" max="7232" width="1.140625" style="149" customWidth="1"/>
    <col min="7233" max="7233" width="1.28515625" style="149" customWidth="1"/>
    <col min="7234" max="7234" width="10.28515625" style="149" customWidth="1"/>
    <col min="7235" max="7235" width="1.85546875" style="149" customWidth="1"/>
    <col min="7236" max="7236" width="0.5703125" style="149" customWidth="1"/>
    <col min="7237" max="7238" width="1.5703125" style="149" customWidth="1"/>
    <col min="7239" max="7239" width="22.140625" style="149" customWidth="1"/>
    <col min="7240" max="7240" width="1.42578125" style="149" customWidth="1"/>
    <col min="7241" max="7241" width="1.5703125" style="149" customWidth="1"/>
    <col min="7242" max="7242" width="1.7109375" style="149" customWidth="1"/>
    <col min="7243" max="7243" width="1.85546875" style="149" customWidth="1"/>
    <col min="7244" max="7244" width="13.140625" style="149"/>
    <col min="7245" max="7246" width="1.42578125" style="149" customWidth="1"/>
    <col min="7247" max="7247" width="0.85546875" style="149" customWidth="1"/>
    <col min="7248" max="7248" width="1.5703125" style="149" customWidth="1"/>
    <col min="7249" max="7249" width="13.140625" style="149"/>
    <col min="7250" max="7250" width="1.42578125" style="149" customWidth="1"/>
    <col min="7251" max="7252" width="1.7109375" style="149" customWidth="1"/>
    <col min="7253" max="7253" width="1.42578125" style="149" customWidth="1"/>
    <col min="7254" max="7254" width="13.140625" style="149"/>
    <col min="7255" max="7255" width="1" style="149" customWidth="1"/>
    <col min="7256" max="7256" width="0.85546875" style="149" customWidth="1"/>
    <col min="7257" max="7257" width="1.140625" style="149" customWidth="1"/>
    <col min="7258" max="7258" width="1.42578125" style="149" customWidth="1"/>
    <col min="7259" max="7259" width="13.140625" style="149"/>
    <col min="7260" max="7260" width="1.42578125" style="149" customWidth="1"/>
    <col min="7261" max="7261" width="0.140625" style="149" customWidth="1"/>
    <col min="7262" max="7262" width="0.5703125" style="149" customWidth="1"/>
    <col min="7263" max="7263" width="1.28515625" style="149" customWidth="1"/>
    <col min="7264" max="7264" width="13.140625" style="149"/>
    <col min="7265" max="7265" width="1.140625" style="149" customWidth="1"/>
    <col min="7266" max="7266" width="1.28515625" style="149" customWidth="1"/>
    <col min="7267" max="7267" width="0.85546875" style="149" customWidth="1"/>
    <col min="7268" max="7268" width="1.140625" style="149" customWidth="1"/>
    <col min="7269" max="7269" width="13.140625" style="149"/>
    <col min="7270" max="7270" width="1.140625" style="149" customWidth="1"/>
    <col min="7271" max="7271" width="1" style="149" customWidth="1"/>
    <col min="7272" max="7272" width="1.28515625" style="149" customWidth="1"/>
    <col min="7273" max="7273" width="1" style="149" customWidth="1"/>
    <col min="7274" max="7274" width="13.140625" style="149"/>
    <col min="7275" max="7276" width="1.140625" style="149" customWidth="1"/>
    <col min="7277" max="7277" width="0.5703125" style="149" customWidth="1"/>
    <col min="7278" max="7278" width="1.5703125" style="149" customWidth="1"/>
    <col min="7279" max="7358" width="13.140625" style="149"/>
    <col min="7359" max="7360" width="2.85546875" style="149" customWidth="1"/>
    <col min="7361" max="7424" width="13.140625" style="149"/>
    <col min="7425" max="7425" width="28.42578125" style="149" customWidth="1"/>
    <col min="7426" max="7426" width="11.5703125" style="149" bestFit="1" customWidth="1"/>
    <col min="7427" max="7427" width="69.42578125" style="149" bestFit="1" customWidth="1"/>
    <col min="7428" max="7428" width="30.85546875" style="149" bestFit="1" customWidth="1"/>
    <col min="7429" max="7429" width="37.5703125" style="149" bestFit="1" customWidth="1"/>
    <col min="7430" max="7430" width="74.85546875" style="149" customWidth="1"/>
    <col min="7431" max="7431" width="30.85546875" style="149" bestFit="1" customWidth="1"/>
    <col min="7432" max="7432" width="35.85546875" style="149" bestFit="1" customWidth="1"/>
    <col min="7433" max="7468" width="13.140625" style="149" customWidth="1"/>
    <col min="7469" max="7469" width="8.140625" style="149" customWidth="1"/>
    <col min="7470" max="7470" width="15.28515625" style="149" customWidth="1"/>
    <col min="7471" max="7471" width="1.7109375" style="149" customWidth="1"/>
    <col min="7472" max="7473" width="1.140625" style="149" customWidth="1"/>
    <col min="7474" max="7474" width="1" style="149" customWidth="1"/>
    <col min="7475" max="7475" width="13.140625" style="149"/>
    <col min="7476" max="7479" width="1.140625" style="149" customWidth="1"/>
    <col min="7480" max="7480" width="13.140625" style="149"/>
    <col min="7481" max="7481" width="1" style="149" customWidth="1"/>
    <col min="7482" max="7482" width="0.28515625" style="149" customWidth="1"/>
    <col min="7483" max="7483" width="1.140625" style="149" customWidth="1"/>
    <col min="7484" max="7484" width="0.7109375" style="149" customWidth="1"/>
    <col min="7485" max="7485" width="13.140625" style="149"/>
    <col min="7486" max="7488" width="1.140625" style="149" customWidth="1"/>
    <col min="7489" max="7489" width="1.28515625" style="149" customWidth="1"/>
    <col min="7490" max="7490" width="10.28515625" style="149" customWidth="1"/>
    <col min="7491" max="7491" width="1.85546875" style="149" customWidth="1"/>
    <col min="7492" max="7492" width="0.5703125" style="149" customWidth="1"/>
    <col min="7493" max="7494" width="1.5703125" style="149" customWidth="1"/>
    <col min="7495" max="7495" width="22.140625" style="149" customWidth="1"/>
    <col min="7496" max="7496" width="1.42578125" style="149" customWidth="1"/>
    <col min="7497" max="7497" width="1.5703125" style="149" customWidth="1"/>
    <col min="7498" max="7498" width="1.7109375" style="149" customWidth="1"/>
    <col min="7499" max="7499" width="1.85546875" style="149" customWidth="1"/>
    <col min="7500" max="7500" width="13.140625" style="149"/>
    <col min="7501" max="7502" width="1.42578125" style="149" customWidth="1"/>
    <col min="7503" max="7503" width="0.85546875" style="149" customWidth="1"/>
    <col min="7504" max="7504" width="1.5703125" style="149" customWidth="1"/>
    <col min="7505" max="7505" width="13.140625" style="149"/>
    <col min="7506" max="7506" width="1.42578125" style="149" customWidth="1"/>
    <col min="7507" max="7508" width="1.7109375" style="149" customWidth="1"/>
    <col min="7509" max="7509" width="1.42578125" style="149" customWidth="1"/>
    <col min="7510" max="7510" width="13.140625" style="149"/>
    <col min="7511" max="7511" width="1" style="149" customWidth="1"/>
    <col min="7512" max="7512" width="0.85546875" style="149" customWidth="1"/>
    <col min="7513" max="7513" width="1.140625" style="149" customWidth="1"/>
    <col min="7514" max="7514" width="1.42578125" style="149" customWidth="1"/>
    <col min="7515" max="7515" width="13.140625" style="149"/>
    <col min="7516" max="7516" width="1.42578125" style="149" customWidth="1"/>
    <col min="7517" max="7517" width="0.140625" style="149" customWidth="1"/>
    <col min="7518" max="7518" width="0.5703125" style="149" customWidth="1"/>
    <col min="7519" max="7519" width="1.28515625" style="149" customWidth="1"/>
    <col min="7520" max="7520" width="13.140625" style="149"/>
    <col min="7521" max="7521" width="1.140625" style="149" customWidth="1"/>
    <col min="7522" max="7522" width="1.28515625" style="149" customWidth="1"/>
    <col min="7523" max="7523" width="0.85546875" style="149" customWidth="1"/>
    <col min="7524" max="7524" width="1.140625" style="149" customWidth="1"/>
    <col min="7525" max="7525" width="13.140625" style="149"/>
    <col min="7526" max="7526" width="1.140625" style="149" customWidth="1"/>
    <col min="7527" max="7527" width="1" style="149" customWidth="1"/>
    <col min="7528" max="7528" width="1.28515625" style="149" customWidth="1"/>
    <col min="7529" max="7529" width="1" style="149" customWidth="1"/>
    <col min="7530" max="7530" width="13.140625" style="149"/>
    <col min="7531" max="7532" width="1.140625" style="149" customWidth="1"/>
    <col min="7533" max="7533" width="0.5703125" style="149" customWidth="1"/>
    <col min="7534" max="7534" width="1.5703125" style="149" customWidth="1"/>
    <col min="7535" max="7614" width="13.140625" style="149"/>
    <col min="7615" max="7616" width="2.85546875" style="149" customWidth="1"/>
    <col min="7617" max="7680" width="13.140625" style="149"/>
    <col min="7681" max="7681" width="28.42578125" style="149" customWidth="1"/>
    <col min="7682" max="7682" width="11.5703125" style="149" bestFit="1" customWidth="1"/>
    <col min="7683" max="7683" width="69.42578125" style="149" bestFit="1" customWidth="1"/>
    <col min="7684" max="7684" width="30.85546875" style="149" bestFit="1" customWidth="1"/>
    <col min="7685" max="7685" width="37.5703125" style="149" bestFit="1" customWidth="1"/>
    <col min="7686" max="7686" width="74.85546875" style="149" customWidth="1"/>
    <col min="7687" max="7687" width="30.85546875" style="149" bestFit="1" customWidth="1"/>
    <col min="7688" max="7688" width="35.85546875" style="149" bestFit="1" customWidth="1"/>
    <col min="7689" max="7724" width="13.140625" style="149" customWidth="1"/>
    <col min="7725" max="7725" width="8.140625" style="149" customWidth="1"/>
    <col min="7726" max="7726" width="15.28515625" style="149" customWidth="1"/>
    <col min="7727" max="7727" width="1.7109375" style="149" customWidth="1"/>
    <col min="7728" max="7729" width="1.140625" style="149" customWidth="1"/>
    <col min="7730" max="7730" width="1" style="149" customWidth="1"/>
    <col min="7731" max="7731" width="13.140625" style="149"/>
    <col min="7732" max="7735" width="1.140625" style="149" customWidth="1"/>
    <col min="7736" max="7736" width="13.140625" style="149"/>
    <col min="7737" max="7737" width="1" style="149" customWidth="1"/>
    <col min="7738" max="7738" width="0.28515625" style="149" customWidth="1"/>
    <col min="7739" max="7739" width="1.140625" style="149" customWidth="1"/>
    <col min="7740" max="7740" width="0.7109375" style="149" customWidth="1"/>
    <col min="7741" max="7741" width="13.140625" style="149"/>
    <col min="7742" max="7744" width="1.140625" style="149" customWidth="1"/>
    <col min="7745" max="7745" width="1.28515625" style="149" customWidth="1"/>
    <col min="7746" max="7746" width="10.28515625" style="149" customWidth="1"/>
    <col min="7747" max="7747" width="1.85546875" style="149" customWidth="1"/>
    <col min="7748" max="7748" width="0.5703125" style="149" customWidth="1"/>
    <col min="7749" max="7750" width="1.5703125" style="149" customWidth="1"/>
    <col min="7751" max="7751" width="22.140625" style="149" customWidth="1"/>
    <col min="7752" max="7752" width="1.42578125" style="149" customWidth="1"/>
    <col min="7753" max="7753" width="1.5703125" style="149" customWidth="1"/>
    <col min="7754" max="7754" width="1.7109375" style="149" customWidth="1"/>
    <col min="7755" max="7755" width="1.85546875" style="149" customWidth="1"/>
    <col min="7756" max="7756" width="13.140625" style="149"/>
    <col min="7757" max="7758" width="1.42578125" style="149" customWidth="1"/>
    <col min="7759" max="7759" width="0.85546875" style="149" customWidth="1"/>
    <col min="7760" max="7760" width="1.5703125" style="149" customWidth="1"/>
    <col min="7761" max="7761" width="13.140625" style="149"/>
    <col min="7762" max="7762" width="1.42578125" style="149" customWidth="1"/>
    <col min="7763" max="7764" width="1.7109375" style="149" customWidth="1"/>
    <col min="7765" max="7765" width="1.42578125" style="149" customWidth="1"/>
    <col min="7766" max="7766" width="13.140625" style="149"/>
    <col min="7767" max="7767" width="1" style="149" customWidth="1"/>
    <col min="7768" max="7768" width="0.85546875" style="149" customWidth="1"/>
    <col min="7769" max="7769" width="1.140625" style="149" customWidth="1"/>
    <col min="7770" max="7770" width="1.42578125" style="149" customWidth="1"/>
    <col min="7771" max="7771" width="13.140625" style="149"/>
    <col min="7772" max="7772" width="1.42578125" style="149" customWidth="1"/>
    <col min="7773" max="7773" width="0.140625" style="149" customWidth="1"/>
    <col min="7774" max="7774" width="0.5703125" style="149" customWidth="1"/>
    <col min="7775" max="7775" width="1.28515625" style="149" customWidth="1"/>
    <col min="7776" max="7776" width="13.140625" style="149"/>
    <col min="7777" max="7777" width="1.140625" style="149" customWidth="1"/>
    <col min="7778" max="7778" width="1.28515625" style="149" customWidth="1"/>
    <col min="7779" max="7779" width="0.85546875" style="149" customWidth="1"/>
    <col min="7780" max="7780" width="1.140625" style="149" customWidth="1"/>
    <col min="7781" max="7781" width="13.140625" style="149"/>
    <col min="7782" max="7782" width="1.140625" style="149" customWidth="1"/>
    <col min="7783" max="7783" width="1" style="149" customWidth="1"/>
    <col min="7784" max="7784" width="1.28515625" style="149" customWidth="1"/>
    <col min="7785" max="7785" width="1" style="149" customWidth="1"/>
    <col min="7786" max="7786" width="13.140625" style="149"/>
    <col min="7787" max="7788" width="1.140625" style="149" customWidth="1"/>
    <col min="7789" max="7789" width="0.5703125" style="149" customWidth="1"/>
    <col min="7790" max="7790" width="1.5703125" style="149" customWidth="1"/>
    <col min="7791" max="7870" width="13.140625" style="149"/>
    <col min="7871" max="7872" width="2.85546875" style="149" customWidth="1"/>
    <col min="7873" max="7936" width="13.140625" style="149"/>
    <col min="7937" max="7937" width="28.42578125" style="149" customWidth="1"/>
    <col min="7938" max="7938" width="11.5703125" style="149" bestFit="1" customWidth="1"/>
    <col min="7939" max="7939" width="69.42578125" style="149" bestFit="1" customWidth="1"/>
    <col min="7940" max="7940" width="30.85546875" style="149" bestFit="1" customWidth="1"/>
    <col min="7941" max="7941" width="37.5703125" style="149" bestFit="1" customWidth="1"/>
    <col min="7942" max="7942" width="74.85546875" style="149" customWidth="1"/>
    <col min="7943" max="7943" width="30.85546875" style="149" bestFit="1" customWidth="1"/>
    <col min="7944" max="7944" width="35.85546875" style="149" bestFit="1" customWidth="1"/>
    <col min="7945" max="7980" width="13.140625" style="149" customWidth="1"/>
    <col min="7981" max="7981" width="8.140625" style="149" customWidth="1"/>
    <col min="7982" max="7982" width="15.28515625" style="149" customWidth="1"/>
    <col min="7983" max="7983" width="1.7109375" style="149" customWidth="1"/>
    <col min="7984" max="7985" width="1.140625" style="149" customWidth="1"/>
    <col min="7986" max="7986" width="1" style="149" customWidth="1"/>
    <col min="7987" max="7987" width="13.140625" style="149"/>
    <col min="7988" max="7991" width="1.140625" style="149" customWidth="1"/>
    <col min="7992" max="7992" width="13.140625" style="149"/>
    <col min="7993" max="7993" width="1" style="149" customWidth="1"/>
    <col min="7994" max="7994" width="0.28515625" style="149" customWidth="1"/>
    <col min="7995" max="7995" width="1.140625" style="149" customWidth="1"/>
    <col min="7996" max="7996" width="0.7109375" style="149" customWidth="1"/>
    <col min="7997" max="7997" width="13.140625" style="149"/>
    <col min="7998" max="8000" width="1.140625" style="149" customWidth="1"/>
    <col min="8001" max="8001" width="1.28515625" style="149" customWidth="1"/>
    <col min="8002" max="8002" width="10.28515625" style="149" customWidth="1"/>
    <col min="8003" max="8003" width="1.85546875" style="149" customWidth="1"/>
    <col min="8004" max="8004" width="0.5703125" style="149" customWidth="1"/>
    <col min="8005" max="8006" width="1.5703125" style="149" customWidth="1"/>
    <col min="8007" max="8007" width="22.140625" style="149" customWidth="1"/>
    <col min="8008" max="8008" width="1.42578125" style="149" customWidth="1"/>
    <col min="8009" max="8009" width="1.5703125" style="149" customWidth="1"/>
    <col min="8010" max="8010" width="1.7109375" style="149" customWidth="1"/>
    <col min="8011" max="8011" width="1.85546875" style="149" customWidth="1"/>
    <col min="8012" max="8012" width="13.140625" style="149"/>
    <col min="8013" max="8014" width="1.42578125" style="149" customWidth="1"/>
    <col min="8015" max="8015" width="0.85546875" style="149" customWidth="1"/>
    <col min="8016" max="8016" width="1.5703125" style="149" customWidth="1"/>
    <col min="8017" max="8017" width="13.140625" style="149"/>
    <col min="8018" max="8018" width="1.42578125" style="149" customWidth="1"/>
    <col min="8019" max="8020" width="1.7109375" style="149" customWidth="1"/>
    <col min="8021" max="8021" width="1.42578125" style="149" customWidth="1"/>
    <col min="8022" max="8022" width="13.140625" style="149"/>
    <col min="8023" max="8023" width="1" style="149" customWidth="1"/>
    <col min="8024" max="8024" width="0.85546875" style="149" customWidth="1"/>
    <col min="8025" max="8025" width="1.140625" style="149" customWidth="1"/>
    <col min="8026" max="8026" width="1.42578125" style="149" customWidth="1"/>
    <col min="8027" max="8027" width="13.140625" style="149"/>
    <col min="8028" max="8028" width="1.42578125" style="149" customWidth="1"/>
    <col min="8029" max="8029" width="0.140625" style="149" customWidth="1"/>
    <col min="8030" max="8030" width="0.5703125" style="149" customWidth="1"/>
    <col min="8031" max="8031" width="1.28515625" style="149" customWidth="1"/>
    <col min="8032" max="8032" width="13.140625" style="149"/>
    <col min="8033" max="8033" width="1.140625" style="149" customWidth="1"/>
    <col min="8034" max="8034" width="1.28515625" style="149" customWidth="1"/>
    <col min="8035" max="8035" width="0.85546875" style="149" customWidth="1"/>
    <col min="8036" max="8036" width="1.140625" style="149" customWidth="1"/>
    <col min="8037" max="8037" width="13.140625" style="149"/>
    <col min="8038" max="8038" width="1.140625" style="149" customWidth="1"/>
    <col min="8039" max="8039" width="1" style="149" customWidth="1"/>
    <col min="8040" max="8040" width="1.28515625" style="149" customWidth="1"/>
    <col min="8041" max="8041" width="1" style="149" customWidth="1"/>
    <col min="8042" max="8042" width="13.140625" style="149"/>
    <col min="8043" max="8044" width="1.140625" style="149" customWidth="1"/>
    <col min="8045" max="8045" width="0.5703125" style="149" customWidth="1"/>
    <col min="8046" max="8046" width="1.5703125" style="149" customWidth="1"/>
    <col min="8047" max="8126" width="13.140625" style="149"/>
    <col min="8127" max="8128" width="2.85546875" style="149" customWidth="1"/>
    <col min="8129" max="8192" width="13.140625" style="149"/>
    <col min="8193" max="8193" width="28.42578125" style="149" customWidth="1"/>
    <col min="8194" max="8194" width="11.5703125" style="149" bestFit="1" customWidth="1"/>
    <col min="8195" max="8195" width="69.42578125" style="149" bestFit="1" customWidth="1"/>
    <col min="8196" max="8196" width="30.85546875" style="149" bestFit="1" customWidth="1"/>
    <col min="8197" max="8197" width="37.5703125" style="149" bestFit="1" customWidth="1"/>
    <col min="8198" max="8198" width="74.85546875" style="149" customWidth="1"/>
    <col min="8199" max="8199" width="30.85546875" style="149" bestFit="1" customWidth="1"/>
    <col min="8200" max="8200" width="35.85546875" style="149" bestFit="1" customWidth="1"/>
    <col min="8201" max="8236" width="13.140625" style="149" customWidth="1"/>
    <col min="8237" max="8237" width="8.140625" style="149" customWidth="1"/>
    <col min="8238" max="8238" width="15.28515625" style="149" customWidth="1"/>
    <col min="8239" max="8239" width="1.7109375" style="149" customWidth="1"/>
    <col min="8240" max="8241" width="1.140625" style="149" customWidth="1"/>
    <col min="8242" max="8242" width="1" style="149" customWidth="1"/>
    <col min="8243" max="8243" width="13.140625" style="149"/>
    <col min="8244" max="8247" width="1.140625" style="149" customWidth="1"/>
    <col min="8248" max="8248" width="13.140625" style="149"/>
    <col min="8249" max="8249" width="1" style="149" customWidth="1"/>
    <col min="8250" max="8250" width="0.28515625" style="149" customWidth="1"/>
    <col min="8251" max="8251" width="1.140625" style="149" customWidth="1"/>
    <col min="8252" max="8252" width="0.7109375" style="149" customWidth="1"/>
    <col min="8253" max="8253" width="13.140625" style="149"/>
    <col min="8254" max="8256" width="1.140625" style="149" customWidth="1"/>
    <col min="8257" max="8257" width="1.28515625" style="149" customWidth="1"/>
    <col min="8258" max="8258" width="10.28515625" style="149" customWidth="1"/>
    <col min="8259" max="8259" width="1.85546875" style="149" customWidth="1"/>
    <col min="8260" max="8260" width="0.5703125" style="149" customWidth="1"/>
    <col min="8261" max="8262" width="1.5703125" style="149" customWidth="1"/>
    <col min="8263" max="8263" width="22.140625" style="149" customWidth="1"/>
    <col min="8264" max="8264" width="1.42578125" style="149" customWidth="1"/>
    <col min="8265" max="8265" width="1.5703125" style="149" customWidth="1"/>
    <col min="8266" max="8266" width="1.7109375" style="149" customWidth="1"/>
    <col min="8267" max="8267" width="1.85546875" style="149" customWidth="1"/>
    <col min="8268" max="8268" width="13.140625" style="149"/>
    <col min="8269" max="8270" width="1.42578125" style="149" customWidth="1"/>
    <col min="8271" max="8271" width="0.85546875" style="149" customWidth="1"/>
    <col min="8272" max="8272" width="1.5703125" style="149" customWidth="1"/>
    <col min="8273" max="8273" width="13.140625" style="149"/>
    <col min="8274" max="8274" width="1.42578125" style="149" customWidth="1"/>
    <col min="8275" max="8276" width="1.7109375" style="149" customWidth="1"/>
    <col min="8277" max="8277" width="1.42578125" style="149" customWidth="1"/>
    <col min="8278" max="8278" width="13.140625" style="149"/>
    <col min="8279" max="8279" width="1" style="149" customWidth="1"/>
    <col min="8280" max="8280" width="0.85546875" style="149" customWidth="1"/>
    <col min="8281" max="8281" width="1.140625" style="149" customWidth="1"/>
    <col min="8282" max="8282" width="1.42578125" style="149" customWidth="1"/>
    <col min="8283" max="8283" width="13.140625" style="149"/>
    <col min="8284" max="8284" width="1.42578125" style="149" customWidth="1"/>
    <col min="8285" max="8285" width="0.140625" style="149" customWidth="1"/>
    <col min="8286" max="8286" width="0.5703125" style="149" customWidth="1"/>
    <col min="8287" max="8287" width="1.28515625" style="149" customWidth="1"/>
    <col min="8288" max="8288" width="13.140625" style="149"/>
    <col min="8289" max="8289" width="1.140625" style="149" customWidth="1"/>
    <col min="8290" max="8290" width="1.28515625" style="149" customWidth="1"/>
    <col min="8291" max="8291" width="0.85546875" style="149" customWidth="1"/>
    <col min="8292" max="8292" width="1.140625" style="149" customWidth="1"/>
    <col min="8293" max="8293" width="13.140625" style="149"/>
    <col min="8294" max="8294" width="1.140625" style="149" customWidth="1"/>
    <col min="8295" max="8295" width="1" style="149" customWidth="1"/>
    <col min="8296" max="8296" width="1.28515625" style="149" customWidth="1"/>
    <col min="8297" max="8297" width="1" style="149" customWidth="1"/>
    <col min="8298" max="8298" width="13.140625" style="149"/>
    <col min="8299" max="8300" width="1.140625" style="149" customWidth="1"/>
    <col min="8301" max="8301" width="0.5703125" style="149" customWidth="1"/>
    <col min="8302" max="8302" width="1.5703125" style="149" customWidth="1"/>
    <col min="8303" max="8382" width="13.140625" style="149"/>
    <col min="8383" max="8384" width="2.85546875" style="149" customWidth="1"/>
    <col min="8385" max="8448" width="13.140625" style="149"/>
    <col min="8449" max="8449" width="28.42578125" style="149" customWidth="1"/>
    <col min="8450" max="8450" width="11.5703125" style="149" bestFit="1" customWidth="1"/>
    <col min="8451" max="8451" width="69.42578125" style="149" bestFit="1" customWidth="1"/>
    <col min="8452" max="8452" width="30.85546875" style="149" bestFit="1" customWidth="1"/>
    <col min="8453" max="8453" width="37.5703125" style="149" bestFit="1" customWidth="1"/>
    <col min="8454" max="8454" width="74.85546875" style="149" customWidth="1"/>
    <col min="8455" max="8455" width="30.85546875" style="149" bestFit="1" customWidth="1"/>
    <col min="8456" max="8456" width="35.85546875" style="149" bestFit="1" customWidth="1"/>
    <col min="8457" max="8492" width="13.140625" style="149" customWidth="1"/>
    <col min="8493" max="8493" width="8.140625" style="149" customWidth="1"/>
    <col min="8494" max="8494" width="15.28515625" style="149" customWidth="1"/>
    <col min="8495" max="8495" width="1.7109375" style="149" customWidth="1"/>
    <col min="8496" max="8497" width="1.140625" style="149" customWidth="1"/>
    <col min="8498" max="8498" width="1" style="149" customWidth="1"/>
    <col min="8499" max="8499" width="13.140625" style="149"/>
    <col min="8500" max="8503" width="1.140625" style="149" customWidth="1"/>
    <col min="8504" max="8504" width="13.140625" style="149"/>
    <col min="8505" max="8505" width="1" style="149" customWidth="1"/>
    <col min="8506" max="8506" width="0.28515625" style="149" customWidth="1"/>
    <col min="8507" max="8507" width="1.140625" style="149" customWidth="1"/>
    <col min="8508" max="8508" width="0.7109375" style="149" customWidth="1"/>
    <col min="8509" max="8509" width="13.140625" style="149"/>
    <col min="8510" max="8512" width="1.140625" style="149" customWidth="1"/>
    <col min="8513" max="8513" width="1.28515625" style="149" customWidth="1"/>
    <col min="8514" max="8514" width="10.28515625" style="149" customWidth="1"/>
    <col min="8515" max="8515" width="1.85546875" style="149" customWidth="1"/>
    <col min="8516" max="8516" width="0.5703125" style="149" customWidth="1"/>
    <col min="8517" max="8518" width="1.5703125" style="149" customWidth="1"/>
    <col min="8519" max="8519" width="22.140625" style="149" customWidth="1"/>
    <col min="8520" max="8520" width="1.42578125" style="149" customWidth="1"/>
    <col min="8521" max="8521" width="1.5703125" style="149" customWidth="1"/>
    <col min="8522" max="8522" width="1.7109375" style="149" customWidth="1"/>
    <col min="8523" max="8523" width="1.85546875" style="149" customWidth="1"/>
    <col min="8524" max="8524" width="13.140625" style="149"/>
    <col min="8525" max="8526" width="1.42578125" style="149" customWidth="1"/>
    <col min="8527" max="8527" width="0.85546875" style="149" customWidth="1"/>
    <col min="8528" max="8528" width="1.5703125" style="149" customWidth="1"/>
    <col min="8529" max="8529" width="13.140625" style="149"/>
    <col min="8530" max="8530" width="1.42578125" style="149" customWidth="1"/>
    <col min="8531" max="8532" width="1.7109375" style="149" customWidth="1"/>
    <col min="8533" max="8533" width="1.42578125" style="149" customWidth="1"/>
    <col min="8534" max="8534" width="13.140625" style="149"/>
    <col min="8535" max="8535" width="1" style="149" customWidth="1"/>
    <col min="8536" max="8536" width="0.85546875" style="149" customWidth="1"/>
    <col min="8537" max="8537" width="1.140625" style="149" customWidth="1"/>
    <col min="8538" max="8538" width="1.42578125" style="149" customWidth="1"/>
    <col min="8539" max="8539" width="13.140625" style="149"/>
    <col min="8540" max="8540" width="1.42578125" style="149" customWidth="1"/>
    <col min="8541" max="8541" width="0.140625" style="149" customWidth="1"/>
    <col min="8542" max="8542" width="0.5703125" style="149" customWidth="1"/>
    <col min="8543" max="8543" width="1.28515625" style="149" customWidth="1"/>
    <col min="8544" max="8544" width="13.140625" style="149"/>
    <col min="8545" max="8545" width="1.140625" style="149" customWidth="1"/>
    <col min="8546" max="8546" width="1.28515625" style="149" customWidth="1"/>
    <col min="8547" max="8547" width="0.85546875" style="149" customWidth="1"/>
    <col min="8548" max="8548" width="1.140625" style="149" customWidth="1"/>
    <col min="8549" max="8549" width="13.140625" style="149"/>
    <col min="8550" max="8550" width="1.140625" style="149" customWidth="1"/>
    <col min="8551" max="8551" width="1" style="149" customWidth="1"/>
    <col min="8552" max="8552" width="1.28515625" style="149" customWidth="1"/>
    <col min="8553" max="8553" width="1" style="149" customWidth="1"/>
    <col min="8554" max="8554" width="13.140625" style="149"/>
    <col min="8555" max="8556" width="1.140625" style="149" customWidth="1"/>
    <col min="8557" max="8557" width="0.5703125" style="149" customWidth="1"/>
    <col min="8558" max="8558" width="1.5703125" style="149" customWidth="1"/>
    <col min="8559" max="8638" width="13.140625" style="149"/>
    <col min="8639" max="8640" width="2.85546875" style="149" customWidth="1"/>
    <col min="8641" max="8704" width="13.140625" style="149"/>
    <col min="8705" max="8705" width="28.42578125" style="149" customWidth="1"/>
    <col min="8706" max="8706" width="11.5703125" style="149" bestFit="1" customWidth="1"/>
    <col min="8707" max="8707" width="69.42578125" style="149" bestFit="1" customWidth="1"/>
    <col min="8708" max="8708" width="30.85546875" style="149" bestFit="1" customWidth="1"/>
    <col min="8709" max="8709" width="37.5703125" style="149" bestFit="1" customWidth="1"/>
    <col min="8710" max="8710" width="74.85546875" style="149" customWidth="1"/>
    <col min="8711" max="8711" width="30.85546875" style="149" bestFit="1" customWidth="1"/>
    <col min="8712" max="8712" width="35.85546875" style="149" bestFit="1" customWidth="1"/>
    <col min="8713" max="8748" width="13.140625" style="149" customWidth="1"/>
    <col min="8749" max="8749" width="8.140625" style="149" customWidth="1"/>
    <col min="8750" max="8750" width="15.28515625" style="149" customWidth="1"/>
    <col min="8751" max="8751" width="1.7109375" style="149" customWidth="1"/>
    <col min="8752" max="8753" width="1.140625" style="149" customWidth="1"/>
    <col min="8754" max="8754" width="1" style="149" customWidth="1"/>
    <col min="8755" max="8755" width="13.140625" style="149"/>
    <col min="8756" max="8759" width="1.140625" style="149" customWidth="1"/>
    <col min="8760" max="8760" width="13.140625" style="149"/>
    <col min="8761" max="8761" width="1" style="149" customWidth="1"/>
    <col min="8762" max="8762" width="0.28515625" style="149" customWidth="1"/>
    <col min="8763" max="8763" width="1.140625" style="149" customWidth="1"/>
    <col min="8764" max="8764" width="0.7109375" style="149" customWidth="1"/>
    <col min="8765" max="8765" width="13.140625" style="149"/>
    <col min="8766" max="8768" width="1.140625" style="149" customWidth="1"/>
    <col min="8769" max="8769" width="1.28515625" style="149" customWidth="1"/>
    <col min="8770" max="8770" width="10.28515625" style="149" customWidth="1"/>
    <col min="8771" max="8771" width="1.85546875" style="149" customWidth="1"/>
    <col min="8772" max="8772" width="0.5703125" style="149" customWidth="1"/>
    <col min="8773" max="8774" width="1.5703125" style="149" customWidth="1"/>
    <col min="8775" max="8775" width="22.140625" style="149" customWidth="1"/>
    <col min="8776" max="8776" width="1.42578125" style="149" customWidth="1"/>
    <col min="8777" max="8777" width="1.5703125" style="149" customWidth="1"/>
    <col min="8778" max="8778" width="1.7109375" style="149" customWidth="1"/>
    <col min="8779" max="8779" width="1.85546875" style="149" customWidth="1"/>
    <col min="8780" max="8780" width="13.140625" style="149"/>
    <col min="8781" max="8782" width="1.42578125" style="149" customWidth="1"/>
    <col min="8783" max="8783" width="0.85546875" style="149" customWidth="1"/>
    <col min="8784" max="8784" width="1.5703125" style="149" customWidth="1"/>
    <col min="8785" max="8785" width="13.140625" style="149"/>
    <col min="8786" max="8786" width="1.42578125" style="149" customWidth="1"/>
    <col min="8787" max="8788" width="1.7109375" style="149" customWidth="1"/>
    <col min="8789" max="8789" width="1.42578125" style="149" customWidth="1"/>
    <col min="8790" max="8790" width="13.140625" style="149"/>
    <col min="8791" max="8791" width="1" style="149" customWidth="1"/>
    <col min="8792" max="8792" width="0.85546875" style="149" customWidth="1"/>
    <col min="8793" max="8793" width="1.140625" style="149" customWidth="1"/>
    <col min="8794" max="8794" width="1.42578125" style="149" customWidth="1"/>
    <col min="8795" max="8795" width="13.140625" style="149"/>
    <col min="8796" max="8796" width="1.42578125" style="149" customWidth="1"/>
    <col min="8797" max="8797" width="0.140625" style="149" customWidth="1"/>
    <col min="8798" max="8798" width="0.5703125" style="149" customWidth="1"/>
    <col min="8799" max="8799" width="1.28515625" style="149" customWidth="1"/>
    <col min="8800" max="8800" width="13.140625" style="149"/>
    <col min="8801" max="8801" width="1.140625" style="149" customWidth="1"/>
    <col min="8802" max="8802" width="1.28515625" style="149" customWidth="1"/>
    <col min="8803" max="8803" width="0.85546875" style="149" customWidth="1"/>
    <col min="8804" max="8804" width="1.140625" style="149" customWidth="1"/>
    <col min="8805" max="8805" width="13.140625" style="149"/>
    <col min="8806" max="8806" width="1.140625" style="149" customWidth="1"/>
    <col min="8807" max="8807" width="1" style="149" customWidth="1"/>
    <col min="8808" max="8808" width="1.28515625" style="149" customWidth="1"/>
    <col min="8809" max="8809" width="1" style="149" customWidth="1"/>
    <col min="8810" max="8810" width="13.140625" style="149"/>
    <col min="8811" max="8812" width="1.140625" style="149" customWidth="1"/>
    <col min="8813" max="8813" width="0.5703125" style="149" customWidth="1"/>
    <col min="8814" max="8814" width="1.5703125" style="149" customWidth="1"/>
    <col min="8815" max="8894" width="13.140625" style="149"/>
    <col min="8895" max="8896" width="2.85546875" style="149" customWidth="1"/>
    <col min="8897" max="8960" width="13.140625" style="149"/>
    <col min="8961" max="8961" width="28.42578125" style="149" customWidth="1"/>
    <col min="8962" max="8962" width="11.5703125" style="149" bestFit="1" customWidth="1"/>
    <col min="8963" max="8963" width="69.42578125" style="149" bestFit="1" customWidth="1"/>
    <col min="8964" max="8964" width="30.85546875" style="149" bestFit="1" customWidth="1"/>
    <col min="8965" max="8965" width="37.5703125" style="149" bestFit="1" customWidth="1"/>
    <col min="8966" max="8966" width="74.85546875" style="149" customWidth="1"/>
    <col min="8967" max="8967" width="30.85546875" style="149" bestFit="1" customWidth="1"/>
    <col min="8968" max="8968" width="35.85546875" style="149" bestFit="1" customWidth="1"/>
    <col min="8969" max="9004" width="13.140625" style="149" customWidth="1"/>
    <col min="9005" max="9005" width="8.140625" style="149" customWidth="1"/>
    <col min="9006" max="9006" width="15.28515625" style="149" customWidth="1"/>
    <col min="9007" max="9007" width="1.7109375" style="149" customWidth="1"/>
    <col min="9008" max="9009" width="1.140625" style="149" customWidth="1"/>
    <col min="9010" max="9010" width="1" style="149" customWidth="1"/>
    <col min="9011" max="9011" width="13.140625" style="149"/>
    <col min="9012" max="9015" width="1.140625" style="149" customWidth="1"/>
    <col min="9016" max="9016" width="13.140625" style="149"/>
    <col min="9017" max="9017" width="1" style="149" customWidth="1"/>
    <col min="9018" max="9018" width="0.28515625" style="149" customWidth="1"/>
    <col min="9019" max="9019" width="1.140625" style="149" customWidth="1"/>
    <col min="9020" max="9020" width="0.7109375" style="149" customWidth="1"/>
    <col min="9021" max="9021" width="13.140625" style="149"/>
    <col min="9022" max="9024" width="1.140625" style="149" customWidth="1"/>
    <col min="9025" max="9025" width="1.28515625" style="149" customWidth="1"/>
    <col min="9026" max="9026" width="10.28515625" style="149" customWidth="1"/>
    <col min="9027" max="9027" width="1.85546875" style="149" customWidth="1"/>
    <col min="9028" max="9028" width="0.5703125" style="149" customWidth="1"/>
    <col min="9029" max="9030" width="1.5703125" style="149" customWidth="1"/>
    <col min="9031" max="9031" width="22.140625" style="149" customWidth="1"/>
    <col min="9032" max="9032" width="1.42578125" style="149" customWidth="1"/>
    <col min="9033" max="9033" width="1.5703125" style="149" customWidth="1"/>
    <col min="9034" max="9034" width="1.7109375" style="149" customWidth="1"/>
    <col min="9035" max="9035" width="1.85546875" style="149" customWidth="1"/>
    <col min="9036" max="9036" width="13.140625" style="149"/>
    <col min="9037" max="9038" width="1.42578125" style="149" customWidth="1"/>
    <col min="9039" max="9039" width="0.85546875" style="149" customWidth="1"/>
    <col min="9040" max="9040" width="1.5703125" style="149" customWidth="1"/>
    <col min="9041" max="9041" width="13.140625" style="149"/>
    <col min="9042" max="9042" width="1.42578125" style="149" customWidth="1"/>
    <col min="9043" max="9044" width="1.7109375" style="149" customWidth="1"/>
    <col min="9045" max="9045" width="1.42578125" style="149" customWidth="1"/>
    <col min="9046" max="9046" width="13.140625" style="149"/>
    <col min="9047" max="9047" width="1" style="149" customWidth="1"/>
    <col min="9048" max="9048" width="0.85546875" style="149" customWidth="1"/>
    <col min="9049" max="9049" width="1.140625" style="149" customWidth="1"/>
    <col min="9050" max="9050" width="1.42578125" style="149" customWidth="1"/>
    <col min="9051" max="9051" width="13.140625" style="149"/>
    <col min="9052" max="9052" width="1.42578125" style="149" customWidth="1"/>
    <col min="9053" max="9053" width="0.140625" style="149" customWidth="1"/>
    <col min="9054" max="9054" width="0.5703125" style="149" customWidth="1"/>
    <col min="9055" max="9055" width="1.28515625" style="149" customWidth="1"/>
    <col min="9056" max="9056" width="13.140625" style="149"/>
    <col min="9057" max="9057" width="1.140625" style="149" customWidth="1"/>
    <col min="9058" max="9058" width="1.28515625" style="149" customWidth="1"/>
    <col min="9059" max="9059" width="0.85546875" style="149" customWidth="1"/>
    <col min="9060" max="9060" width="1.140625" style="149" customWidth="1"/>
    <col min="9061" max="9061" width="13.140625" style="149"/>
    <col min="9062" max="9062" width="1.140625" style="149" customWidth="1"/>
    <col min="9063" max="9063" width="1" style="149" customWidth="1"/>
    <col min="9064" max="9064" width="1.28515625" style="149" customWidth="1"/>
    <col min="9065" max="9065" width="1" style="149" customWidth="1"/>
    <col min="9066" max="9066" width="13.140625" style="149"/>
    <col min="9067" max="9068" width="1.140625" style="149" customWidth="1"/>
    <col min="9069" max="9069" width="0.5703125" style="149" customWidth="1"/>
    <col min="9070" max="9070" width="1.5703125" style="149" customWidth="1"/>
    <col min="9071" max="9150" width="13.140625" style="149"/>
    <col min="9151" max="9152" width="2.85546875" style="149" customWidth="1"/>
    <col min="9153" max="9216" width="13.140625" style="149"/>
    <col min="9217" max="9217" width="28.42578125" style="149" customWidth="1"/>
    <col min="9218" max="9218" width="11.5703125" style="149" bestFit="1" customWidth="1"/>
    <col min="9219" max="9219" width="69.42578125" style="149" bestFit="1" customWidth="1"/>
    <col min="9220" max="9220" width="30.85546875" style="149" bestFit="1" customWidth="1"/>
    <col min="9221" max="9221" width="37.5703125" style="149" bestFit="1" customWidth="1"/>
    <col min="9222" max="9222" width="74.85546875" style="149" customWidth="1"/>
    <col min="9223" max="9223" width="30.85546875" style="149" bestFit="1" customWidth="1"/>
    <col min="9224" max="9224" width="35.85546875" style="149" bestFit="1" customWidth="1"/>
    <col min="9225" max="9260" width="13.140625" style="149" customWidth="1"/>
    <col min="9261" max="9261" width="8.140625" style="149" customWidth="1"/>
    <col min="9262" max="9262" width="15.28515625" style="149" customWidth="1"/>
    <col min="9263" max="9263" width="1.7109375" style="149" customWidth="1"/>
    <col min="9264" max="9265" width="1.140625" style="149" customWidth="1"/>
    <col min="9266" max="9266" width="1" style="149" customWidth="1"/>
    <col min="9267" max="9267" width="13.140625" style="149"/>
    <col min="9268" max="9271" width="1.140625" style="149" customWidth="1"/>
    <col min="9272" max="9272" width="13.140625" style="149"/>
    <col min="9273" max="9273" width="1" style="149" customWidth="1"/>
    <col min="9274" max="9274" width="0.28515625" style="149" customWidth="1"/>
    <col min="9275" max="9275" width="1.140625" style="149" customWidth="1"/>
    <col min="9276" max="9276" width="0.7109375" style="149" customWidth="1"/>
    <col min="9277" max="9277" width="13.140625" style="149"/>
    <col min="9278" max="9280" width="1.140625" style="149" customWidth="1"/>
    <col min="9281" max="9281" width="1.28515625" style="149" customWidth="1"/>
    <col min="9282" max="9282" width="10.28515625" style="149" customWidth="1"/>
    <col min="9283" max="9283" width="1.85546875" style="149" customWidth="1"/>
    <col min="9284" max="9284" width="0.5703125" style="149" customWidth="1"/>
    <col min="9285" max="9286" width="1.5703125" style="149" customWidth="1"/>
    <col min="9287" max="9287" width="22.140625" style="149" customWidth="1"/>
    <col min="9288" max="9288" width="1.42578125" style="149" customWidth="1"/>
    <col min="9289" max="9289" width="1.5703125" style="149" customWidth="1"/>
    <col min="9290" max="9290" width="1.7109375" style="149" customWidth="1"/>
    <col min="9291" max="9291" width="1.85546875" style="149" customWidth="1"/>
    <col min="9292" max="9292" width="13.140625" style="149"/>
    <col min="9293" max="9294" width="1.42578125" style="149" customWidth="1"/>
    <col min="9295" max="9295" width="0.85546875" style="149" customWidth="1"/>
    <col min="9296" max="9296" width="1.5703125" style="149" customWidth="1"/>
    <col min="9297" max="9297" width="13.140625" style="149"/>
    <col min="9298" max="9298" width="1.42578125" style="149" customWidth="1"/>
    <col min="9299" max="9300" width="1.7109375" style="149" customWidth="1"/>
    <col min="9301" max="9301" width="1.42578125" style="149" customWidth="1"/>
    <col min="9302" max="9302" width="13.140625" style="149"/>
    <col min="9303" max="9303" width="1" style="149" customWidth="1"/>
    <col min="9304" max="9304" width="0.85546875" style="149" customWidth="1"/>
    <col min="9305" max="9305" width="1.140625" style="149" customWidth="1"/>
    <col min="9306" max="9306" width="1.42578125" style="149" customWidth="1"/>
    <col min="9307" max="9307" width="13.140625" style="149"/>
    <col min="9308" max="9308" width="1.42578125" style="149" customWidth="1"/>
    <col min="9309" max="9309" width="0.140625" style="149" customWidth="1"/>
    <col min="9310" max="9310" width="0.5703125" style="149" customWidth="1"/>
    <col min="9311" max="9311" width="1.28515625" style="149" customWidth="1"/>
    <col min="9312" max="9312" width="13.140625" style="149"/>
    <col min="9313" max="9313" width="1.140625" style="149" customWidth="1"/>
    <col min="9314" max="9314" width="1.28515625" style="149" customWidth="1"/>
    <col min="9315" max="9315" width="0.85546875" style="149" customWidth="1"/>
    <col min="9316" max="9316" width="1.140625" style="149" customWidth="1"/>
    <col min="9317" max="9317" width="13.140625" style="149"/>
    <col min="9318" max="9318" width="1.140625" style="149" customWidth="1"/>
    <col min="9319" max="9319" width="1" style="149" customWidth="1"/>
    <col min="9320" max="9320" width="1.28515625" style="149" customWidth="1"/>
    <col min="9321" max="9321" width="1" style="149" customWidth="1"/>
    <col min="9322" max="9322" width="13.140625" style="149"/>
    <col min="9323" max="9324" width="1.140625" style="149" customWidth="1"/>
    <col min="9325" max="9325" width="0.5703125" style="149" customWidth="1"/>
    <col min="9326" max="9326" width="1.5703125" style="149" customWidth="1"/>
    <col min="9327" max="9406" width="13.140625" style="149"/>
    <col min="9407" max="9408" width="2.85546875" style="149" customWidth="1"/>
    <col min="9409" max="9472" width="13.140625" style="149"/>
    <col min="9473" max="9473" width="28.42578125" style="149" customWidth="1"/>
    <col min="9474" max="9474" width="11.5703125" style="149" bestFit="1" customWidth="1"/>
    <col min="9475" max="9475" width="69.42578125" style="149" bestFit="1" customWidth="1"/>
    <col min="9476" max="9476" width="30.85546875" style="149" bestFit="1" customWidth="1"/>
    <col min="9477" max="9477" width="37.5703125" style="149" bestFit="1" customWidth="1"/>
    <col min="9478" max="9478" width="74.85546875" style="149" customWidth="1"/>
    <col min="9479" max="9479" width="30.85546875" style="149" bestFit="1" customWidth="1"/>
    <col min="9480" max="9480" width="35.85546875" style="149" bestFit="1" customWidth="1"/>
    <col min="9481" max="9516" width="13.140625" style="149" customWidth="1"/>
    <col min="9517" max="9517" width="8.140625" style="149" customWidth="1"/>
    <col min="9518" max="9518" width="15.28515625" style="149" customWidth="1"/>
    <col min="9519" max="9519" width="1.7109375" style="149" customWidth="1"/>
    <col min="9520" max="9521" width="1.140625" style="149" customWidth="1"/>
    <col min="9522" max="9522" width="1" style="149" customWidth="1"/>
    <col min="9523" max="9523" width="13.140625" style="149"/>
    <col min="9524" max="9527" width="1.140625" style="149" customWidth="1"/>
    <col min="9528" max="9528" width="13.140625" style="149"/>
    <col min="9529" max="9529" width="1" style="149" customWidth="1"/>
    <col min="9530" max="9530" width="0.28515625" style="149" customWidth="1"/>
    <col min="9531" max="9531" width="1.140625" style="149" customWidth="1"/>
    <col min="9532" max="9532" width="0.7109375" style="149" customWidth="1"/>
    <col min="9533" max="9533" width="13.140625" style="149"/>
    <col min="9534" max="9536" width="1.140625" style="149" customWidth="1"/>
    <col min="9537" max="9537" width="1.28515625" style="149" customWidth="1"/>
    <col min="9538" max="9538" width="10.28515625" style="149" customWidth="1"/>
    <col min="9539" max="9539" width="1.85546875" style="149" customWidth="1"/>
    <col min="9540" max="9540" width="0.5703125" style="149" customWidth="1"/>
    <col min="9541" max="9542" width="1.5703125" style="149" customWidth="1"/>
    <col min="9543" max="9543" width="22.140625" style="149" customWidth="1"/>
    <col min="9544" max="9544" width="1.42578125" style="149" customWidth="1"/>
    <col min="9545" max="9545" width="1.5703125" style="149" customWidth="1"/>
    <col min="9546" max="9546" width="1.7109375" style="149" customWidth="1"/>
    <col min="9547" max="9547" width="1.85546875" style="149" customWidth="1"/>
    <col min="9548" max="9548" width="13.140625" style="149"/>
    <col min="9549" max="9550" width="1.42578125" style="149" customWidth="1"/>
    <col min="9551" max="9551" width="0.85546875" style="149" customWidth="1"/>
    <col min="9552" max="9552" width="1.5703125" style="149" customWidth="1"/>
    <col min="9553" max="9553" width="13.140625" style="149"/>
    <col min="9554" max="9554" width="1.42578125" style="149" customWidth="1"/>
    <col min="9555" max="9556" width="1.7109375" style="149" customWidth="1"/>
    <col min="9557" max="9557" width="1.42578125" style="149" customWidth="1"/>
    <col min="9558" max="9558" width="13.140625" style="149"/>
    <col min="9559" max="9559" width="1" style="149" customWidth="1"/>
    <col min="9560" max="9560" width="0.85546875" style="149" customWidth="1"/>
    <col min="9561" max="9561" width="1.140625" style="149" customWidth="1"/>
    <col min="9562" max="9562" width="1.42578125" style="149" customWidth="1"/>
    <col min="9563" max="9563" width="13.140625" style="149"/>
    <col min="9564" max="9564" width="1.42578125" style="149" customWidth="1"/>
    <col min="9565" max="9565" width="0.140625" style="149" customWidth="1"/>
    <col min="9566" max="9566" width="0.5703125" style="149" customWidth="1"/>
    <col min="9567" max="9567" width="1.28515625" style="149" customWidth="1"/>
    <col min="9568" max="9568" width="13.140625" style="149"/>
    <col min="9569" max="9569" width="1.140625" style="149" customWidth="1"/>
    <col min="9570" max="9570" width="1.28515625" style="149" customWidth="1"/>
    <col min="9571" max="9571" width="0.85546875" style="149" customWidth="1"/>
    <col min="9572" max="9572" width="1.140625" style="149" customWidth="1"/>
    <col min="9573" max="9573" width="13.140625" style="149"/>
    <col min="9574" max="9574" width="1.140625" style="149" customWidth="1"/>
    <col min="9575" max="9575" width="1" style="149" customWidth="1"/>
    <col min="9576" max="9576" width="1.28515625" style="149" customWidth="1"/>
    <col min="9577" max="9577" width="1" style="149" customWidth="1"/>
    <col min="9578" max="9578" width="13.140625" style="149"/>
    <col min="9579" max="9580" width="1.140625" style="149" customWidth="1"/>
    <col min="9581" max="9581" width="0.5703125" style="149" customWidth="1"/>
    <col min="9582" max="9582" width="1.5703125" style="149" customWidth="1"/>
    <col min="9583" max="9662" width="13.140625" style="149"/>
    <col min="9663" max="9664" width="2.85546875" style="149" customWidth="1"/>
    <col min="9665" max="9728" width="13.140625" style="149"/>
    <col min="9729" max="9729" width="28.42578125" style="149" customWidth="1"/>
    <col min="9730" max="9730" width="11.5703125" style="149" bestFit="1" customWidth="1"/>
    <col min="9731" max="9731" width="69.42578125" style="149" bestFit="1" customWidth="1"/>
    <col min="9732" max="9732" width="30.85546875" style="149" bestFit="1" customWidth="1"/>
    <col min="9733" max="9733" width="37.5703125" style="149" bestFit="1" customWidth="1"/>
    <col min="9734" max="9734" width="74.85546875" style="149" customWidth="1"/>
    <col min="9735" max="9735" width="30.85546875" style="149" bestFit="1" customWidth="1"/>
    <col min="9736" max="9736" width="35.85546875" style="149" bestFit="1" customWidth="1"/>
    <col min="9737" max="9772" width="13.140625" style="149" customWidth="1"/>
    <col min="9773" max="9773" width="8.140625" style="149" customWidth="1"/>
    <col min="9774" max="9774" width="15.28515625" style="149" customWidth="1"/>
    <col min="9775" max="9775" width="1.7109375" style="149" customWidth="1"/>
    <col min="9776" max="9777" width="1.140625" style="149" customWidth="1"/>
    <col min="9778" max="9778" width="1" style="149" customWidth="1"/>
    <col min="9779" max="9779" width="13.140625" style="149"/>
    <col min="9780" max="9783" width="1.140625" style="149" customWidth="1"/>
    <col min="9784" max="9784" width="13.140625" style="149"/>
    <col min="9785" max="9785" width="1" style="149" customWidth="1"/>
    <col min="9786" max="9786" width="0.28515625" style="149" customWidth="1"/>
    <col min="9787" max="9787" width="1.140625" style="149" customWidth="1"/>
    <col min="9788" max="9788" width="0.7109375" style="149" customWidth="1"/>
    <col min="9789" max="9789" width="13.140625" style="149"/>
    <col min="9790" max="9792" width="1.140625" style="149" customWidth="1"/>
    <col min="9793" max="9793" width="1.28515625" style="149" customWidth="1"/>
    <col min="9794" max="9794" width="10.28515625" style="149" customWidth="1"/>
    <col min="9795" max="9795" width="1.85546875" style="149" customWidth="1"/>
    <col min="9796" max="9796" width="0.5703125" style="149" customWidth="1"/>
    <col min="9797" max="9798" width="1.5703125" style="149" customWidth="1"/>
    <col min="9799" max="9799" width="22.140625" style="149" customWidth="1"/>
    <col min="9800" max="9800" width="1.42578125" style="149" customWidth="1"/>
    <col min="9801" max="9801" width="1.5703125" style="149" customWidth="1"/>
    <col min="9802" max="9802" width="1.7109375" style="149" customWidth="1"/>
    <col min="9803" max="9803" width="1.85546875" style="149" customWidth="1"/>
    <col min="9804" max="9804" width="13.140625" style="149"/>
    <col min="9805" max="9806" width="1.42578125" style="149" customWidth="1"/>
    <col min="9807" max="9807" width="0.85546875" style="149" customWidth="1"/>
    <col min="9808" max="9808" width="1.5703125" style="149" customWidth="1"/>
    <col min="9809" max="9809" width="13.140625" style="149"/>
    <col min="9810" max="9810" width="1.42578125" style="149" customWidth="1"/>
    <col min="9811" max="9812" width="1.7109375" style="149" customWidth="1"/>
    <col min="9813" max="9813" width="1.42578125" style="149" customWidth="1"/>
    <col min="9814" max="9814" width="13.140625" style="149"/>
    <col min="9815" max="9815" width="1" style="149" customWidth="1"/>
    <col min="9816" max="9816" width="0.85546875" style="149" customWidth="1"/>
    <col min="9817" max="9817" width="1.140625" style="149" customWidth="1"/>
    <col min="9818" max="9818" width="1.42578125" style="149" customWidth="1"/>
    <col min="9819" max="9819" width="13.140625" style="149"/>
    <col min="9820" max="9820" width="1.42578125" style="149" customWidth="1"/>
    <col min="9821" max="9821" width="0.140625" style="149" customWidth="1"/>
    <col min="9822" max="9822" width="0.5703125" style="149" customWidth="1"/>
    <col min="9823" max="9823" width="1.28515625" style="149" customWidth="1"/>
    <col min="9824" max="9824" width="13.140625" style="149"/>
    <col min="9825" max="9825" width="1.140625" style="149" customWidth="1"/>
    <col min="9826" max="9826" width="1.28515625" style="149" customWidth="1"/>
    <col min="9827" max="9827" width="0.85546875" style="149" customWidth="1"/>
    <col min="9828" max="9828" width="1.140625" style="149" customWidth="1"/>
    <col min="9829" max="9829" width="13.140625" style="149"/>
    <col min="9830" max="9830" width="1.140625" style="149" customWidth="1"/>
    <col min="9831" max="9831" width="1" style="149" customWidth="1"/>
    <col min="9832" max="9832" width="1.28515625" style="149" customWidth="1"/>
    <col min="9833" max="9833" width="1" style="149" customWidth="1"/>
    <col min="9834" max="9834" width="13.140625" style="149"/>
    <col min="9835" max="9836" width="1.140625" style="149" customWidth="1"/>
    <col min="9837" max="9837" width="0.5703125" style="149" customWidth="1"/>
    <col min="9838" max="9838" width="1.5703125" style="149" customWidth="1"/>
    <col min="9839" max="9918" width="13.140625" style="149"/>
    <col min="9919" max="9920" width="2.85546875" style="149" customWidth="1"/>
    <col min="9921" max="9984" width="13.140625" style="149"/>
    <col min="9985" max="9985" width="28.42578125" style="149" customWidth="1"/>
    <col min="9986" max="9986" width="11.5703125" style="149" bestFit="1" customWidth="1"/>
    <col min="9987" max="9987" width="69.42578125" style="149" bestFit="1" customWidth="1"/>
    <col min="9988" max="9988" width="30.85546875" style="149" bestFit="1" customWidth="1"/>
    <col min="9989" max="9989" width="37.5703125" style="149" bestFit="1" customWidth="1"/>
    <col min="9990" max="9990" width="74.85546875" style="149" customWidth="1"/>
    <col min="9991" max="9991" width="30.85546875" style="149" bestFit="1" customWidth="1"/>
    <col min="9992" max="9992" width="35.85546875" style="149" bestFit="1" customWidth="1"/>
    <col min="9993" max="10028" width="13.140625" style="149" customWidth="1"/>
    <col min="10029" max="10029" width="8.140625" style="149" customWidth="1"/>
    <col min="10030" max="10030" width="15.28515625" style="149" customWidth="1"/>
    <col min="10031" max="10031" width="1.7109375" style="149" customWidth="1"/>
    <col min="10032" max="10033" width="1.140625" style="149" customWidth="1"/>
    <col min="10034" max="10034" width="1" style="149" customWidth="1"/>
    <col min="10035" max="10035" width="13.140625" style="149"/>
    <col min="10036" max="10039" width="1.140625" style="149" customWidth="1"/>
    <col min="10040" max="10040" width="13.140625" style="149"/>
    <col min="10041" max="10041" width="1" style="149" customWidth="1"/>
    <col min="10042" max="10042" width="0.28515625" style="149" customWidth="1"/>
    <col min="10043" max="10043" width="1.140625" style="149" customWidth="1"/>
    <col min="10044" max="10044" width="0.7109375" style="149" customWidth="1"/>
    <col min="10045" max="10045" width="13.140625" style="149"/>
    <col min="10046" max="10048" width="1.140625" style="149" customWidth="1"/>
    <col min="10049" max="10049" width="1.28515625" style="149" customWidth="1"/>
    <col min="10050" max="10050" width="10.28515625" style="149" customWidth="1"/>
    <col min="10051" max="10051" width="1.85546875" style="149" customWidth="1"/>
    <col min="10052" max="10052" width="0.5703125" style="149" customWidth="1"/>
    <col min="10053" max="10054" width="1.5703125" style="149" customWidth="1"/>
    <col min="10055" max="10055" width="22.140625" style="149" customWidth="1"/>
    <col min="10056" max="10056" width="1.42578125" style="149" customWidth="1"/>
    <col min="10057" max="10057" width="1.5703125" style="149" customWidth="1"/>
    <col min="10058" max="10058" width="1.7109375" style="149" customWidth="1"/>
    <col min="10059" max="10059" width="1.85546875" style="149" customWidth="1"/>
    <col min="10060" max="10060" width="13.140625" style="149"/>
    <col min="10061" max="10062" width="1.42578125" style="149" customWidth="1"/>
    <col min="10063" max="10063" width="0.85546875" style="149" customWidth="1"/>
    <col min="10064" max="10064" width="1.5703125" style="149" customWidth="1"/>
    <col min="10065" max="10065" width="13.140625" style="149"/>
    <col min="10066" max="10066" width="1.42578125" style="149" customWidth="1"/>
    <col min="10067" max="10068" width="1.7109375" style="149" customWidth="1"/>
    <col min="10069" max="10069" width="1.42578125" style="149" customWidth="1"/>
    <col min="10070" max="10070" width="13.140625" style="149"/>
    <col min="10071" max="10071" width="1" style="149" customWidth="1"/>
    <col min="10072" max="10072" width="0.85546875" style="149" customWidth="1"/>
    <col min="10073" max="10073" width="1.140625" style="149" customWidth="1"/>
    <col min="10074" max="10074" width="1.42578125" style="149" customWidth="1"/>
    <col min="10075" max="10075" width="13.140625" style="149"/>
    <col min="10076" max="10076" width="1.42578125" style="149" customWidth="1"/>
    <col min="10077" max="10077" width="0.140625" style="149" customWidth="1"/>
    <col min="10078" max="10078" width="0.5703125" style="149" customWidth="1"/>
    <col min="10079" max="10079" width="1.28515625" style="149" customWidth="1"/>
    <col min="10080" max="10080" width="13.140625" style="149"/>
    <col min="10081" max="10081" width="1.140625" style="149" customWidth="1"/>
    <col min="10082" max="10082" width="1.28515625" style="149" customWidth="1"/>
    <col min="10083" max="10083" width="0.85546875" style="149" customWidth="1"/>
    <col min="10084" max="10084" width="1.140625" style="149" customWidth="1"/>
    <col min="10085" max="10085" width="13.140625" style="149"/>
    <col min="10086" max="10086" width="1.140625" style="149" customWidth="1"/>
    <col min="10087" max="10087" width="1" style="149" customWidth="1"/>
    <col min="10088" max="10088" width="1.28515625" style="149" customWidth="1"/>
    <col min="10089" max="10089" width="1" style="149" customWidth="1"/>
    <col min="10090" max="10090" width="13.140625" style="149"/>
    <col min="10091" max="10092" width="1.140625" style="149" customWidth="1"/>
    <col min="10093" max="10093" width="0.5703125" style="149" customWidth="1"/>
    <col min="10094" max="10094" width="1.5703125" style="149" customWidth="1"/>
    <col min="10095" max="10174" width="13.140625" style="149"/>
    <col min="10175" max="10176" width="2.85546875" style="149" customWidth="1"/>
    <col min="10177" max="10240" width="13.140625" style="149"/>
    <col min="10241" max="10241" width="28.42578125" style="149" customWidth="1"/>
    <col min="10242" max="10242" width="11.5703125" style="149" bestFit="1" customWidth="1"/>
    <col min="10243" max="10243" width="69.42578125" style="149" bestFit="1" customWidth="1"/>
    <col min="10244" max="10244" width="30.85546875" style="149" bestFit="1" customWidth="1"/>
    <col min="10245" max="10245" width="37.5703125" style="149" bestFit="1" customWidth="1"/>
    <col min="10246" max="10246" width="74.85546875" style="149" customWidth="1"/>
    <col min="10247" max="10247" width="30.85546875" style="149" bestFit="1" customWidth="1"/>
    <col min="10248" max="10248" width="35.85546875" style="149" bestFit="1" customWidth="1"/>
    <col min="10249" max="10284" width="13.140625" style="149" customWidth="1"/>
    <col min="10285" max="10285" width="8.140625" style="149" customWidth="1"/>
    <col min="10286" max="10286" width="15.28515625" style="149" customWidth="1"/>
    <col min="10287" max="10287" width="1.7109375" style="149" customWidth="1"/>
    <col min="10288" max="10289" width="1.140625" style="149" customWidth="1"/>
    <col min="10290" max="10290" width="1" style="149" customWidth="1"/>
    <col min="10291" max="10291" width="13.140625" style="149"/>
    <col min="10292" max="10295" width="1.140625" style="149" customWidth="1"/>
    <col min="10296" max="10296" width="13.140625" style="149"/>
    <col min="10297" max="10297" width="1" style="149" customWidth="1"/>
    <col min="10298" max="10298" width="0.28515625" style="149" customWidth="1"/>
    <col min="10299" max="10299" width="1.140625" style="149" customWidth="1"/>
    <col min="10300" max="10300" width="0.7109375" style="149" customWidth="1"/>
    <col min="10301" max="10301" width="13.140625" style="149"/>
    <col min="10302" max="10304" width="1.140625" style="149" customWidth="1"/>
    <col min="10305" max="10305" width="1.28515625" style="149" customWidth="1"/>
    <col min="10306" max="10306" width="10.28515625" style="149" customWidth="1"/>
    <col min="10307" max="10307" width="1.85546875" style="149" customWidth="1"/>
    <col min="10308" max="10308" width="0.5703125" style="149" customWidth="1"/>
    <col min="10309" max="10310" width="1.5703125" style="149" customWidth="1"/>
    <col min="10311" max="10311" width="22.140625" style="149" customWidth="1"/>
    <col min="10312" max="10312" width="1.42578125" style="149" customWidth="1"/>
    <col min="10313" max="10313" width="1.5703125" style="149" customWidth="1"/>
    <col min="10314" max="10314" width="1.7109375" style="149" customWidth="1"/>
    <col min="10315" max="10315" width="1.85546875" style="149" customWidth="1"/>
    <col min="10316" max="10316" width="13.140625" style="149"/>
    <col min="10317" max="10318" width="1.42578125" style="149" customWidth="1"/>
    <col min="10319" max="10319" width="0.85546875" style="149" customWidth="1"/>
    <col min="10320" max="10320" width="1.5703125" style="149" customWidth="1"/>
    <col min="10321" max="10321" width="13.140625" style="149"/>
    <col min="10322" max="10322" width="1.42578125" style="149" customWidth="1"/>
    <col min="10323" max="10324" width="1.7109375" style="149" customWidth="1"/>
    <col min="10325" max="10325" width="1.42578125" style="149" customWidth="1"/>
    <col min="10326" max="10326" width="13.140625" style="149"/>
    <col min="10327" max="10327" width="1" style="149" customWidth="1"/>
    <col min="10328" max="10328" width="0.85546875" style="149" customWidth="1"/>
    <col min="10329" max="10329" width="1.140625" style="149" customWidth="1"/>
    <col min="10330" max="10330" width="1.42578125" style="149" customWidth="1"/>
    <col min="10331" max="10331" width="13.140625" style="149"/>
    <col min="10332" max="10332" width="1.42578125" style="149" customWidth="1"/>
    <col min="10333" max="10333" width="0.140625" style="149" customWidth="1"/>
    <col min="10334" max="10334" width="0.5703125" style="149" customWidth="1"/>
    <col min="10335" max="10335" width="1.28515625" style="149" customWidth="1"/>
    <col min="10336" max="10336" width="13.140625" style="149"/>
    <col min="10337" max="10337" width="1.140625" style="149" customWidth="1"/>
    <col min="10338" max="10338" width="1.28515625" style="149" customWidth="1"/>
    <col min="10339" max="10339" width="0.85546875" style="149" customWidth="1"/>
    <col min="10340" max="10340" width="1.140625" style="149" customWidth="1"/>
    <col min="10341" max="10341" width="13.140625" style="149"/>
    <col min="10342" max="10342" width="1.140625" style="149" customWidth="1"/>
    <col min="10343" max="10343" width="1" style="149" customWidth="1"/>
    <col min="10344" max="10344" width="1.28515625" style="149" customWidth="1"/>
    <col min="10345" max="10345" width="1" style="149" customWidth="1"/>
    <col min="10346" max="10346" width="13.140625" style="149"/>
    <col min="10347" max="10348" width="1.140625" style="149" customWidth="1"/>
    <col min="10349" max="10349" width="0.5703125" style="149" customWidth="1"/>
    <col min="10350" max="10350" width="1.5703125" style="149" customWidth="1"/>
    <col min="10351" max="10430" width="13.140625" style="149"/>
    <col min="10431" max="10432" width="2.85546875" style="149" customWidth="1"/>
    <col min="10433" max="10496" width="13.140625" style="149"/>
    <col min="10497" max="10497" width="28.42578125" style="149" customWidth="1"/>
    <col min="10498" max="10498" width="11.5703125" style="149" bestFit="1" customWidth="1"/>
    <col min="10499" max="10499" width="69.42578125" style="149" bestFit="1" customWidth="1"/>
    <col min="10500" max="10500" width="30.85546875" style="149" bestFit="1" customWidth="1"/>
    <col min="10501" max="10501" width="37.5703125" style="149" bestFit="1" customWidth="1"/>
    <col min="10502" max="10502" width="74.85546875" style="149" customWidth="1"/>
    <col min="10503" max="10503" width="30.85546875" style="149" bestFit="1" customWidth="1"/>
    <col min="10504" max="10504" width="35.85546875" style="149" bestFit="1" customWidth="1"/>
    <col min="10505" max="10540" width="13.140625" style="149" customWidth="1"/>
    <col min="10541" max="10541" width="8.140625" style="149" customWidth="1"/>
    <col min="10542" max="10542" width="15.28515625" style="149" customWidth="1"/>
    <col min="10543" max="10543" width="1.7109375" style="149" customWidth="1"/>
    <col min="10544" max="10545" width="1.140625" style="149" customWidth="1"/>
    <col min="10546" max="10546" width="1" style="149" customWidth="1"/>
    <col min="10547" max="10547" width="13.140625" style="149"/>
    <col min="10548" max="10551" width="1.140625" style="149" customWidth="1"/>
    <col min="10552" max="10552" width="13.140625" style="149"/>
    <col min="10553" max="10553" width="1" style="149" customWidth="1"/>
    <col min="10554" max="10554" width="0.28515625" style="149" customWidth="1"/>
    <col min="10555" max="10555" width="1.140625" style="149" customWidth="1"/>
    <col min="10556" max="10556" width="0.7109375" style="149" customWidth="1"/>
    <col min="10557" max="10557" width="13.140625" style="149"/>
    <col min="10558" max="10560" width="1.140625" style="149" customWidth="1"/>
    <col min="10561" max="10561" width="1.28515625" style="149" customWidth="1"/>
    <col min="10562" max="10562" width="10.28515625" style="149" customWidth="1"/>
    <col min="10563" max="10563" width="1.85546875" style="149" customWidth="1"/>
    <col min="10564" max="10564" width="0.5703125" style="149" customWidth="1"/>
    <col min="10565" max="10566" width="1.5703125" style="149" customWidth="1"/>
    <col min="10567" max="10567" width="22.140625" style="149" customWidth="1"/>
    <col min="10568" max="10568" width="1.42578125" style="149" customWidth="1"/>
    <col min="10569" max="10569" width="1.5703125" style="149" customWidth="1"/>
    <col min="10570" max="10570" width="1.7109375" style="149" customWidth="1"/>
    <col min="10571" max="10571" width="1.85546875" style="149" customWidth="1"/>
    <col min="10572" max="10572" width="13.140625" style="149"/>
    <col min="10573" max="10574" width="1.42578125" style="149" customWidth="1"/>
    <col min="10575" max="10575" width="0.85546875" style="149" customWidth="1"/>
    <col min="10576" max="10576" width="1.5703125" style="149" customWidth="1"/>
    <col min="10577" max="10577" width="13.140625" style="149"/>
    <col min="10578" max="10578" width="1.42578125" style="149" customWidth="1"/>
    <col min="10579" max="10580" width="1.7109375" style="149" customWidth="1"/>
    <col min="10581" max="10581" width="1.42578125" style="149" customWidth="1"/>
    <col min="10582" max="10582" width="13.140625" style="149"/>
    <col min="10583" max="10583" width="1" style="149" customWidth="1"/>
    <col min="10584" max="10584" width="0.85546875" style="149" customWidth="1"/>
    <col min="10585" max="10585" width="1.140625" style="149" customWidth="1"/>
    <col min="10586" max="10586" width="1.42578125" style="149" customWidth="1"/>
    <col min="10587" max="10587" width="13.140625" style="149"/>
    <col min="10588" max="10588" width="1.42578125" style="149" customWidth="1"/>
    <col min="10589" max="10589" width="0.140625" style="149" customWidth="1"/>
    <col min="10590" max="10590" width="0.5703125" style="149" customWidth="1"/>
    <col min="10591" max="10591" width="1.28515625" style="149" customWidth="1"/>
    <col min="10592" max="10592" width="13.140625" style="149"/>
    <col min="10593" max="10593" width="1.140625" style="149" customWidth="1"/>
    <col min="10594" max="10594" width="1.28515625" style="149" customWidth="1"/>
    <col min="10595" max="10595" width="0.85546875" style="149" customWidth="1"/>
    <col min="10596" max="10596" width="1.140625" style="149" customWidth="1"/>
    <col min="10597" max="10597" width="13.140625" style="149"/>
    <col min="10598" max="10598" width="1.140625" style="149" customWidth="1"/>
    <col min="10599" max="10599" width="1" style="149" customWidth="1"/>
    <col min="10600" max="10600" width="1.28515625" style="149" customWidth="1"/>
    <col min="10601" max="10601" width="1" style="149" customWidth="1"/>
    <col min="10602" max="10602" width="13.140625" style="149"/>
    <col min="10603" max="10604" width="1.140625" style="149" customWidth="1"/>
    <col min="10605" max="10605" width="0.5703125" style="149" customWidth="1"/>
    <col min="10606" max="10606" width="1.5703125" style="149" customWidth="1"/>
    <col min="10607" max="10686" width="13.140625" style="149"/>
    <col min="10687" max="10688" width="2.85546875" style="149" customWidth="1"/>
    <col min="10689" max="10752" width="13.140625" style="149"/>
    <col min="10753" max="10753" width="28.42578125" style="149" customWidth="1"/>
    <col min="10754" max="10754" width="11.5703125" style="149" bestFit="1" customWidth="1"/>
    <col min="10755" max="10755" width="69.42578125" style="149" bestFit="1" customWidth="1"/>
    <col min="10756" max="10756" width="30.85546875" style="149" bestFit="1" customWidth="1"/>
    <col min="10757" max="10757" width="37.5703125" style="149" bestFit="1" customWidth="1"/>
    <col min="10758" max="10758" width="74.85546875" style="149" customWidth="1"/>
    <col min="10759" max="10759" width="30.85546875" style="149" bestFit="1" customWidth="1"/>
    <col min="10760" max="10760" width="35.85546875" style="149" bestFit="1" customWidth="1"/>
    <col min="10761" max="10796" width="13.140625" style="149" customWidth="1"/>
    <col min="10797" max="10797" width="8.140625" style="149" customWidth="1"/>
    <col min="10798" max="10798" width="15.28515625" style="149" customWidth="1"/>
    <col min="10799" max="10799" width="1.7109375" style="149" customWidth="1"/>
    <col min="10800" max="10801" width="1.140625" style="149" customWidth="1"/>
    <col min="10802" max="10802" width="1" style="149" customWidth="1"/>
    <col min="10803" max="10803" width="13.140625" style="149"/>
    <col min="10804" max="10807" width="1.140625" style="149" customWidth="1"/>
    <col min="10808" max="10808" width="13.140625" style="149"/>
    <col min="10809" max="10809" width="1" style="149" customWidth="1"/>
    <col min="10810" max="10810" width="0.28515625" style="149" customWidth="1"/>
    <col min="10811" max="10811" width="1.140625" style="149" customWidth="1"/>
    <col min="10812" max="10812" width="0.7109375" style="149" customWidth="1"/>
    <col min="10813" max="10813" width="13.140625" style="149"/>
    <col min="10814" max="10816" width="1.140625" style="149" customWidth="1"/>
    <col min="10817" max="10817" width="1.28515625" style="149" customWidth="1"/>
    <col min="10818" max="10818" width="10.28515625" style="149" customWidth="1"/>
    <col min="10819" max="10819" width="1.85546875" style="149" customWidth="1"/>
    <col min="10820" max="10820" width="0.5703125" style="149" customWidth="1"/>
    <col min="10821" max="10822" width="1.5703125" style="149" customWidth="1"/>
    <col min="10823" max="10823" width="22.140625" style="149" customWidth="1"/>
    <col min="10824" max="10824" width="1.42578125" style="149" customWidth="1"/>
    <col min="10825" max="10825" width="1.5703125" style="149" customWidth="1"/>
    <col min="10826" max="10826" width="1.7109375" style="149" customWidth="1"/>
    <col min="10827" max="10827" width="1.85546875" style="149" customWidth="1"/>
    <col min="10828" max="10828" width="13.140625" style="149"/>
    <col min="10829" max="10830" width="1.42578125" style="149" customWidth="1"/>
    <col min="10831" max="10831" width="0.85546875" style="149" customWidth="1"/>
    <col min="10832" max="10832" width="1.5703125" style="149" customWidth="1"/>
    <col min="10833" max="10833" width="13.140625" style="149"/>
    <col min="10834" max="10834" width="1.42578125" style="149" customWidth="1"/>
    <col min="10835" max="10836" width="1.7109375" style="149" customWidth="1"/>
    <col min="10837" max="10837" width="1.42578125" style="149" customWidth="1"/>
    <col min="10838" max="10838" width="13.140625" style="149"/>
    <col min="10839" max="10839" width="1" style="149" customWidth="1"/>
    <col min="10840" max="10840" width="0.85546875" style="149" customWidth="1"/>
    <col min="10841" max="10841" width="1.140625" style="149" customWidth="1"/>
    <col min="10842" max="10842" width="1.42578125" style="149" customWidth="1"/>
    <col min="10843" max="10843" width="13.140625" style="149"/>
    <col min="10844" max="10844" width="1.42578125" style="149" customWidth="1"/>
    <col min="10845" max="10845" width="0.140625" style="149" customWidth="1"/>
    <col min="10846" max="10846" width="0.5703125" style="149" customWidth="1"/>
    <col min="10847" max="10847" width="1.28515625" style="149" customWidth="1"/>
    <col min="10848" max="10848" width="13.140625" style="149"/>
    <col min="10849" max="10849" width="1.140625" style="149" customWidth="1"/>
    <col min="10850" max="10850" width="1.28515625" style="149" customWidth="1"/>
    <col min="10851" max="10851" width="0.85546875" style="149" customWidth="1"/>
    <col min="10852" max="10852" width="1.140625" style="149" customWidth="1"/>
    <col min="10853" max="10853" width="13.140625" style="149"/>
    <col min="10854" max="10854" width="1.140625" style="149" customWidth="1"/>
    <col min="10855" max="10855" width="1" style="149" customWidth="1"/>
    <col min="10856" max="10856" width="1.28515625" style="149" customWidth="1"/>
    <col min="10857" max="10857" width="1" style="149" customWidth="1"/>
    <col min="10858" max="10858" width="13.140625" style="149"/>
    <col min="10859" max="10860" width="1.140625" style="149" customWidth="1"/>
    <col min="10861" max="10861" width="0.5703125" style="149" customWidth="1"/>
    <col min="10862" max="10862" width="1.5703125" style="149" customWidth="1"/>
    <col min="10863" max="10942" width="13.140625" style="149"/>
    <col min="10943" max="10944" width="2.85546875" style="149" customWidth="1"/>
    <col min="10945" max="11008" width="13.140625" style="149"/>
    <col min="11009" max="11009" width="28.42578125" style="149" customWidth="1"/>
    <col min="11010" max="11010" width="11.5703125" style="149" bestFit="1" customWidth="1"/>
    <col min="11011" max="11011" width="69.42578125" style="149" bestFit="1" customWidth="1"/>
    <col min="11012" max="11012" width="30.85546875" style="149" bestFit="1" customWidth="1"/>
    <col min="11013" max="11013" width="37.5703125" style="149" bestFit="1" customWidth="1"/>
    <col min="11014" max="11014" width="74.85546875" style="149" customWidth="1"/>
    <col min="11015" max="11015" width="30.85546875" style="149" bestFit="1" customWidth="1"/>
    <col min="11016" max="11016" width="35.85546875" style="149" bestFit="1" customWidth="1"/>
    <col min="11017" max="11052" width="13.140625" style="149" customWidth="1"/>
    <col min="11053" max="11053" width="8.140625" style="149" customWidth="1"/>
    <col min="11054" max="11054" width="15.28515625" style="149" customWidth="1"/>
    <col min="11055" max="11055" width="1.7109375" style="149" customWidth="1"/>
    <col min="11056" max="11057" width="1.140625" style="149" customWidth="1"/>
    <col min="11058" max="11058" width="1" style="149" customWidth="1"/>
    <col min="11059" max="11059" width="13.140625" style="149"/>
    <col min="11060" max="11063" width="1.140625" style="149" customWidth="1"/>
    <col min="11064" max="11064" width="13.140625" style="149"/>
    <col min="11065" max="11065" width="1" style="149" customWidth="1"/>
    <col min="11066" max="11066" width="0.28515625" style="149" customWidth="1"/>
    <col min="11067" max="11067" width="1.140625" style="149" customWidth="1"/>
    <col min="11068" max="11068" width="0.7109375" style="149" customWidth="1"/>
    <col min="11069" max="11069" width="13.140625" style="149"/>
    <col min="11070" max="11072" width="1.140625" style="149" customWidth="1"/>
    <col min="11073" max="11073" width="1.28515625" style="149" customWidth="1"/>
    <col min="11074" max="11074" width="10.28515625" style="149" customWidth="1"/>
    <col min="11075" max="11075" width="1.85546875" style="149" customWidth="1"/>
    <col min="11076" max="11076" width="0.5703125" style="149" customWidth="1"/>
    <col min="11077" max="11078" width="1.5703125" style="149" customWidth="1"/>
    <col min="11079" max="11079" width="22.140625" style="149" customWidth="1"/>
    <col min="11080" max="11080" width="1.42578125" style="149" customWidth="1"/>
    <col min="11081" max="11081" width="1.5703125" style="149" customWidth="1"/>
    <col min="11082" max="11082" width="1.7109375" style="149" customWidth="1"/>
    <col min="11083" max="11083" width="1.85546875" style="149" customWidth="1"/>
    <col min="11084" max="11084" width="13.140625" style="149"/>
    <col min="11085" max="11086" width="1.42578125" style="149" customWidth="1"/>
    <col min="11087" max="11087" width="0.85546875" style="149" customWidth="1"/>
    <col min="11088" max="11088" width="1.5703125" style="149" customWidth="1"/>
    <col min="11089" max="11089" width="13.140625" style="149"/>
    <col min="11090" max="11090" width="1.42578125" style="149" customWidth="1"/>
    <col min="11091" max="11092" width="1.7109375" style="149" customWidth="1"/>
    <col min="11093" max="11093" width="1.42578125" style="149" customWidth="1"/>
    <col min="11094" max="11094" width="13.140625" style="149"/>
    <col min="11095" max="11095" width="1" style="149" customWidth="1"/>
    <col min="11096" max="11096" width="0.85546875" style="149" customWidth="1"/>
    <col min="11097" max="11097" width="1.140625" style="149" customWidth="1"/>
    <col min="11098" max="11098" width="1.42578125" style="149" customWidth="1"/>
    <col min="11099" max="11099" width="13.140625" style="149"/>
    <col min="11100" max="11100" width="1.42578125" style="149" customWidth="1"/>
    <col min="11101" max="11101" width="0.140625" style="149" customWidth="1"/>
    <col min="11102" max="11102" width="0.5703125" style="149" customWidth="1"/>
    <col min="11103" max="11103" width="1.28515625" style="149" customWidth="1"/>
    <col min="11104" max="11104" width="13.140625" style="149"/>
    <col min="11105" max="11105" width="1.140625" style="149" customWidth="1"/>
    <col min="11106" max="11106" width="1.28515625" style="149" customWidth="1"/>
    <col min="11107" max="11107" width="0.85546875" style="149" customWidth="1"/>
    <col min="11108" max="11108" width="1.140625" style="149" customWidth="1"/>
    <col min="11109" max="11109" width="13.140625" style="149"/>
    <col min="11110" max="11110" width="1.140625" style="149" customWidth="1"/>
    <col min="11111" max="11111" width="1" style="149" customWidth="1"/>
    <col min="11112" max="11112" width="1.28515625" style="149" customWidth="1"/>
    <col min="11113" max="11113" width="1" style="149" customWidth="1"/>
    <col min="11114" max="11114" width="13.140625" style="149"/>
    <col min="11115" max="11116" width="1.140625" style="149" customWidth="1"/>
    <col min="11117" max="11117" width="0.5703125" style="149" customWidth="1"/>
    <col min="11118" max="11118" width="1.5703125" style="149" customWidth="1"/>
    <col min="11119" max="11198" width="13.140625" style="149"/>
    <col min="11199" max="11200" width="2.85546875" style="149" customWidth="1"/>
    <col min="11201" max="11264" width="13.140625" style="149"/>
    <col min="11265" max="11265" width="28.42578125" style="149" customWidth="1"/>
    <col min="11266" max="11266" width="11.5703125" style="149" bestFit="1" customWidth="1"/>
    <col min="11267" max="11267" width="69.42578125" style="149" bestFit="1" customWidth="1"/>
    <col min="11268" max="11268" width="30.85546875" style="149" bestFit="1" customWidth="1"/>
    <col min="11269" max="11269" width="37.5703125" style="149" bestFit="1" customWidth="1"/>
    <col min="11270" max="11270" width="74.85546875" style="149" customWidth="1"/>
    <col min="11271" max="11271" width="30.85546875" style="149" bestFit="1" customWidth="1"/>
    <col min="11272" max="11272" width="35.85546875" style="149" bestFit="1" customWidth="1"/>
    <col min="11273" max="11308" width="13.140625" style="149" customWidth="1"/>
    <col min="11309" max="11309" width="8.140625" style="149" customWidth="1"/>
    <col min="11310" max="11310" width="15.28515625" style="149" customWidth="1"/>
    <col min="11311" max="11311" width="1.7109375" style="149" customWidth="1"/>
    <col min="11312" max="11313" width="1.140625" style="149" customWidth="1"/>
    <col min="11314" max="11314" width="1" style="149" customWidth="1"/>
    <col min="11315" max="11315" width="13.140625" style="149"/>
    <col min="11316" max="11319" width="1.140625" style="149" customWidth="1"/>
    <col min="11320" max="11320" width="13.140625" style="149"/>
    <col min="11321" max="11321" width="1" style="149" customWidth="1"/>
    <col min="11322" max="11322" width="0.28515625" style="149" customWidth="1"/>
    <col min="11323" max="11323" width="1.140625" style="149" customWidth="1"/>
    <col min="11324" max="11324" width="0.7109375" style="149" customWidth="1"/>
    <col min="11325" max="11325" width="13.140625" style="149"/>
    <col min="11326" max="11328" width="1.140625" style="149" customWidth="1"/>
    <col min="11329" max="11329" width="1.28515625" style="149" customWidth="1"/>
    <col min="11330" max="11330" width="10.28515625" style="149" customWidth="1"/>
    <col min="11331" max="11331" width="1.85546875" style="149" customWidth="1"/>
    <col min="11332" max="11332" width="0.5703125" style="149" customWidth="1"/>
    <col min="11333" max="11334" width="1.5703125" style="149" customWidth="1"/>
    <col min="11335" max="11335" width="22.140625" style="149" customWidth="1"/>
    <col min="11336" max="11336" width="1.42578125" style="149" customWidth="1"/>
    <col min="11337" max="11337" width="1.5703125" style="149" customWidth="1"/>
    <col min="11338" max="11338" width="1.7109375" style="149" customWidth="1"/>
    <col min="11339" max="11339" width="1.85546875" style="149" customWidth="1"/>
    <col min="11340" max="11340" width="13.140625" style="149"/>
    <col min="11341" max="11342" width="1.42578125" style="149" customWidth="1"/>
    <col min="11343" max="11343" width="0.85546875" style="149" customWidth="1"/>
    <col min="11344" max="11344" width="1.5703125" style="149" customWidth="1"/>
    <col min="11345" max="11345" width="13.140625" style="149"/>
    <col min="11346" max="11346" width="1.42578125" style="149" customWidth="1"/>
    <col min="11347" max="11348" width="1.7109375" style="149" customWidth="1"/>
    <col min="11349" max="11349" width="1.42578125" style="149" customWidth="1"/>
    <col min="11350" max="11350" width="13.140625" style="149"/>
    <col min="11351" max="11351" width="1" style="149" customWidth="1"/>
    <col min="11352" max="11352" width="0.85546875" style="149" customWidth="1"/>
    <col min="11353" max="11353" width="1.140625" style="149" customWidth="1"/>
    <col min="11354" max="11354" width="1.42578125" style="149" customWidth="1"/>
    <col min="11355" max="11355" width="13.140625" style="149"/>
    <col min="11356" max="11356" width="1.42578125" style="149" customWidth="1"/>
    <col min="11357" max="11357" width="0.140625" style="149" customWidth="1"/>
    <col min="11358" max="11358" width="0.5703125" style="149" customWidth="1"/>
    <col min="11359" max="11359" width="1.28515625" style="149" customWidth="1"/>
    <col min="11360" max="11360" width="13.140625" style="149"/>
    <col min="11361" max="11361" width="1.140625" style="149" customWidth="1"/>
    <col min="11362" max="11362" width="1.28515625" style="149" customWidth="1"/>
    <col min="11363" max="11363" width="0.85546875" style="149" customWidth="1"/>
    <col min="11364" max="11364" width="1.140625" style="149" customWidth="1"/>
    <col min="11365" max="11365" width="13.140625" style="149"/>
    <col min="11366" max="11366" width="1.140625" style="149" customWidth="1"/>
    <col min="11367" max="11367" width="1" style="149" customWidth="1"/>
    <col min="11368" max="11368" width="1.28515625" style="149" customWidth="1"/>
    <col min="11369" max="11369" width="1" style="149" customWidth="1"/>
    <col min="11370" max="11370" width="13.140625" style="149"/>
    <col min="11371" max="11372" width="1.140625" style="149" customWidth="1"/>
    <col min="11373" max="11373" width="0.5703125" style="149" customWidth="1"/>
    <col min="11374" max="11374" width="1.5703125" style="149" customWidth="1"/>
    <col min="11375" max="11454" width="13.140625" style="149"/>
    <col min="11455" max="11456" width="2.85546875" style="149" customWidth="1"/>
    <col min="11457" max="11520" width="13.140625" style="149"/>
    <col min="11521" max="11521" width="28.42578125" style="149" customWidth="1"/>
    <col min="11522" max="11522" width="11.5703125" style="149" bestFit="1" customWidth="1"/>
    <col min="11523" max="11523" width="69.42578125" style="149" bestFit="1" customWidth="1"/>
    <col min="11524" max="11524" width="30.85546875" style="149" bestFit="1" customWidth="1"/>
    <col min="11525" max="11525" width="37.5703125" style="149" bestFit="1" customWidth="1"/>
    <col min="11526" max="11526" width="74.85546875" style="149" customWidth="1"/>
    <col min="11527" max="11527" width="30.85546875" style="149" bestFit="1" customWidth="1"/>
    <col min="11528" max="11528" width="35.85546875" style="149" bestFit="1" customWidth="1"/>
    <col min="11529" max="11564" width="13.140625" style="149" customWidth="1"/>
    <col min="11565" max="11565" width="8.140625" style="149" customWidth="1"/>
    <col min="11566" max="11566" width="15.28515625" style="149" customWidth="1"/>
    <col min="11567" max="11567" width="1.7109375" style="149" customWidth="1"/>
    <col min="11568" max="11569" width="1.140625" style="149" customWidth="1"/>
    <col min="11570" max="11570" width="1" style="149" customWidth="1"/>
    <col min="11571" max="11571" width="13.140625" style="149"/>
    <col min="11572" max="11575" width="1.140625" style="149" customWidth="1"/>
    <col min="11576" max="11576" width="13.140625" style="149"/>
    <col min="11577" max="11577" width="1" style="149" customWidth="1"/>
    <col min="11578" max="11578" width="0.28515625" style="149" customWidth="1"/>
    <col min="11579" max="11579" width="1.140625" style="149" customWidth="1"/>
    <col min="11580" max="11580" width="0.7109375" style="149" customWidth="1"/>
    <col min="11581" max="11581" width="13.140625" style="149"/>
    <col min="11582" max="11584" width="1.140625" style="149" customWidth="1"/>
    <col min="11585" max="11585" width="1.28515625" style="149" customWidth="1"/>
    <col min="11586" max="11586" width="10.28515625" style="149" customWidth="1"/>
    <col min="11587" max="11587" width="1.85546875" style="149" customWidth="1"/>
    <col min="11588" max="11588" width="0.5703125" style="149" customWidth="1"/>
    <col min="11589" max="11590" width="1.5703125" style="149" customWidth="1"/>
    <col min="11591" max="11591" width="22.140625" style="149" customWidth="1"/>
    <col min="11592" max="11592" width="1.42578125" style="149" customWidth="1"/>
    <col min="11593" max="11593" width="1.5703125" style="149" customWidth="1"/>
    <col min="11594" max="11594" width="1.7109375" style="149" customWidth="1"/>
    <col min="11595" max="11595" width="1.85546875" style="149" customWidth="1"/>
    <col min="11596" max="11596" width="13.140625" style="149"/>
    <col min="11597" max="11598" width="1.42578125" style="149" customWidth="1"/>
    <col min="11599" max="11599" width="0.85546875" style="149" customWidth="1"/>
    <col min="11600" max="11600" width="1.5703125" style="149" customWidth="1"/>
    <col min="11601" max="11601" width="13.140625" style="149"/>
    <col min="11602" max="11602" width="1.42578125" style="149" customWidth="1"/>
    <col min="11603" max="11604" width="1.7109375" style="149" customWidth="1"/>
    <col min="11605" max="11605" width="1.42578125" style="149" customWidth="1"/>
    <col min="11606" max="11606" width="13.140625" style="149"/>
    <col min="11607" max="11607" width="1" style="149" customWidth="1"/>
    <col min="11608" max="11608" width="0.85546875" style="149" customWidth="1"/>
    <col min="11609" max="11609" width="1.140625" style="149" customWidth="1"/>
    <col min="11610" max="11610" width="1.42578125" style="149" customWidth="1"/>
    <col min="11611" max="11611" width="13.140625" style="149"/>
    <col min="11612" max="11612" width="1.42578125" style="149" customWidth="1"/>
    <col min="11613" max="11613" width="0.140625" style="149" customWidth="1"/>
    <col min="11614" max="11614" width="0.5703125" style="149" customWidth="1"/>
    <col min="11615" max="11615" width="1.28515625" style="149" customWidth="1"/>
    <col min="11616" max="11616" width="13.140625" style="149"/>
    <col min="11617" max="11617" width="1.140625" style="149" customWidth="1"/>
    <col min="11618" max="11618" width="1.28515625" style="149" customWidth="1"/>
    <col min="11619" max="11619" width="0.85546875" style="149" customWidth="1"/>
    <col min="11620" max="11620" width="1.140625" style="149" customWidth="1"/>
    <col min="11621" max="11621" width="13.140625" style="149"/>
    <col min="11622" max="11622" width="1.140625" style="149" customWidth="1"/>
    <col min="11623" max="11623" width="1" style="149" customWidth="1"/>
    <col min="11624" max="11624" width="1.28515625" style="149" customWidth="1"/>
    <col min="11625" max="11625" width="1" style="149" customWidth="1"/>
    <col min="11626" max="11626" width="13.140625" style="149"/>
    <col min="11627" max="11628" width="1.140625" style="149" customWidth="1"/>
    <col min="11629" max="11629" width="0.5703125" style="149" customWidth="1"/>
    <col min="11630" max="11630" width="1.5703125" style="149" customWidth="1"/>
    <col min="11631" max="11710" width="13.140625" style="149"/>
    <col min="11711" max="11712" width="2.85546875" style="149" customWidth="1"/>
    <col min="11713" max="11776" width="13.140625" style="149"/>
    <col min="11777" max="11777" width="28.42578125" style="149" customWidth="1"/>
    <col min="11778" max="11778" width="11.5703125" style="149" bestFit="1" customWidth="1"/>
    <col min="11779" max="11779" width="69.42578125" style="149" bestFit="1" customWidth="1"/>
    <col min="11780" max="11780" width="30.85546875" style="149" bestFit="1" customWidth="1"/>
    <col min="11781" max="11781" width="37.5703125" style="149" bestFit="1" customWidth="1"/>
    <col min="11782" max="11782" width="74.85546875" style="149" customWidth="1"/>
    <col min="11783" max="11783" width="30.85546875" style="149" bestFit="1" customWidth="1"/>
    <col min="11784" max="11784" width="35.85546875" style="149" bestFit="1" customWidth="1"/>
    <col min="11785" max="11820" width="13.140625" style="149" customWidth="1"/>
    <col min="11821" max="11821" width="8.140625" style="149" customWidth="1"/>
    <col min="11822" max="11822" width="15.28515625" style="149" customWidth="1"/>
    <col min="11823" max="11823" width="1.7109375" style="149" customWidth="1"/>
    <col min="11824" max="11825" width="1.140625" style="149" customWidth="1"/>
    <col min="11826" max="11826" width="1" style="149" customWidth="1"/>
    <col min="11827" max="11827" width="13.140625" style="149"/>
    <col min="11828" max="11831" width="1.140625" style="149" customWidth="1"/>
    <col min="11832" max="11832" width="13.140625" style="149"/>
    <col min="11833" max="11833" width="1" style="149" customWidth="1"/>
    <col min="11834" max="11834" width="0.28515625" style="149" customWidth="1"/>
    <col min="11835" max="11835" width="1.140625" style="149" customWidth="1"/>
    <col min="11836" max="11836" width="0.7109375" style="149" customWidth="1"/>
    <col min="11837" max="11837" width="13.140625" style="149"/>
    <col min="11838" max="11840" width="1.140625" style="149" customWidth="1"/>
    <col min="11841" max="11841" width="1.28515625" style="149" customWidth="1"/>
    <col min="11842" max="11842" width="10.28515625" style="149" customWidth="1"/>
    <col min="11843" max="11843" width="1.85546875" style="149" customWidth="1"/>
    <col min="11844" max="11844" width="0.5703125" style="149" customWidth="1"/>
    <col min="11845" max="11846" width="1.5703125" style="149" customWidth="1"/>
    <col min="11847" max="11847" width="22.140625" style="149" customWidth="1"/>
    <col min="11848" max="11848" width="1.42578125" style="149" customWidth="1"/>
    <col min="11849" max="11849" width="1.5703125" style="149" customWidth="1"/>
    <col min="11850" max="11850" width="1.7109375" style="149" customWidth="1"/>
    <col min="11851" max="11851" width="1.85546875" style="149" customWidth="1"/>
    <col min="11852" max="11852" width="13.140625" style="149"/>
    <col min="11853" max="11854" width="1.42578125" style="149" customWidth="1"/>
    <col min="11855" max="11855" width="0.85546875" style="149" customWidth="1"/>
    <col min="11856" max="11856" width="1.5703125" style="149" customWidth="1"/>
    <col min="11857" max="11857" width="13.140625" style="149"/>
    <col min="11858" max="11858" width="1.42578125" style="149" customWidth="1"/>
    <col min="11859" max="11860" width="1.7109375" style="149" customWidth="1"/>
    <col min="11861" max="11861" width="1.42578125" style="149" customWidth="1"/>
    <col min="11862" max="11862" width="13.140625" style="149"/>
    <col min="11863" max="11863" width="1" style="149" customWidth="1"/>
    <col min="11864" max="11864" width="0.85546875" style="149" customWidth="1"/>
    <col min="11865" max="11865" width="1.140625" style="149" customWidth="1"/>
    <col min="11866" max="11866" width="1.42578125" style="149" customWidth="1"/>
    <col min="11867" max="11867" width="13.140625" style="149"/>
    <col min="11868" max="11868" width="1.42578125" style="149" customWidth="1"/>
    <col min="11869" max="11869" width="0.140625" style="149" customWidth="1"/>
    <col min="11870" max="11870" width="0.5703125" style="149" customWidth="1"/>
    <col min="11871" max="11871" width="1.28515625" style="149" customWidth="1"/>
    <col min="11872" max="11872" width="13.140625" style="149"/>
    <col min="11873" max="11873" width="1.140625" style="149" customWidth="1"/>
    <col min="11874" max="11874" width="1.28515625" style="149" customWidth="1"/>
    <col min="11875" max="11875" width="0.85546875" style="149" customWidth="1"/>
    <col min="11876" max="11876" width="1.140625" style="149" customWidth="1"/>
    <col min="11877" max="11877" width="13.140625" style="149"/>
    <col min="11878" max="11878" width="1.140625" style="149" customWidth="1"/>
    <col min="11879" max="11879" width="1" style="149" customWidth="1"/>
    <col min="11880" max="11880" width="1.28515625" style="149" customWidth="1"/>
    <col min="11881" max="11881" width="1" style="149" customWidth="1"/>
    <col min="11882" max="11882" width="13.140625" style="149"/>
    <col min="11883" max="11884" width="1.140625" style="149" customWidth="1"/>
    <col min="11885" max="11885" width="0.5703125" style="149" customWidth="1"/>
    <col min="11886" max="11886" width="1.5703125" style="149" customWidth="1"/>
    <col min="11887" max="11966" width="13.140625" style="149"/>
    <col min="11967" max="11968" width="2.85546875" style="149" customWidth="1"/>
    <col min="11969" max="12032" width="13.140625" style="149"/>
    <col min="12033" max="12033" width="28.42578125" style="149" customWidth="1"/>
    <col min="12034" max="12034" width="11.5703125" style="149" bestFit="1" customWidth="1"/>
    <col min="12035" max="12035" width="69.42578125" style="149" bestFit="1" customWidth="1"/>
    <col min="12036" max="12036" width="30.85546875" style="149" bestFit="1" customWidth="1"/>
    <col min="12037" max="12037" width="37.5703125" style="149" bestFit="1" customWidth="1"/>
    <col min="12038" max="12038" width="74.85546875" style="149" customWidth="1"/>
    <col min="12039" max="12039" width="30.85546875" style="149" bestFit="1" customWidth="1"/>
    <col min="12040" max="12040" width="35.85546875" style="149" bestFit="1" customWidth="1"/>
    <col min="12041" max="12076" width="13.140625" style="149" customWidth="1"/>
    <col min="12077" max="12077" width="8.140625" style="149" customWidth="1"/>
    <col min="12078" max="12078" width="15.28515625" style="149" customWidth="1"/>
    <col min="12079" max="12079" width="1.7109375" style="149" customWidth="1"/>
    <col min="12080" max="12081" width="1.140625" style="149" customWidth="1"/>
    <col min="12082" max="12082" width="1" style="149" customWidth="1"/>
    <col min="12083" max="12083" width="13.140625" style="149"/>
    <col min="12084" max="12087" width="1.140625" style="149" customWidth="1"/>
    <col min="12088" max="12088" width="13.140625" style="149"/>
    <col min="12089" max="12089" width="1" style="149" customWidth="1"/>
    <col min="12090" max="12090" width="0.28515625" style="149" customWidth="1"/>
    <col min="12091" max="12091" width="1.140625" style="149" customWidth="1"/>
    <col min="12092" max="12092" width="0.7109375" style="149" customWidth="1"/>
    <col min="12093" max="12093" width="13.140625" style="149"/>
    <col min="12094" max="12096" width="1.140625" style="149" customWidth="1"/>
    <col min="12097" max="12097" width="1.28515625" style="149" customWidth="1"/>
    <col min="12098" max="12098" width="10.28515625" style="149" customWidth="1"/>
    <col min="12099" max="12099" width="1.85546875" style="149" customWidth="1"/>
    <col min="12100" max="12100" width="0.5703125" style="149" customWidth="1"/>
    <col min="12101" max="12102" width="1.5703125" style="149" customWidth="1"/>
    <col min="12103" max="12103" width="22.140625" style="149" customWidth="1"/>
    <col min="12104" max="12104" width="1.42578125" style="149" customWidth="1"/>
    <col min="12105" max="12105" width="1.5703125" style="149" customWidth="1"/>
    <col min="12106" max="12106" width="1.7109375" style="149" customWidth="1"/>
    <col min="12107" max="12107" width="1.85546875" style="149" customWidth="1"/>
    <col min="12108" max="12108" width="13.140625" style="149"/>
    <col min="12109" max="12110" width="1.42578125" style="149" customWidth="1"/>
    <col min="12111" max="12111" width="0.85546875" style="149" customWidth="1"/>
    <col min="12112" max="12112" width="1.5703125" style="149" customWidth="1"/>
    <col min="12113" max="12113" width="13.140625" style="149"/>
    <col min="12114" max="12114" width="1.42578125" style="149" customWidth="1"/>
    <col min="12115" max="12116" width="1.7109375" style="149" customWidth="1"/>
    <col min="12117" max="12117" width="1.42578125" style="149" customWidth="1"/>
    <col min="12118" max="12118" width="13.140625" style="149"/>
    <col min="12119" max="12119" width="1" style="149" customWidth="1"/>
    <col min="12120" max="12120" width="0.85546875" style="149" customWidth="1"/>
    <col min="12121" max="12121" width="1.140625" style="149" customWidth="1"/>
    <col min="12122" max="12122" width="1.42578125" style="149" customWidth="1"/>
    <col min="12123" max="12123" width="13.140625" style="149"/>
    <col min="12124" max="12124" width="1.42578125" style="149" customWidth="1"/>
    <col min="12125" max="12125" width="0.140625" style="149" customWidth="1"/>
    <col min="12126" max="12126" width="0.5703125" style="149" customWidth="1"/>
    <col min="12127" max="12127" width="1.28515625" style="149" customWidth="1"/>
    <col min="12128" max="12128" width="13.140625" style="149"/>
    <col min="12129" max="12129" width="1.140625" style="149" customWidth="1"/>
    <col min="12130" max="12130" width="1.28515625" style="149" customWidth="1"/>
    <col min="12131" max="12131" width="0.85546875" style="149" customWidth="1"/>
    <col min="12132" max="12132" width="1.140625" style="149" customWidth="1"/>
    <col min="12133" max="12133" width="13.140625" style="149"/>
    <col min="12134" max="12134" width="1.140625" style="149" customWidth="1"/>
    <col min="12135" max="12135" width="1" style="149" customWidth="1"/>
    <col min="12136" max="12136" width="1.28515625" style="149" customWidth="1"/>
    <col min="12137" max="12137" width="1" style="149" customWidth="1"/>
    <col min="12138" max="12138" width="13.140625" style="149"/>
    <col min="12139" max="12140" width="1.140625" style="149" customWidth="1"/>
    <col min="12141" max="12141" width="0.5703125" style="149" customWidth="1"/>
    <col min="12142" max="12142" width="1.5703125" style="149" customWidth="1"/>
    <col min="12143" max="12222" width="13.140625" style="149"/>
    <col min="12223" max="12224" width="2.85546875" style="149" customWidth="1"/>
    <col min="12225" max="12288" width="13.140625" style="149"/>
    <col min="12289" max="12289" width="28.42578125" style="149" customWidth="1"/>
    <col min="12290" max="12290" width="11.5703125" style="149" bestFit="1" customWidth="1"/>
    <col min="12291" max="12291" width="69.42578125" style="149" bestFit="1" customWidth="1"/>
    <col min="12292" max="12292" width="30.85546875" style="149" bestFit="1" customWidth="1"/>
    <col min="12293" max="12293" width="37.5703125" style="149" bestFit="1" customWidth="1"/>
    <col min="12294" max="12294" width="74.85546875" style="149" customWidth="1"/>
    <col min="12295" max="12295" width="30.85546875" style="149" bestFit="1" customWidth="1"/>
    <col min="12296" max="12296" width="35.85546875" style="149" bestFit="1" customWidth="1"/>
    <col min="12297" max="12332" width="13.140625" style="149" customWidth="1"/>
    <col min="12333" max="12333" width="8.140625" style="149" customWidth="1"/>
    <col min="12334" max="12334" width="15.28515625" style="149" customWidth="1"/>
    <col min="12335" max="12335" width="1.7109375" style="149" customWidth="1"/>
    <col min="12336" max="12337" width="1.140625" style="149" customWidth="1"/>
    <col min="12338" max="12338" width="1" style="149" customWidth="1"/>
    <col min="12339" max="12339" width="13.140625" style="149"/>
    <col min="12340" max="12343" width="1.140625" style="149" customWidth="1"/>
    <col min="12344" max="12344" width="13.140625" style="149"/>
    <col min="12345" max="12345" width="1" style="149" customWidth="1"/>
    <col min="12346" max="12346" width="0.28515625" style="149" customWidth="1"/>
    <col min="12347" max="12347" width="1.140625" style="149" customWidth="1"/>
    <col min="12348" max="12348" width="0.7109375" style="149" customWidth="1"/>
    <col min="12349" max="12349" width="13.140625" style="149"/>
    <col min="12350" max="12352" width="1.140625" style="149" customWidth="1"/>
    <col min="12353" max="12353" width="1.28515625" style="149" customWidth="1"/>
    <col min="12354" max="12354" width="10.28515625" style="149" customWidth="1"/>
    <col min="12355" max="12355" width="1.85546875" style="149" customWidth="1"/>
    <col min="12356" max="12356" width="0.5703125" style="149" customWidth="1"/>
    <col min="12357" max="12358" width="1.5703125" style="149" customWidth="1"/>
    <col min="12359" max="12359" width="22.140625" style="149" customWidth="1"/>
    <col min="12360" max="12360" width="1.42578125" style="149" customWidth="1"/>
    <col min="12361" max="12361" width="1.5703125" style="149" customWidth="1"/>
    <col min="12362" max="12362" width="1.7109375" style="149" customWidth="1"/>
    <col min="12363" max="12363" width="1.85546875" style="149" customWidth="1"/>
    <col min="12364" max="12364" width="13.140625" style="149"/>
    <col min="12365" max="12366" width="1.42578125" style="149" customWidth="1"/>
    <col min="12367" max="12367" width="0.85546875" style="149" customWidth="1"/>
    <col min="12368" max="12368" width="1.5703125" style="149" customWidth="1"/>
    <col min="12369" max="12369" width="13.140625" style="149"/>
    <col min="12370" max="12370" width="1.42578125" style="149" customWidth="1"/>
    <col min="12371" max="12372" width="1.7109375" style="149" customWidth="1"/>
    <col min="12373" max="12373" width="1.42578125" style="149" customWidth="1"/>
    <col min="12374" max="12374" width="13.140625" style="149"/>
    <col min="12375" max="12375" width="1" style="149" customWidth="1"/>
    <col min="12376" max="12376" width="0.85546875" style="149" customWidth="1"/>
    <col min="12377" max="12377" width="1.140625" style="149" customWidth="1"/>
    <col min="12378" max="12378" width="1.42578125" style="149" customWidth="1"/>
    <col min="12379" max="12379" width="13.140625" style="149"/>
    <col min="12380" max="12380" width="1.42578125" style="149" customWidth="1"/>
    <col min="12381" max="12381" width="0.140625" style="149" customWidth="1"/>
    <col min="12382" max="12382" width="0.5703125" style="149" customWidth="1"/>
    <col min="12383" max="12383" width="1.28515625" style="149" customWidth="1"/>
    <col min="12384" max="12384" width="13.140625" style="149"/>
    <col min="12385" max="12385" width="1.140625" style="149" customWidth="1"/>
    <col min="12386" max="12386" width="1.28515625" style="149" customWidth="1"/>
    <col min="12387" max="12387" width="0.85546875" style="149" customWidth="1"/>
    <col min="12388" max="12388" width="1.140625" style="149" customWidth="1"/>
    <col min="12389" max="12389" width="13.140625" style="149"/>
    <col min="12390" max="12390" width="1.140625" style="149" customWidth="1"/>
    <col min="12391" max="12391" width="1" style="149" customWidth="1"/>
    <col min="12392" max="12392" width="1.28515625" style="149" customWidth="1"/>
    <col min="12393" max="12393" width="1" style="149" customWidth="1"/>
    <col min="12394" max="12394" width="13.140625" style="149"/>
    <col min="12395" max="12396" width="1.140625" style="149" customWidth="1"/>
    <col min="12397" max="12397" width="0.5703125" style="149" customWidth="1"/>
    <col min="12398" max="12398" width="1.5703125" style="149" customWidth="1"/>
    <col min="12399" max="12478" width="13.140625" style="149"/>
    <col min="12479" max="12480" width="2.85546875" style="149" customWidth="1"/>
    <col min="12481" max="12544" width="13.140625" style="149"/>
    <col min="12545" max="12545" width="28.42578125" style="149" customWidth="1"/>
    <col min="12546" max="12546" width="11.5703125" style="149" bestFit="1" customWidth="1"/>
    <col min="12547" max="12547" width="69.42578125" style="149" bestFit="1" customWidth="1"/>
    <col min="12548" max="12548" width="30.85546875" style="149" bestFit="1" customWidth="1"/>
    <col min="12549" max="12549" width="37.5703125" style="149" bestFit="1" customWidth="1"/>
    <col min="12550" max="12550" width="74.85546875" style="149" customWidth="1"/>
    <col min="12551" max="12551" width="30.85546875" style="149" bestFit="1" customWidth="1"/>
    <col min="12552" max="12552" width="35.85546875" style="149" bestFit="1" customWidth="1"/>
    <col min="12553" max="12588" width="13.140625" style="149" customWidth="1"/>
    <col min="12589" max="12589" width="8.140625" style="149" customWidth="1"/>
    <col min="12590" max="12590" width="15.28515625" style="149" customWidth="1"/>
    <col min="12591" max="12591" width="1.7109375" style="149" customWidth="1"/>
    <col min="12592" max="12593" width="1.140625" style="149" customWidth="1"/>
    <col min="12594" max="12594" width="1" style="149" customWidth="1"/>
    <col min="12595" max="12595" width="13.140625" style="149"/>
    <col min="12596" max="12599" width="1.140625" style="149" customWidth="1"/>
    <col min="12600" max="12600" width="13.140625" style="149"/>
    <col min="12601" max="12601" width="1" style="149" customWidth="1"/>
    <col min="12602" max="12602" width="0.28515625" style="149" customWidth="1"/>
    <col min="12603" max="12603" width="1.140625" style="149" customWidth="1"/>
    <col min="12604" max="12604" width="0.7109375" style="149" customWidth="1"/>
    <col min="12605" max="12605" width="13.140625" style="149"/>
    <col min="12606" max="12608" width="1.140625" style="149" customWidth="1"/>
    <col min="12609" max="12609" width="1.28515625" style="149" customWidth="1"/>
    <col min="12610" max="12610" width="10.28515625" style="149" customWidth="1"/>
    <col min="12611" max="12611" width="1.85546875" style="149" customWidth="1"/>
    <col min="12612" max="12612" width="0.5703125" style="149" customWidth="1"/>
    <col min="12613" max="12614" width="1.5703125" style="149" customWidth="1"/>
    <col min="12615" max="12615" width="22.140625" style="149" customWidth="1"/>
    <col min="12616" max="12616" width="1.42578125" style="149" customWidth="1"/>
    <col min="12617" max="12617" width="1.5703125" style="149" customWidth="1"/>
    <col min="12618" max="12618" width="1.7109375" style="149" customWidth="1"/>
    <col min="12619" max="12619" width="1.85546875" style="149" customWidth="1"/>
    <col min="12620" max="12620" width="13.140625" style="149"/>
    <col min="12621" max="12622" width="1.42578125" style="149" customWidth="1"/>
    <col min="12623" max="12623" width="0.85546875" style="149" customWidth="1"/>
    <col min="12624" max="12624" width="1.5703125" style="149" customWidth="1"/>
    <col min="12625" max="12625" width="13.140625" style="149"/>
    <col min="12626" max="12626" width="1.42578125" style="149" customWidth="1"/>
    <col min="12627" max="12628" width="1.7109375" style="149" customWidth="1"/>
    <col min="12629" max="12629" width="1.42578125" style="149" customWidth="1"/>
    <col min="12630" max="12630" width="13.140625" style="149"/>
    <col min="12631" max="12631" width="1" style="149" customWidth="1"/>
    <col min="12632" max="12632" width="0.85546875" style="149" customWidth="1"/>
    <col min="12633" max="12633" width="1.140625" style="149" customWidth="1"/>
    <col min="12634" max="12634" width="1.42578125" style="149" customWidth="1"/>
    <col min="12635" max="12635" width="13.140625" style="149"/>
    <col min="12636" max="12636" width="1.42578125" style="149" customWidth="1"/>
    <col min="12637" max="12637" width="0.140625" style="149" customWidth="1"/>
    <col min="12638" max="12638" width="0.5703125" style="149" customWidth="1"/>
    <col min="12639" max="12639" width="1.28515625" style="149" customWidth="1"/>
    <col min="12640" max="12640" width="13.140625" style="149"/>
    <col min="12641" max="12641" width="1.140625" style="149" customWidth="1"/>
    <col min="12642" max="12642" width="1.28515625" style="149" customWidth="1"/>
    <col min="12643" max="12643" width="0.85546875" style="149" customWidth="1"/>
    <col min="12644" max="12644" width="1.140625" style="149" customWidth="1"/>
    <col min="12645" max="12645" width="13.140625" style="149"/>
    <col min="12646" max="12646" width="1.140625" style="149" customWidth="1"/>
    <col min="12647" max="12647" width="1" style="149" customWidth="1"/>
    <col min="12648" max="12648" width="1.28515625" style="149" customWidth="1"/>
    <col min="12649" max="12649" width="1" style="149" customWidth="1"/>
    <col min="12650" max="12650" width="13.140625" style="149"/>
    <col min="12651" max="12652" width="1.140625" style="149" customWidth="1"/>
    <col min="12653" max="12653" width="0.5703125" style="149" customWidth="1"/>
    <col min="12654" max="12654" width="1.5703125" style="149" customWidth="1"/>
    <col min="12655" max="12734" width="13.140625" style="149"/>
    <col min="12735" max="12736" width="2.85546875" style="149" customWidth="1"/>
    <col min="12737" max="12800" width="13.140625" style="149"/>
    <col min="12801" max="12801" width="28.42578125" style="149" customWidth="1"/>
    <col min="12802" max="12802" width="11.5703125" style="149" bestFit="1" customWidth="1"/>
    <col min="12803" max="12803" width="69.42578125" style="149" bestFit="1" customWidth="1"/>
    <col min="12804" max="12804" width="30.85546875" style="149" bestFit="1" customWidth="1"/>
    <col min="12805" max="12805" width="37.5703125" style="149" bestFit="1" customWidth="1"/>
    <col min="12806" max="12806" width="74.85546875" style="149" customWidth="1"/>
    <col min="12807" max="12807" width="30.85546875" style="149" bestFit="1" customWidth="1"/>
    <col min="12808" max="12808" width="35.85546875" style="149" bestFit="1" customWidth="1"/>
    <col min="12809" max="12844" width="13.140625" style="149" customWidth="1"/>
    <col min="12845" max="12845" width="8.140625" style="149" customWidth="1"/>
    <col min="12846" max="12846" width="15.28515625" style="149" customWidth="1"/>
    <col min="12847" max="12847" width="1.7109375" style="149" customWidth="1"/>
    <col min="12848" max="12849" width="1.140625" style="149" customWidth="1"/>
    <col min="12850" max="12850" width="1" style="149" customWidth="1"/>
    <col min="12851" max="12851" width="13.140625" style="149"/>
    <col min="12852" max="12855" width="1.140625" style="149" customWidth="1"/>
    <col min="12856" max="12856" width="13.140625" style="149"/>
    <col min="12857" max="12857" width="1" style="149" customWidth="1"/>
    <col min="12858" max="12858" width="0.28515625" style="149" customWidth="1"/>
    <col min="12859" max="12859" width="1.140625" style="149" customWidth="1"/>
    <col min="12860" max="12860" width="0.7109375" style="149" customWidth="1"/>
    <col min="12861" max="12861" width="13.140625" style="149"/>
    <col min="12862" max="12864" width="1.140625" style="149" customWidth="1"/>
    <col min="12865" max="12865" width="1.28515625" style="149" customWidth="1"/>
    <col min="12866" max="12866" width="10.28515625" style="149" customWidth="1"/>
    <col min="12867" max="12867" width="1.85546875" style="149" customWidth="1"/>
    <col min="12868" max="12868" width="0.5703125" style="149" customWidth="1"/>
    <col min="12869" max="12870" width="1.5703125" style="149" customWidth="1"/>
    <col min="12871" max="12871" width="22.140625" style="149" customWidth="1"/>
    <col min="12872" max="12872" width="1.42578125" style="149" customWidth="1"/>
    <col min="12873" max="12873" width="1.5703125" style="149" customWidth="1"/>
    <col min="12874" max="12874" width="1.7109375" style="149" customWidth="1"/>
    <col min="12875" max="12875" width="1.85546875" style="149" customWidth="1"/>
    <col min="12876" max="12876" width="13.140625" style="149"/>
    <col min="12877" max="12878" width="1.42578125" style="149" customWidth="1"/>
    <col min="12879" max="12879" width="0.85546875" style="149" customWidth="1"/>
    <col min="12880" max="12880" width="1.5703125" style="149" customWidth="1"/>
    <col min="12881" max="12881" width="13.140625" style="149"/>
    <col min="12882" max="12882" width="1.42578125" style="149" customWidth="1"/>
    <col min="12883" max="12884" width="1.7109375" style="149" customWidth="1"/>
    <col min="12885" max="12885" width="1.42578125" style="149" customWidth="1"/>
    <col min="12886" max="12886" width="13.140625" style="149"/>
    <col min="12887" max="12887" width="1" style="149" customWidth="1"/>
    <col min="12888" max="12888" width="0.85546875" style="149" customWidth="1"/>
    <col min="12889" max="12889" width="1.140625" style="149" customWidth="1"/>
    <col min="12890" max="12890" width="1.42578125" style="149" customWidth="1"/>
    <col min="12891" max="12891" width="13.140625" style="149"/>
    <col min="12892" max="12892" width="1.42578125" style="149" customWidth="1"/>
    <col min="12893" max="12893" width="0.140625" style="149" customWidth="1"/>
    <col min="12894" max="12894" width="0.5703125" style="149" customWidth="1"/>
    <col min="12895" max="12895" width="1.28515625" style="149" customWidth="1"/>
    <col min="12896" max="12896" width="13.140625" style="149"/>
    <col min="12897" max="12897" width="1.140625" style="149" customWidth="1"/>
    <col min="12898" max="12898" width="1.28515625" style="149" customWidth="1"/>
    <col min="12899" max="12899" width="0.85546875" style="149" customWidth="1"/>
    <col min="12900" max="12900" width="1.140625" style="149" customWidth="1"/>
    <col min="12901" max="12901" width="13.140625" style="149"/>
    <col min="12902" max="12902" width="1.140625" style="149" customWidth="1"/>
    <col min="12903" max="12903" width="1" style="149" customWidth="1"/>
    <col min="12904" max="12904" width="1.28515625" style="149" customWidth="1"/>
    <col min="12905" max="12905" width="1" style="149" customWidth="1"/>
    <col min="12906" max="12906" width="13.140625" style="149"/>
    <col min="12907" max="12908" width="1.140625" style="149" customWidth="1"/>
    <col min="12909" max="12909" width="0.5703125" style="149" customWidth="1"/>
    <col min="12910" max="12910" width="1.5703125" style="149" customWidth="1"/>
    <col min="12911" max="12990" width="13.140625" style="149"/>
    <col min="12991" max="12992" width="2.85546875" style="149" customWidth="1"/>
    <col min="12993" max="13056" width="13.140625" style="149"/>
    <col min="13057" max="13057" width="28.42578125" style="149" customWidth="1"/>
    <col min="13058" max="13058" width="11.5703125" style="149" bestFit="1" customWidth="1"/>
    <col min="13059" max="13059" width="69.42578125" style="149" bestFit="1" customWidth="1"/>
    <col min="13060" max="13060" width="30.85546875" style="149" bestFit="1" customWidth="1"/>
    <col min="13061" max="13061" width="37.5703125" style="149" bestFit="1" customWidth="1"/>
    <col min="13062" max="13062" width="74.85546875" style="149" customWidth="1"/>
    <col min="13063" max="13063" width="30.85546875" style="149" bestFit="1" customWidth="1"/>
    <col min="13064" max="13064" width="35.85546875" style="149" bestFit="1" customWidth="1"/>
    <col min="13065" max="13100" width="13.140625" style="149" customWidth="1"/>
    <col min="13101" max="13101" width="8.140625" style="149" customWidth="1"/>
    <col min="13102" max="13102" width="15.28515625" style="149" customWidth="1"/>
    <col min="13103" max="13103" width="1.7109375" style="149" customWidth="1"/>
    <col min="13104" max="13105" width="1.140625" style="149" customWidth="1"/>
    <col min="13106" max="13106" width="1" style="149" customWidth="1"/>
    <col min="13107" max="13107" width="13.140625" style="149"/>
    <col min="13108" max="13111" width="1.140625" style="149" customWidth="1"/>
    <col min="13112" max="13112" width="13.140625" style="149"/>
    <col min="13113" max="13113" width="1" style="149" customWidth="1"/>
    <col min="13114" max="13114" width="0.28515625" style="149" customWidth="1"/>
    <col min="13115" max="13115" width="1.140625" style="149" customWidth="1"/>
    <col min="13116" max="13116" width="0.7109375" style="149" customWidth="1"/>
    <col min="13117" max="13117" width="13.140625" style="149"/>
    <col min="13118" max="13120" width="1.140625" style="149" customWidth="1"/>
    <col min="13121" max="13121" width="1.28515625" style="149" customWidth="1"/>
    <col min="13122" max="13122" width="10.28515625" style="149" customWidth="1"/>
    <col min="13123" max="13123" width="1.85546875" style="149" customWidth="1"/>
    <col min="13124" max="13124" width="0.5703125" style="149" customWidth="1"/>
    <col min="13125" max="13126" width="1.5703125" style="149" customWidth="1"/>
    <col min="13127" max="13127" width="22.140625" style="149" customWidth="1"/>
    <col min="13128" max="13128" width="1.42578125" style="149" customWidth="1"/>
    <col min="13129" max="13129" width="1.5703125" style="149" customWidth="1"/>
    <col min="13130" max="13130" width="1.7109375" style="149" customWidth="1"/>
    <col min="13131" max="13131" width="1.85546875" style="149" customWidth="1"/>
    <col min="13132" max="13132" width="13.140625" style="149"/>
    <col min="13133" max="13134" width="1.42578125" style="149" customWidth="1"/>
    <col min="13135" max="13135" width="0.85546875" style="149" customWidth="1"/>
    <col min="13136" max="13136" width="1.5703125" style="149" customWidth="1"/>
    <col min="13137" max="13137" width="13.140625" style="149"/>
    <col min="13138" max="13138" width="1.42578125" style="149" customWidth="1"/>
    <col min="13139" max="13140" width="1.7109375" style="149" customWidth="1"/>
    <col min="13141" max="13141" width="1.42578125" style="149" customWidth="1"/>
    <col min="13142" max="13142" width="13.140625" style="149"/>
    <col min="13143" max="13143" width="1" style="149" customWidth="1"/>
    <col min="13144" max="13144" width="0.85546875" style="149" customWidth="1"/>
    <col min="13145" max="13145" width="1.140625" style="149" customWidth="1"/>
    <col min="13146" max="13146" width="1.42578125" style="149" customWidth="1"/>
    <col min="13147" max="13147" width="13.140625" style="149"/>
    <col min="13148" max="13148" width="1.42578125" style="149" customWidth="1"/>
    <col min="13149" max="13149" width="0.140625" style="149" customWidth="1"/>
    <col min="13150" max="13150" width="0.5703125" style="149" customWidth="1"/>
    <col min="13151" max="13151" width="1.28515625" style="149" customWidth="1"/>
    <col min="13152" max="13152" width="13.140625" style="149"/>
    <col min="13153" max="13153" width="1.140625" style="149" customWidth="1"/>
    <col min="13154" max="13154" width="1.28515625" style="149" customWidth="1"/>
    <col min="13155" max="13155" width="0.85546875" style="149" customWidth="1"/>
    <col min="13156" max="13156" width="1.140625" style="149" customWidth="1"/>
    <col min="13157" max="13157" width="13.140625" style="149"/>
    <col min="13158" max="13158" width="1.140625" style="149" customWidth="1"/>
    <col min="13159" max="13159" width="1" style="149" customWidth="1"/>
    <col min="13160" max="13160" width="1.28515625" style="149" customWidth="1"/>
    <col min="13161" max="13161" width="1" style="149" customWidth="1"/>
    <col min="13162" max="13162" width="13.140625" style="149"/>
    <col min="13163" max="13164" width="1.140625" style="149" customWidth="1"/>
    <col min="13165" max="13165" width="0.5703125" style="149" customWidth="1"/>
    <col min="13166" max="13166" width="1.5703125" style="149" customWidth="1"/>
    <col min="13167" max="13246" width="13.140625" style="149"/>
    <col min="13247" max="13248" width="2.85546875" style="149" customWidth="1"/>
    <col min="13249" max="13312" width="13.140625" style="149"/>
    <col min="13313" max="13313" width="28.42578125" style="149" customWidth="1"/>
    <col min="13314" max="13314" width="11.5703125" style="149" bestFit="1" customWidth="1"/>
    <col min="13315" max="13315" width="69.42578125" style="149" bestFit="1" customWidth="1"/>
    <col min="13316" max="13316" width="30.85546875" style="149" bestFit="1" customWidth="1"/>
    <col min="13317" max="13317" width="37.5703125" style="149" bestFit="1" customWidth="1"/>
    <col min="13318" max="13318" width="74.85546875" style="149" customWidth="1"/>
    <col min="13319" max="13319" width="30.85546875" style="149" bestFit="1" customWidth="1"/>
    <col min="13320" max="13320" width="35.85546875" style="149" bestFit="1" customWidth="1"/>
    <col min="13321" max="13356" width="13.140625" style="149" customWidth="1"/>
    <col min="13357" max="13357" width="8.140625" style="149" customWidth="1"/>
    <col min="13358" max="13358" width="15.28515625" style="149" customWidth="1"/>
    <col min="13359" max="13359" width="1.7109375" style="149" customWidth="1"/>
    <col min="13360" max="13361" width="1.140625" style="149" customWidth="1"/>
    <col min="13362" max="13362" width="1" style="149" customWidth="1"/>
    <col min="13363" max="13363" width="13.140625" style="149"/>
    <col min="13364" max="13367" width="1.140625" style="149" customWidth="1"/>
    <col min="13368" max="13368" width="13.140625" style="149"/>
    <col min="13369" max="13369" width="1" style="149" customWidth="1"/>
    <col min="13370" max="13370" width="0.28515625" style="149" customWidth="1"/>
    <col min="13371" max="13371" width="1.140625" style="149" customWidth="1"/>
    <col min="13372" max="13372" width="0.7109375" style="149" customWidth="1"/>
    <col min="13373" max="13373" width="13.140625" style="149"/>
    <col min="13374" max="13376" width="1.140625" style="149" customWidth="1"/>
    <col min="13377" max="13377" width="1.28515625" style="149" customWidth="1"/>
    <col min="13378" max="13378" width="10.28515625" style="149" customWidth="1"/>
    <col min="13379" max="13379" width="1.85546875" style="149" customWidth="1"/>
    <col min="13380" max="13380" width="0.5703125" style="149" customWidth="1"/>
    <col min="13381" max="13382" width="1.5703125" style="149" customWidth="1"/>
    <col min="13383" max="13383" width="22.140625" style="149" customWidth="1"/>
    <col min="13384" max="13384" width="1.42578125" style="149" customWidth="1"/>
    <col min="13385" max="13385" width="1.5703125" style="149" customWidth="1"/>
    <col min="13386" max="13386" width="1.7109375" style="149" customWidth="1"/>
    <col min="13387" max="13387" width="1.85546875" style="149" customWidth="1"/>
    <col min="13388" max="13388" width="13.140625" style="149"/>
    <col min="13389" max="13390" width="1.42578125" style="149" customWidth="1"/>
    <col min="13391" max="13391" width="0.85546875" style="149" customWidth="1"/>
    <col min="13392" max="13392" width="1.5703125" style="149" customWidth="1"/>
    <col min="13393" max="13393" width="13.140625" style="149"/>
    <col min="13394" max="13394" width="1.42578125" style="149" customWidth="1"/>
    <col min="13395" max="13396" width="1.7109375" style="149" customWidth="1"/>
    <col min="13397" max="13397" width="1.42578125" style="149" customWidth="1"/>
    <col min="13398" max="13398" width="13.140625" style="149"/>
    <col min="13399" max="13399" width="1" style="149" customWidth="1"/>
    <col min="13400" max="13400" width="0.85546875" style="149" customWidth="1"/>
    <col min="13401" max="13401" width="1.140625" style="149" customWidth="1"/>
    <col min="13402" max="13402" width="1.42578125" style="149" customWidth="1"/>
    <col min="13403" max="13403" width="13.140625" style="149"/>
    <col min="13404" max="13404" width="1.42578125" style="149" customWidth="1"/>
    <col min="13405" max="13405" width="0.140625" style="149" customWidth="1"/>
    <col min="13406" max="13406" width="0.5703125" style="149" customWidth="1"/>
    <col min="13407" max="13407" width="1.28515625" style="149" customWidth="1"/>
    <col min="13408" max="13408" width="13.140625" style="149"/>
    <col min="13409" max="13409" width="1.140625" style="149" customWidth="1"/>
    <col min="13410" max="13410" width="1.28515625" style="149" customWidth="1"/>
    <col min="13411" max="13411" width="0.85546875" style="149" customWidth="1"/>
    <col min="13412" max="13412" width="1.140625" style="149" customWidth="1"/>
    <col min="13413" max="13413" width="13.140625" style="149"/>
    <col min="13414" max="13414" width="1.140625" style="149" customWidth="1"/>
    <col min="13415" max="13415" width="1" style="149" customWidth="1"/>
    <col min="13416" max="13416" width="1.28515625" style="149" customWidth="1"/>
    <col min="13417" max="13417" width="1" style="149" customWidth="1"/>
    <col min="13418" max="13418" width="13.140625" style="149"/>
    <col min="13419" max="13420" width="1.140625" style="149" customWidth="1"/>
    <col min="13421" max="13421" width="0.5703125" style="149" customWidth="1"/>
    <col min="13422" max="13422" width="1.5703125" style="149" customWidth="1"/>
    <col min="13423" max="13502" width="13.140625" style="149"/>
    <col min="13503" max="13504" width="2.85546875" style="149" customWidth="1"/>
    <col min="13505" max="13568" width="13.140625" style="149"/>
    <col min="13569" max="13569" width="28.42578125" style="149" customWidth="1"/>
    <col min="13570" max="13570" width="11.5703125" style="149" bestFit="1" customWidth="1"/>
    <col min="13571" max="13571" width="69.42578125" style="149" bestFit="1" customWidth="1"/>
    <col min="13572" max="13572" width="30.85546875" style="149" bestFit="1" customWidth="1"/>
    <col min="13573" max="13573" width="37.5703125" style="149" bestFit="1" customWidth="1"/>
    <col min="13574" max="13574" width="74.85546875" style="149" customWidth="1"/>
    <col min="13575" max="13575" width="30.85546875" style="149" bestFit="1" customWidth="1"/>
    <col min="13576" max="13576" width="35.85546875" style="149" bestFit="1" customWidth="1"/>
    <col min="13577" max="13612" width="13.140625" style="149" customWidth="1"/>
    <col min="13613" max="13613" width="8.140625" style="149" customWidth="1"/>
    <col min="13614" max="13614" width="15.28515625" style="149" customWidth="1"/>
    <col min="13615" max="13615" width="1.7109375" style="149" customWidth="1"/>
    <col min="13616" max="13617" width="1.140625" style="149" customWidth="1"/>
    <col min="13618" max="13618" width="1" style="149" customWidth="1"/>
    <col min="13619" max="13619" width="13.140625" style="149"/>
    <col min="13620" max="13623" width="1.140625" style="149" customWidth="1"/>
    <col min="13624" max="13624" width="13.140625" style="149"/>
    <col min="13625" max="13625" width="1" style="149" customWidth="1"/>
    <col min="13626" max="13626" width="0.28515625" style="149" customWidth="1"/>
    <col min="13627" max="13627" width="1.140625" style="149" customWidth="1"/>
    <col min="13628" max="13628" width="0.7109375" style="149" customWidth="1"/>
    <col min="13629" max="13629" width="13.140625" style="149"/>
    <col min="13630" max="13632" width="1.140625" style="149" customWidth="1"/>
    <col min="13633" max="13633" width="1.28515625" style="149" customWidth="1"/>
    <col min="13634" max="13634" width="10.28515625" style="149" customWidth="1"/>
    <col min="13635" max="13635" width="1.85546875" style="149" customWidth="1"/>
    <col min="13636" max="13636" width="0.5703125" style="149" customWidth="1"/>
    <col min="13637" max="13638" width="1.5703125" style="149" customWidth="1"/>
    <col min="13639" max="13639" width="22.140625" style="149" customWidth="1"/>
    <col min="13640" max="13640" width="1.42578125" style="149" customWidth="1"/>
    <col min="13641" max="13641" width="1.5703125" style="149" customWidth="1"/>
    <col min="13642" max="13642" width="1.7109375" style="149" customWidth="1"/>
    <col min="13643" max="13643" width="1.85546875" style="149" customWidth="1"/>
    <col min="13644" max="13644" width="13.140625" style="149"/>
    <col min="13645" max="13646" width="1.42578125" style="149" customWidth="1"/>
    <col min="13647" max="13647" width="0.85546875" style="149" customWidth="1"/>
    <col min="13648" max="13648" width="1.5703125" style="149" customWidth="1"/>
    <col min="13649" max="13649" width="13.140625" style="149"/>
    <col min="13650" max="13650" width="1.42578125" style="149" customWidth="1"/>
    <col min="13651" max="13652" width="1.7109375" style="149" customWidth="1"/>
    <col min="13653" max="13653" width="1.42578125" style="149" customWidth="1"/>
    <col min="13654" max="13654" width="13.140625" style="149"/>
    <col min="13655" max="13655" width="1" style="149" customWidth="1"/>
    <col min="13656" max="13656" width="0.85546875" style="149" customWidth="1"/>
    <col min="13657" max="13657" width="1.140625" style="149" customWidth="1"/>
    <col min="13658" max="13658" width="1.42578125" style="149" customWidth="1"/>
    <col min="13659" max="13659" width="13.140625" style="149"/>
    <col min="13660" max="13660" width="1.42578125" style="149" customWidth="1"/>
    <col min="13661" max="13661" width="0.140625" style="149" customWidth="1"/>
    <col min="13662" max="13662" width="0.5703125" style="149" customWidth="1"/>
    <col min="13663" max="13663" width="1.28515625" style="149" customWidth="1"/>
    <col min="13664" max="13664" width="13.140625" style="149"/>
    <col min="13665" max="13665" width="1.140625" style="149" customWidth="1"/>
    <col min="13666" max="13666" width="1.28515625" style="149" customWidth="1"/>
    <col min="13667" max="13667" width="0.85546875" style="149" customWidth="1"/>
    <col min="13668" max="13668" width="1.140625" style="149" customWidth="1"/>
    <col min="13669" max="13669" width="13.140625" style="149"/>
    <col min="13670" max="13670" width="1.140625" style="149" customWidth="1"/>
    <col min="13671" max="13671" width="1" style="149" customWidth="1"/>
    <col min="13672" max="13672" width="1.28515625" style="149" customWidth="1"/>
    <col min="13673" max="13673" width="1" style="149" customWidth="1"/>
    <col min="13674" max="13674" width="13.140625" style="149"/>
    <col min="13675" max="13676" width="1.140625" style="149" customWidth="1"/>
    <col min="13677" max="13677" width="0.5703125" style="149" customWidth="1"/>
    <col min="13678" max="13678" width="1.5703125" style="149" customWidth="1"/>
    <col min="13679" max="13758" width="13.140625" style="149"/>
    <col min="13759" max="13760" width="2.85546875" style="149" customWidth="1"/>
    <col min="13761" max="13824" width="13.140625" style="149"/>
    <col min="13825" max="13825" width="28.42578125" style="149" customWidth="1"/>
    <col min="13826" max="13826" width="11.5703125" style="149" bestFit="1" customWidth="1"/>
    <col min="13827" max="13827" width="69.42578125" style="149" bestFit="1" customWidth="1"/>
    <col min="13828" max="13828" width="30.85546875" style="149" bestFit="1" customWidth="1"/>
    <col min="13829" max="13829" width="37.5703125" style="149" bestFit="1" customWidth="1"/>
    <col min="13830" max="13830" width="74.85546875" style="149" customWidth="1"/>
    <col min="13831" max="13831" width="30.85546875" style="149" bestFit="1" customWidth="1"/>
    <col min="13832" max="13832" width="35.85546875" style="149" bestFit="1" customWidth="1"/>
    <col min="13833" max="13868" width="13.140625" style="149" customWidth="1"/>
    <col min="13869" max="13869" width="8.140625" style="149" customWidth="1"/>
    <col min="13870" max="13870" width="15.28515625" style="149" customWidth="1"/>
    <col min="13871" max="13871" width="1.7109375" style="149" customWidth="1"/>
    <col min="13872" max="13873" width="1.140625" style="149" customWidth="1"/>
    <col min="13874" max="13874" width="1" style="149" customWidth="1"/>
    <col min="13875" max="13875" width="13.140625" style="149"/>
    <col min="13876" max="13879" width="1.140625" style="149" customWidth="1"/>
    <col min="13880" max="13880" width="13.140625" style="149"/>
    <col min="13881" max="13881" width="1" style="149" customWidth="1"/>
    <col min="13882" max="13882" width="0.28515625" style="149" customWidth="1"/>
    <col min="13883" max="13883" width="1.140625" style="149" customWidth="1"/>
    <col min="13884" max="13884" width="0.7109375" style="149" customWidth="1"/>
    <col min="13885" max="13885" width="13.140625" style="149"/>
    <col min="13886" max="13888" width="1.140625" style="149" customWidth="1"/>
    <col min="13889" max="13889" width="1.28515625" style="149" customWidth="1"/>
    <col min="13890" max="13890" width="10.28515625" style="149" customWidth="1"/>
    <col min="13891" max="13891" width="1.85546875" style="149" customWidth="1"/>
    <col min="13892" max="13892" width="0.5703125" style="149" customWidth="1"/>
    <col min="13893" max="13894" width="1.5703125" style="149" customWidth="1"/>
    <col min="13895" max="13895" width="22.140625" style="149" customWidth="1"/>
    <col min="13896" max="13896" width="1.42578125" style="149" customWidth="1"/>
    <col min="13897" max="13897" width="1.5703125" style="149" customWidth="1"/>
    <col min="13898" max="13898" width="1.7109375" style="149" customWidth="1"/>
    <col min="13899" max="13899" width="1.85546875" style="149" customWidth="1"/>
    <col min="13900" max="13900" width="13.140625" style="149"/>
    <col min="13901" max="13902" width="1.42578125" style="149" customWidth="1"/>
    <col min="13903" max="13903" width="0.85546875" style="149" customWidth="1"/>
    <col min="13904" max="13904" width="1.5703125" style="149" customWidth="1"/>
    <col min="13905" max="13905" width="13.140625" style="149"/>
    <col min="13906" max="13906" width="1.42578125" style="149" customWidth="1"/>
    <col min="13907" max="13908" width="1.7109375" style="149" customWidth="1"/>
    <col min="13909" max="13909" width="1.42578125" style="149" customWidth="1"/>
    <col min="13910" max="13910" width="13.140625" style="149"/>
    <col min="13911" max="13911" width="1" style="149" customWidth="1"/>
    <col min="13912" max="13912" width="0.85546875" style="149" customWidth="1"/>
    <col min="13913" max="13913" width="1.140625" style="149" customWidth="1"/>
    <col min="13914" max="13914" width="1.42578125" style="149" customWidth="1"/>
    <col min="13915" max="13915" width="13.140625" style="149"/>
    <col min="13916" max="13916" width="1.42578125" style="149" customWidth="1"/>
    <col min="13917" max="13917" width="0.140625" style="149" customWidth="1"/>
    <col min="13918" max="13918" width="0.5703125" style="149" customWidth="1"/>
    <col min="13919" max="13919" width="1.28515625" style="149" customWidth="1"/>
    <col min="13920" max="13920" width="13.140625" style="149"/>
    <col min="13921" max="13921" width="1.140625" style="149" customWidth="1"/>
    <col min="13922" max="13922" width="1.28515625" style="149" customWidth="1"/>
    <col min="13923" max="13923" width="0.85546875" style="149" customWidth="1"/>
    <col min="13924" max="13924" width="1.140625" style="149" customWidth="1"/>
    <col min="13925" max="13925" width="13.140625" style="149"/>
    <col min="13926" max="13926" width="1.140625" style="149" customWidth="1"/>
    <col min="13927" max="13927" width="1" style="149" customWidth="1"/>
    <col min="13928" max="13928" width="1.28515625" style="149" customWidth="1"/>
    <col min="13929" max="13929" width="1" style="149" customWidth="1"/>
    <col min="13930" max="13930" width="13.140625" style="149"/>
    <col min="13931" max="13932" width="1.140625" style="149" customWidth="1"/>
    <col min="13933" max="13933" width="0.5703125" style="149" customWidth="1"/>
    <col min="13934" max="13934" width="1.5703125" style="149" customWidth="1"/>
    <col min="13935" max="14014" width="13.140625" style="149"/>
    <col min="14015" max="14016" width="2.85546875" style="149" customWidth="1"/>
    <col min="14017" max="14080" width="13.140625" style="149"/>
    <col min="14081" max="14081" width="28.42578125" style="149" customWidth="1"/>
    <col min="14082" max="14082" width="11.5703125" style="149" bestFit="1" customWidth="1"/>
    <col min="14083" max="14083" width="69.42578125" style="149" bestFit="1" customWidth="1"/>
    <col min="14084" max="14084" width="30.85546875" style="149" bestFit="1" customWidth="1"/>
    <col min="14085" max="14085" width="37.5703125" style="149" bestFit="1" customWidth="1"/>
    <col min="14086" max="14086" width="74.85546875" style="149" customWidth="1"/>
    <col min="14087" max="14087" width="30.85546875" style="149" bestFit="1" customWidth="1"/>
    <col min="14088" max="14088" width="35.85546875" style="149" bestFit="1" customWidth="1"/>
    <col min="14089" max="14124" width="13.140625" style="149" customWidth="1"/>
    <col min="14125" max="14125" width="8.140625" style="149" customWidth="1"/>
    <col min="14126" max="14126" width="15.28515625" style="149" customWidth="1"/>
    <col min="14127" max="14127" width="1.7109375" style="149" customWidth="1"/>
    <col min="14128" max="14129" width="1.140625" style="149" customWidth="1"/>
    <col min="14130" max="14130" width="1" style="149" customWidth="1"/>
    <col min="14131" max="14131" width="13.140625" style="149"/>
    <col min="14132" max="14135" width="1.140625" style="149" customWidth="1"/>
    <col min="14136" max="14136" width="13.140625" style="149"/>
    <col min="14137" max="14137" width="1" style="149" customWidth="1"/>
    <col min="14138" max="14138" width="0.28515625" style="149" customWidth="1"/>
    <col min="14139" max="14139" width="1.140625" style="149" customWidth="1"/>
    <col min="14140" max="14140" width="0.7109375" style="149" customWidth="1"/>
    <col min="14141" max="14141" width="13.140625" style="149"/>
    <col min="14142" max="14144" width="1.140625" style="149" customWidth="1"/>
    <col min="14145" max="14145" width="1.28515625" style="149" customWidth="1"/>
    <col min="14146" max="14146" width="10.28515625" style="149" customWidth="1"/>
    <col min="14147" max="14147" width="1.85546875" style="149" customWidth="1"/>
    <col min="14148" max="14148" width="0.5703125" style="149" customWidth="1"/>
    <col min="14149" max="14150" width="1.5703125" style="149" customWidth="1"/>
    <col min="14151" max="14151" width="22.140625" style="149" customWidth="1"/>
    <col min="14152" max="14152" width="1.42578125" style="149" customWidth="1"/>
    <col min="14153" max="14153" width="1.5703125" style="149" customWidth="1"/>
    <col min="14154" max="14154" width="1.7109375" style="149" customWidth="1"/>
    <col min="14155" max="14155" width="1.85546875" style="149" customWidth="1"/>
    <col min="14156" max="14156" width="13.140625" style="149"/>
    <col min="14157" max="14158" width="1.42578125" style="149" customWidth="1"/>
    <col min="14159" max="14159" width="0.85546875" style="149" customWidth="1"/>
    <col min="14160" max="14160" width="1.5703125" style="149" customWidth="1"/>
    <col min="14161" max="14161" width="13.140625" style="149"/>
    <col min="14162" max="14162" width="1.42578125" style="149" customWidth="1"/>
    <col min="14163" max="14164" width="1.7109375" style="149" customWidth="1"/>
    <col min="14165" max="14165" width="1.42578125" style="149" customWidth="1"/>
    <col min="14166" max="14166" width="13.140625" style="149"/>
    <col min="14167" max="14167" width="1" style="149" customWidth="1"/>
    <col min="14168" max="14168" width="0.85546875" style="149" customWidth="1"/>
    <col min="14169" max="14169" width="1.140625" style="149" customWidth="1"/>
    <col min="14170" max="14170" width="1.42578125" style="149" customWidth="1"/>
    <col min="14171" max="14171" width="13.140625" style="149"/>
    <col min="14172" max="14172" width="1.42578125" style="149" customWidth="1"/>
    <col min="14173" max="14173" width="0.140625" style="149" customWidth="1"/>
    <col min="14174" max="14174" width="0.5703125" style="149" customWidth="1"/>
    <col min="14175" max="14175" width="1.28515625" style="149" customWidth="1"/>
    <col min="14176" max="14176" width="13.140625" style="149"/>
    <col min="14177" max="14177" width="1.140625" style="149" customWidth="1"/>
    <col min="14178" max="14178" width="1.28515625" style="149" customWidth="1"/>
    <col min="14179" max="14179" width="0.85546875" style="149" customWidth="1"/>
    <col min="14180" max="14180" width="1.140625" style="149" customWidth="1"/>
    <col min="14181" max="14181" width="13.140625" style="149"/>
    <col min="14182" max="14182" width="1.140625" style="149" customWidth="1"/>
    <col min="14183" max="14183" width="1" style="149" customWidth="1"/>
    <col min="14184" max="14184" width="1.28515625" style="149" customWidth="1"/>
    <col min="14185" max="14185" width="1" style="149" customWidth="1"/>
    <col min="14186" max="14186" width="13.140625" style="149"/>
    <col min="14187" max="14188" width="1.140625" style="149" customWidth="1"/>
    <col min="14189" max="14189" width="0.5703125" style="149" customWidth="1"/>
    <col min="14190" max="14190" width="1.5703125" style="149" customWidth="1"/>
    <col min="14191" max="14270" width="13.140625" style="149"/>
    <col min="14271" max="14272" width="2.85546875" style="149" customWidth="1"/>
    <col min="14273" max="14336" width="13.140625" style="149"/>
    <col min="14337" max="14337" width="28.42578125" style="149" customWidth="1"/>
    <col min="14338" max="14338" width="11.5703125" style="149" bestFit="1" customWidth="1"/>
    <col min="14339" max="14339" width="69.42578125" style="149" bestFit="1" customWidth="1"/>
    <col min="14340" max="14340" width="30.85546875" style="149" bestFit="1" customWidth="1"/>
    <col min="14341" max="14341" width="37.5703125" style="149" bestFit="1" customWidth="1"/>
    <col min="14342" max="14342" width="74.85546875" style="149" customWidth="1"/>
    <col min="14343" max="14343" width="30.85546875" style="149" bestFit="1" customWidth="1"/>
    <col min="14344" max="14344" width="35.85546875" style="149" bestFit="1" customWidth="1"/>
    <col min="14345" max="14380" width="13.140625" style="149" customWidth="1"/>
    <col min="14381" max="14381" width="8.140625" style="149" customWidth="1"/>
    <col min="14382" max="14382" width="15.28515625" style="149" customWidth="1"/>
    <col min="14383" max="14383" width="1.7109375" style="149" customWidth="1"/>
    <col min="14384" max="14385" width="1.140625" style="149" customWidth="1"/>
    <col min="14386" max="14386" width="1" style="149" customWidth="1"/>
    <col min="14387" max="14387" width="13.140625" style="149"/>
    <col min="14388" max="14391" width="1.140625" style="149" customWidth="1"/>
    <col min="14392" max="14392" width="13.140625" style="149"/>
    <col min="14393" max="14393" width="1" style="149" customWidth="1"/>
    <col min="14394" max="14394" width="0.28515625" style="149" customWidth="1"/>
    <col min="14395" max="14395" width="1.140625" style="149" customWidth="1"/>
    <col min="14396" max="14396" width="0.7109375" style="149" customWidth="1"/>
    <col min="14397" max="14397" width="13.140625" style="149"/>
    <col min="14398" max="14400" width="1.140625" style="149" customWidth="1"/>
    <col min="14401" max="14401" width="1.28515625" style="149" customWidth="1"/>
    <col min="14402" max="14402" width="10.28515625" style="149" customWidth="1"/>
    <col min="14403" max="14403" width="1.85546875" style="149" customWidth="1"/>
    <col min="14404" max="14404" width="0.5703125" style="149" customWidth="1"/>
    <col min="14405" max="14406" width="1.5703125" style="149" customWidth="1"/>
    <col min="14407" max="14407" width="22.140625" style="149" customWidth="1"/>
    <col min="14408" max="14408" width="1.42578125" style="149" customWidth="1"/>
    <col min="14409" max="14409" width="1.5703125" style="149" customWidth="1"/>
    <col min="14410" max="14410" width="1.7109375" style="149" customWidth="1"/>
    <col min="14411" max="14411" width="1.85546875" style="149" customWidth="1"/>
    <col min="14412" max="14412" width="13.140625" style="149"/>
    <col min="14413" max="14414" width="1.42578125" style="149" customWidth="1"/>
    <col min="14415" max="14415" width="0.85546875" style="149" customWidth="1"/>
    <col min="14416" max="14416" width="1.5703125" style="149" customWidth="1"/>
    <col min="14417" max="14417" width="13.140625" style="149"/>
    <col min="14418" max="14418" width="1.42578125" style="149" customWidth="1"/>
    <col min="14419" max="14420" width="1.7109375" style="149" customWidth="1"/>
    <col min="14421" max="14421" width="1.42578125" style="149" customWidth="1"/>
    <col min="14422" max="14422" width="13.140625" style="149"/>
    <col min="14423" max="14423" width="1" style="149" customWidth="1"/>
    <col min="14424" max="14424" width="0.85546875" style="149" customWidth="1"/>
    <col min="14425" max="14425" width="1.140625" style="149" customWidth="1"/>
    <col min="14426" max="14426" width="1.42578125" style="149" customWidth="1"/>
    <col min="14427" max="14427" width="13.140625" style="149"/>
    <col min="14428" max="14428" width="1.42578125" style="149" customWidth="1"/>
    <col min="14429" max="14429" width="0.140625" style="149" customWidth="1"/>
    <col min="14430" max="14430" width="0.5703125" style="149" customWidth="1"/>
    <col min="14431" max="14431" width="1.28515625" style="149" customWidth="1"/>
    <col min="14432" max="14432" width="13.140625" style="149"/>
    <col min="14433" max="14433" width="1.140625" style="149" customWidth="1"/>
    <col min="14434" max="14434" width="1.28515625" style="149" customWidth="1"/>
    <col min="14435" max="14435" width="0.85546875" style="149" customWidth="1"/>
    <col min="14436" max="14436" width="1.140625" style="149" customWidth="1"/>
    <col min="14437" max="14437" width="13.140625" style="149"/>
    <col min="14438" max="14438" width="1.140625" style="149" customWidth="1"/>
    <col min="14439" max="14439" width="1" style="149" customWidth="1"/>
    <col min="14440" max="14440" width="1.28515625" style="149" customWidth="1"/>
    <col min="14441" max="14441" width="1" style="149" customWidth="1"/>
    <col min="14442" max="14442" width="13.140625" style="149"/>
    <col min="14443" max="14444" width="1.140625" style="149" customWidth="1"/>
    <col min="14445" max="14445" width="0.5703125" style="149" customWidth="1"/>
    <col min="14446" max="14446" width="1.5703125" style="149" customWidth="1"/>
    <col min="14447" max="14526" width="13.140625" style="149"/>
    <col min="14527" max="14528" width="2.85546875" style="149" customWidth="1"/>
    <col min="14529" max="14592" width="13.140625" style="149"/>
    <col min="14593" max="14593" width="28.42578125" style="149" customWidth="1"/>
    <col min="14594" max="14594" width="11.5703125" style="149" bestFit="1" customWidth="1"/>
    <col min="14595" max="14595" width="69.42578125" style="149" bestFit="1" customWidth="1"/>
    <col min="14596" max="14596" width="30.85546875" style="149" bestFit="1" customWidth="1"/>
    <col min="14597" max="14597" width="37.5703125" style="149" bestFit="1" customWidth="1"/>
    <col min="14598" max="14598" width="74.85546875" style="149" customWidth="1"/>
    <col min="14599" max="14599" width="30.85546875" style="149" bestFit="1" customWidth="1"/>
    <col min="14600" max="14600" width="35.85546875" style="149" bestFit="1" customWidth="1"/>
    <col min="14601" max="14636" width="13.140625" style="149" customWidth="1"/>
    <col min="14637" max="14637" width="8.140625" style="149" customWidth="1"/>
    <col min="14638" max="14638" width="15.28515625" style="149" customWidth="1"/>
    <col min="14639" max="14639" width="1.7109375" style="149" customWidth="1"/>
    <col min="14640" max="14641" width="1.140625" style="149" customWidth="1"/>
    <col min="14642" max="14642" width="1" style="149" customWidth="1"/>
    <col min="14643" max="14643" width="13.140625" style="149"/>
    <col min="14644" max="14647" width="1.140625" style="149" customWidth="1"/>
    <col min="14648" max="14648" width="13.140625" style="149"/>
    <col min="14649" max="14649" width="1" style="149" customWidth="1"/>
    <col min="14650" max="14650" width="0.28515625" style="149" customWidth="1"/>
    <col min="14651" max="14651" width="1.140625" style="149" customWidth="1"/>
    <col min="14652" max="14652" width="0.7109375" style="149" customWidth="1"/>
    <col min="14653" max="14653" width="13.140625" style="149"/>
    <col min="14654" max="14656" width="1.140625" style="149" customWidth="1"/>
    <col min="14657" max="14657" width="1.28515625" style="149" customWidth="1"/>
    <col min="14658" max="14658" width="10.28515625" style="149" customWidth="1"/>
    <col min="14659" max="14659" width="1.85546875" style="149" customWidth="1"/>
    <col min="14660" max="14660" width="0.5703125" style="149" customWidth="1"/>
    <col min="14661" max="14662" width="1.5703125" style="149" customWidth="1"/>
    <col min="14663" max="14663" width="22.140625" style="149" customWidth="1"/>
    <col min="14664" max="14664" width="1.42578125" style="149" customWidth="1"/>
    <col min="14665" max="14665" width="1.5703125" style="149" customWidth="1"/>
    <col min="14666" max="14666" width="1.7109375" style="149" customWidth="1"/>
    <col min="14667" max="14667" width="1.85546875" style="149" customWidth="1"/>
    <col min="14668" max="14668" width="13.140625" style="149"/>
    <col min="14669" max="14670" width="1.42578125" style="149" customWidth="1"/>
    <col min="14671" max="14671" width="0.85546875" style="149" customWidth="1"/>
    <col min="14672" max="14672" width="1.5703125" style="149" customWidth="1"/>
    <col min="14673" max="14673" width="13.140625" style="149"/>
    <col min="14674" max="14674" width="1.42578125" style="149" customWidth="1"/>
    <col min="14675" max="14676" width="1.7109375" style="149" customWidth="1"/>
    <col min="14677" max="14677" width="1.42578125" style="149" customWidth="1"/>
    <col min="14678" max="14678" width="13.140625" style="149"/>
    <col min="14679" max="14679" width="1" style="149" customWidth="1"/>
    <col min="14680" max="14680" width="0.85546875" style="149" customWidth="1"/>
    <col min="14681" max="14681" width="1.140625" style="149" customWidth="1"/>
    <col min="14682" max="14682" width="1.42578125" style="149" customWidth="1"/>
    <col min="14683" max="14683" width="13.140625" style="149"/>
    <col min="14684" max="14684" width="1.42578125" style="149" customWidth="1"/>
    <col min="14685" max="14685" width="0.140625" style="149" customWidth="1"/>
    <col min="14686" max="14686" width="0.5703125" style="149" customWidth="1"/>
    <col min="14687" max="14687" width="1.28515625" style="149" customWidth="1"/>
    <col min="14688" max="14688" width="13.140625" style="149"/>
    <col min="14689" max="14689" width="1.140625" style="149" customWidth="1"/>
    <col min="14690" max="14690" width="1.28515625" style="149" customWidth="1"/>
    <col min="14691" max="14691" width="0.85546875" style="149" customWidth="1"/>
    <col min="14692" max="14692" width="1.140625" style="149" customWidth="1"/>
    <col min="14693" max="14693" width="13.140625" style="149"/>
    <col min="14694" max="14694" width="1.140625" style="149" customWidth="1"/>
    <col min="14695" max="14695" width="1" style="149" customWidth="1"/>
    <col min="14696" max="14696" width="1.28515625" style="149" customWidth="1"/>
    <col min="14697" max="14697" width="1" style="149" customWidth="1"/>
    <col min="14698" max="14698" width="13.140625" style="149"/>
    <col min="14699" max="14700" width="1.140625" style="149" customWidth="1"/>
    <col min="14701" max="14701" width="0.5703125" style="149" customWidth="1"/>
    <col min="14702" max="14702" width="1.5703125" style="149" customWidth="1"/>
    <col min="14703" max="14782" width="13.140625" style="149"/>
    <col min="14783" max="14784" width="2.85546875" style="149" customWidth="1"/>
    <col min="14785" max="14848" width="13.140625" style="149"/>
    <col min="14849" max="14849" width="28.42578125" style="149" customWidth="1"/>
    <col min="14850" max="14850" width="11.5703125" style="149" bestFit="1" customWidth="1"/>
    <col min="14851" max="14851" width="69.42578125" style="149" bestFit="1" customWidth="1"/>
    <col min="14852" max="14852" width="30.85546875" style="149" bestFit="1" customWidth="1"/>
    <col min="14853" max="14853" width="37.5703125" style="149" bestFit="1" customWidth="1"/>
    <col min="14854" max="14854" width="74.85546875" style="149" customWidth="1"/>
    <col min="14855" max="14855" width="30.85546875" style="149" bestFit="1" customWidth="1"/>
    <col min="14856" max="14856" width="35.85546875" style="149" bestFit="1" customWidth="1"/>
    <col min="14857" max="14892" width="13.140625" style="149" customWidth="1"/>
    <col min="14893" max="14893" width="8.140625" style="149" customWidth="1"/>
    <col min="14894" max="14894" width="15.28515625" style="149" customWidth="1"/>
    <col min="14895" max="14895" width="1.7109375" style="149" customWidth="1"/>
    <col min="14896" max="14897" width="1.140625" style="149" customWidth="1"/>
    <col min="14898" max="14898" width="1" style="149" customWidth="1"/>
    <col min="14899" max="14899" width="13.140625" style="149"/>
    <col min="14900" max="14903" width="1.140625" style="149" customWidth="1"/>
    <col min="14904" max="14904" width="13.140625" style="149"/>
    <col min="14905" max="14905" width="1" style="149" customWidth="1"/>
    <col min="14906" max="14906" width="0.28515625" style="149" customWidth="1"/>
    <col min="14907" max="14907" width="1.140625" style="149" customWidth="1"/>
    <col min="14908" max="14908" width="0.7109375" style="149" customWidth="1"/>
    <col min="14909" max="14909" width="13.140625" style="149"/>
    <col min="14910" max="14912" width="1.140625" style="149" customWidth="1"/>
    <col min="14913" max="14913" width="1.28515625" style="149" customWidth="1"/>
    <col min="14914" max="14914" width="10.28515625" style="149" customWidth="1"/>
    <col min="14915" max="14915" width="1.85546875" style="149" customWidth="1"/>
    <col min="14916" max="14916" width="0.5703125" style="149" customWidth="1"/>
    <col min="14917" max="14918" width="1.5703125" style="149" customWidth="1"/>
    <col min="14919" max="14919" width="22.140625" style="149" customWidth="1"/>
    <col min="14920" max="14920" width="1.42578125" style="149" customWidth="1"/>
    <col min="14921" max="14921" width="1.5703125" style="149" customWidth="1"/>
    <col min="14922" max="14922" width="1.7109375" style="149" customWidth="1"/>
    <col min="14923" max="14923" width="1.85546875" style="149" customWidth="1"/>
    <col min="14924" max="14924" width="13.140625" style="149"/>
    <col min="14925" max="14926" width="1.42578125" style="149" customWidth="1"/>
    <col min="14927" max="14927" width="0.85546875" style="149" customWidth="1"/>
    <col min="14928" max="14928" width="1.5703125" style="149" customWidth="1"/>
    <col min="14929" max="14929" width="13.140625" style="149"/>
    <col min="14930" max="14930" width="1.42578125" style="149" customWidth="1"/>
    <col min="14931" max="14932" width="1.7109375" style="149" customWidth="1"/>
    <col min="14933" max="14933" width="1.42578125" style="149" customWidth="1"/>
    <col min="14934" max="14934" width="13.140625" style="149"/>
    <col min="14935" max="14935" width="1" style="149" customWidth="1"/>
    <col min="14936" max="14936" width="0.85546875" style="149" customWidth="1"/>
    <col min="14937" max="14937" width="1.140625" style="149" customWidth="1"/>
    <col min="14938" max="14938" width="1.42578125" style="149" customWidth="1"/>
    <col min="14939" max="14939" width="13.140625" style="149"/>
    <col min="14940" max="14940" width="1.42578125" style="149" customWidth="1"/>
    <col min="14941" max="14941" width="0.140625" style="149" customWidth="1"/>
    <col min="14942" max="14942" width="0.5703125" style="149" customWidth="1"/>
    <col min="14943" max="14943" width="1.28515625" style="149" customWidth="1"/>
    <col min="14944" max="14944" width="13.140625" style="149"/>
    <col min="14945" max="14945" width="1.140625" style="149" customWidth="1"/>
    <col min="14946" max="14946" width="1.28515625" style="149" customWidth="1"/>
    <col min="14947" max="14947" width="0.85546875" style="149" customWidth="1"/>
    <col min="14948" max="14948" width="1.140625" style="149" customWidth="1"/>
    <col min="14949" max="14949" width="13.140625" style="149"/>
    <col min="14950" max="14950" width="1.140625" style="149" customWidth="1"/>
    <col min="14951" max="14951" width="1" style="149" customWidth="1"/>
    <col min="14952" max="14952" width="1.28515625" style="149" customWidth="1"/>
    <col min="14953" max="14953" width="1" style="149" customWidth="1"/>
    <col min="14954" max="14954" width="13.140625" style="149"/>
    <col min="14955" max="14956" width="1.140625" style="149" customWidth="1"/>
    <col min="14957" max="14957" width="0.5703125" style="149" customWidth="1"/>
    <col min="14958" max="14958" width="1.5703125" style="149" customWidth="1"/>
    <col min="14959" max="15038" width="13.140625" style="149"/>
    <col min="15039" max="15040" width="2.85546875" style="149" customWidth="1"/>
    <col min="15041" max="15104" width="13.140625" style="149"/>
    <col min="15105" max="15105" width="28.42578125" style="149" customWidth="1"/>
    <col min="15106" max="15106" width="11.5703125" style="149" bestFit="1" customWidth="1"/>
    <col min="15107" max="15107" width="69.42578125" style="149" bestFit="1" customWidth="1"/>
    <col min="15108" max="15108" width="30.85546875" style="149" bestFit="1" customWidth="1"/>
    <col min="15109" max="15109" width="37.5703125" style="149" bestFit="1" customWidth="1"/>
    <col min="15110" max="15110" width="74.85546875" style="149" customWidth="1"/>
    <col min="15111" max="15111" width="30.85546875" style="149" bestFit="1" customWidth="1"/>
    <col min="15112" max="15112" width="35.85546875" style="149" bestFit="1" customWidth="1"/>
    <col min="15113" max="15148" width="13.140625" style="149" customWidth="1"/>
    <col min="15149" max="15149" width="8.140625" style="149" customWidth="1"/>
    <col min="15150" max="15150" width="15.28515625" style="149" customWidth="1"/>
    <col min="15151" max="15151" width="1.7109375" style="149" customWidth="1"/>
    <col min="15152" max="15153" width="1.140625" style="149" customWidth="1"/>
    <col min="15154" max="15154" width="1" style="149" customWidth="1"/>
    <col min="15155" max="15155" width="13.140625" style="149"/>
    <col min="15156" max="15159" width="1.140625" style="149" customWidth="1"/>
    <col min="15160" max="15160" width="13.140625" style="149"/>
    <col min="15161" max="15161" width="1" style="149" customWidth="1"/>
    <col min="15162" max="15162" width="0.28515625" style="149" customWidth="1"/>
    <col min="15163" max="15163" width="1.140625" style="149" customWidth="1"/>
    <col min="15164" max="15164" width="0.7109375" style="149" customWidth="1"/>
    <col min="15165" max="15165" width="13.140625" style="149"/>
    <col min="15166" max="15168" width="1.140625" style="149" customWidth="1"/>
    <col min="15169" max="15169" width="1.28515625" style="149" customWidth="1"/>
    <col min="15170" max="15170" width="10.28515625" style="149" customWidth="1"/>
    <col min="15171" max="15171" width="1.85546875" style="149" customWidth="1"/>
    <col min="15172" max="15172" width="0.5703125" style="149" customWidth="1"/>
    <col min="15173" max="15174" width="1.5703125" style="149" customWidth="1"/>
    <col min="15175" max="15175" width="22.140625" style="149" customWidth="1"/>
    <col min="15176" max="15176" width="1.42578125" style="149" customWidth="1"/>
    <col min="15177" max="15177" width="1.5703125" style="149" customWidth="1"/>
    <col min="15178" max="15178" width="1.7109375" style="149" customWidth="1"/>
    <col min="15179" max="15179" width="1.85546875" style="149" customWidth="1"/>
    <col min="15180" max="15180" width="13.140625" style="149"/>
    <col min="15181" max="15182" width="1.42578125" style="149" customWidth="1"/>
    <col min="15183" max="15183" width="0.85546875" style="149" customWidth="1"/>
    <col min="15184" max="15184" width="1.5703125" style="149" customWidth="1"/>
    <col min="15185" max="15185" width="13.140625" style="149"/>
    <col min="15186" max="15186" width="1.42578125" style="149" customWidth="1"/>
    <col min="15187" max="15188" width="1.7109375" style="149" customWidth="1"/>
    <col min="15189" max="15189" width="1.42578125" style="149" customWidth="1"/>
    <col min="15190" max="15190" width="13.140625" style="149"/>
    <col min="15191" max="15191" width="1" style="149" customWidth="1"/>
    <col min="15192" max="15192" width="0.85546875" style="149" customWidth="1"/>
    <col min="15193" max="15193" width="1.140625" style="149" customWidth="1"/>
    <col min="15194" max="15194" width="1.42578125" style="149" customWidth="1"/>
    <col min="15195" max="15195" width="13.140625" style="149"/>
    <col min="15196" max="15196" width="1.42578125" style="149" customWidth="1"/>
    <col min="15197" max="15197" width="0.140625" style="149" customWidth="1"/>
    <col min="15198" max="15198" width="0.5703125" style="149" customWidth="1"/>
    <col min="15199" max="15199" width="1.28515625" style="149" customWidth="1"/>
    <col min="15200" max="15200" width="13.140625" style="149"/>
    <col min="15201" max="15201" width="1.140625" style="149" customWidth="1"/>
    <col min="15202" max="15202" width="1.28515625" style="149" customWidth="1"/>
    <col min="15203" max="15203" width="0.85546875" style="149" customWidth="1"/>
    <col min="15204" max="15204" width="1.140625" style="149" customWidth="1"/>
    <col min="15205" max="15205" width="13.140625" style="149"/>
    <col min="15206" max="15206" width="1.140625" style="149" customWidth="1"/>
    <col min="15207" max="15207" width="1" style="149" customWidth="1"/>
    <col min="15208" max="15208" width="1.28515625" style="149" customWidth="1"/>
    <col min="15209" max="15209" width="1" style="149" customWidth="1"/>
    <col min="15210" max="15210" width="13.140625" style="149"/>
    <col min="15211" max="15212" width="1.140625" style="149" customWidth="1"/>
    <col min="15213" max="15213" width="0.5703125" style="149" customWidth="1"/>
    <col min="15214" max="15214" width="1.5703125" style="149" customWidth="1"/>
    <col min="15215" max="15294" width="13.140625" style="149"/>
    <col min="15295" max="15296" width="2.85546875" style="149" customWidth="1"/>
    <col min="15297" max="15360" width="13.140625" style="149"/>
    <col min="15361" max="15361" width="28.42578125" style="149" customWidth="1"/>
    <col min="15362" max="15362" width="11.5703125" style="149" bestFit="1" customWidth="1"/>
    <col min="15363" max="15363" width="69.42578125" style="149" bestFit="1" customWidth="1"/>
    <col min="15364" max="15364" width="30.85546875" style="149" bestFit="1" customWidth="1"/>
    <col min="15365" max="15365" width="37.5703125" style="149" bestFit="1" customWidth="1"/>
    <col min="15366" max="15366" width="74.85546875" style="149" customWidth="1"/>
    <col min="15367" max="15367" width="30.85546875" style="149" bestFit="1" customWidth="1"/>
    <col min="15368" max="15368" width="35.85546875" style="149" bestFit="1" customWidth="1"/>
    <col min="15369" max="15404" width="13.140625" style="149" customWidth="1"/>
    <col min="15405" max="15405" width="8.140625" style="149" customWidth="1"/>
    <col min="15406" max="15406" width="15.28515625" style="149" customWidth="1"/>
    <col min="15407" max="15407" width="1.7109375" style="149" customWidth="1"/>
    <col min="15408" max="15409" width="1.140625" style="149" customWidth="1"/>
    <col min="15410" max="15410" width="1" style="149" customWidth="1"/>
    <col min="15411" max="15411" width="13.140625" style="149"/>
    <col min="15412" max="15415" width="1.140625" style="149" customWidth="1"/>
    <col min="15416" max="15416" width="13.140625" style="149"/>
    <col min="15417" max="15417" width="1" style="149" customWidth="1"/>
    <col min="15418" max="15418" width="0.28515625" style="149" customWidth="1"/>
    <col min="15419" max="15419" width="1.140625" style="149" customWidth="1"/>
    <col min="15420" max="15420" width="0.7109375" style="149" customWidth="1"/>
    <col min="15421" max="15421" width="13.140625" style="149"/>
    <col min="15422" max="15424" width="1.140625" style="149" customWidth="1"/>
    <col min="15425" max="15425" width="1.28515625" style="149" customWidth="1"/>
    <col min="15426" max="15426" width="10.28515625" style="149" customWidth="1"/>
    <col min="15427" max="15427" width="1.85546875" style="149" customWidth="1"/>
    <col min="15428" max="15428" width="0.5703125" style="149" customWidth="1"/>
    <col min="15429" max="15430" width="1.5703125" style="149" customWidth="1"/>
    <col min="15431" max="15431" width="22.140625" style="149" customWidth="1"/>
    <col min="15432" max="15432" width="1.42578125" style="149" customWidth="1"/>
    <col min="15433" max="15433" width="1.5703125" style="149" customWidth="1"/>
    <col min="15434" max="15434" width="1.7109375" style="149" customWidth="1"/>
    <col min="15435" max="15435" width="1.85546875" style="149" customWidth="1"/>
    <col min="15436" max="15436" width="13.140625" style="149"/>
    <col min="15437" max="15438" width="1.42578125" style="149" customWidth="1"/>
    <col min="15439" max="15439" width="0.85546875" style="149" customWidth="1"/>
    <col min="15440" max="15440" width="1.5703125" style="149" customWidth="1"/>
    <col min="15441" max="15441" width="13.140625" style="149"/>
    <col min="15442" max="15442" width="1.42578125" style="149" customWidth="1"/>
    <col min="15443" max="15444" width="1.7109375" style="149" customWidth="1"/>
    <col min="15445" max="15445" width="1.42578125" style="149" customWidth="1"/>
    <col min="15446" max="15446" width="13.140625" style="149"/>
    <col min="15447" max="15447" width="1" style="149" customWidth="1"/>
    <col min="15448" max="15448" width="0.85546875" style="149" customWidth="1"/>
    <col min="15449" max="15449" width="1.140625" style="149" customWidth="1"/>
    <col min="15450" max="15450" width="1.42578125" style="149" customWidth="1"/>
    <col min="15451" max="15451" width="13.140625" style="149"/>
    <col min="15452" max="15452" width="1.42578125" style="149" customWidth="1"/>
    <col min="15453" max="15453" width="0.140625" style="149" customWidth="1"/>
    <col min="15454" max="15454" width="0.5703125" style="149" customWidth="1"/>
    <col min="15455" max="15455" width="1.28515625" style="149" customWidth="1"/>
    <col min="15456" max="15456" width="13.140625" style="149"/>
    <col min="15457" max="15457" width="1.140625" style="149" customWidth="1"/>
    <col min="15458" max="15458" width="1.28515625" style="149" customWidth="1"/>
    <col min="15459" max="15459" width="0.85546875" style="149" customWidth="1"/>
    <col min="15460" max="15460" width="1.140625" style="149" customWidth="1"/>
    <col min="15461" max="15461" width="13.140625" style="149"/>
    <col min="15462" max="15462" width="1.140625" style="149" customWidth="1"/>
    <col min="15463" max="15463" width="1" style="149" customWidth="1"/>
    <col min="15464" max="15464" width="1.28515625" style="149" customWidth="1"/>
    <col min="15465" max="15465" width="1" style="149" customWidth="1"/>
    <col min="15466" max="15466" width="13.140625" style="149"/>
    <col min="15467" max="15468" width="1.140625" style="149" customWidth="1"/>
    <col min="15469" max="15469" width="0.5703125" style="149" customWidth="1"/>
    <col min="15470" max="15470" width="1.5703125" style="149" customWidth="1"/>
    <col min="15471" max="15550" width="13.140625" style="149"/>
    <col min="15551" max="15552" width="2.85546875" style="149" customWidth="1"/>
    <col min="15553" max="15616" width="13.140625" style="149"/>
    <col min="15617" max="15617" width="28.42578125" style="149" customWidth="1"/>
    <col min="15618" max="15618" width="11.5703125" style="149" bestFit="1" customWidth="1"/>
    <col min="15619" max="15619" width="69.42578125" style="149" bestFit="1" customWidth="1"/>
    <col min="15620" max="15620" width="30.85546875" style="149" bestFit="1" customWidth="1"/>
    <col min="15621" max="15621" width="37.5703125" style="149" bestFit="1" customWidth="1"/>
    <col min="15622" max="15622" width="74.85546875" style="149" customWidth="1"/>
    <col min="15623" max="15623" width="30.85546875" style="149" bestFit="1" customWidth="1"/>
    <col min="15624" max="15624" width="35.85546875" style="149" bestFit="1" customWidth="1"/>
    <col min="15625" max="15660" width="13.140625" style="149" customWidth="1"/>
    <col min="15661" max="15661" width="8.140625" style="149" customWidth="1"/>
    <col min="15662" max="15662" width="15.28515625" style="149" customWidth="1"/>
    <col min="15663" max="15663" width="1.7109375" style="149" customWidth="1"/>
    <col min="15664" max="15665" width="1.140625" style="149" customWidth="1"/>
    <col min="15666" max="15666" width="1" style="149" customWidth="1"/>
    <col min="15667" max="15667" width="13.140625" style="149"/>
    <col min="15668" max="15671" width="1.140625" style="149" customWidth="1"/>
    <col min="15672" max="15672" width="13.140625" style="149"/>
    <col min="15673" max="15673" width="1" style="149" customWidth="1"/>
    <col min="15674" max="15674" width="0.28515625" style="149" customWidth="1"/>
    <col min="15675" max="15675" width="1.140625" style="149" customWidth="1"/>
    <col min="15676" max="15676" width="0.7109375" style="149" customWidth="1"/>
    <col min="15677" max="15677" width="13.140625" style="149"/>
    <col min="15678" max="15680" width="1.140625" style="149" customWidth="1"/>
    <col min="15681" max="15681" width="1.28515625" style="149" customWidth="1"/>
    <col min="15682" max="15682" width="10.28515625" style="149" customWidth="1"/>
    <col min="15683" max="15683" width="1.85546875" style="149" customWidth="1"/>
    <col min="15684" max="15684" width="0.5703125" style="149" customWidth="1"/>
    <col min="15685" max="15686" width="1.5703125" style="149" customWidth="1"/>
    <col min="15687" max="15687" width="22.140625" style="149" customWidth="1"/>
    <col min="15688" max="15688" width="1.42578125" style="149" customWidth="1"/>
    <col min="15689" max="15689" width="1.5703125" style="149" customWidth="1"/>
    <col min="15690" max="15690" width="1.7109375" style="149" customWidth="1"/>
    <col min="15691" max="15691" width="1.85546875" style="149" customWidth="1"/>
    <col min="15692" max="15692" width="13.140625" style="149"/>
    <col min="15693" max="15694" width="1.42578125" style="149" customWidth="1"/>
    <col min="15695" max="15695" width="0.85546875" style="149" customWidth="1"/>
    <col min="15696" max="15696" width="1.5703125" style="149" customWidth="1"/>
    <col min="15697" max="15697" width="13.140625" style="149"/>
    <col min="15698" max="15698" width="1.42578125" style="149" customWidth="1"/>
    <col min="15699" max="15700" width="1.7109375" style="149" customWidth="1"/>
    <col min="15701" max="15701" width="1.42578125" style="149" customWidth="1"/>
    <col min="15702" max="15702" width="13.140625" style="149"/>
    <col min="15703" max="15703" width="1" style="149" customWidth="1"/>
    <col min="15704" max="15704" width="0.85546875" style="149" customWidth="1"/>
    <col min="15705" max="15705" width="1.140625" style="149" customWidth="1"/>
    <col min="15706" max="15706" width="1.42578125" style="149" customWidth="1"/>
    <col min="15707" max="15707" width="13.140625" style="149"/>
    <col min="15708" max="15708" width="1.42578125" style="149" customWidth="1"/>
    <col min="15709" max="15709" width="0.140625" style="149" customWidth="1"/>
    <col min="15710" max="15710" width="0.5703125" style="149" customWidth="1"/>
    <col min="15711" max="15711" width="1.28515625" style="149" customWidth="1"/>
    <col min="15712" max="15712" width="13.140625" style="149"/>
    <col min="15713" max="15713" width="1.140625" style="149" customWidth="1"/>
    <col min="15714" max="15714" width="1.28515625" style="149" customWidth="1"/>
    <col min="15715" max="15715" width="0.85546875" style="149" customWidth="1"/>
    <col min="15716" max="15716" width="1.140625" style="149" customWidth="1"/>
    <col min="15717" max="15717" width="13.140625" style="149"/>
    <col min="15718" max="15718" width="1.140625" style="149" customWidth="1"/>
    <col min="15719" max="15719" width="1" style="149" customWidth="1"/>
    <col min="15720" max="15720" width="1.28515625" style="149" customWidth="1"/>
    <col min="15721" max="15721" width="1" style="149" customWidth="1"/>
    <col min="15722" max="15722" width="13.140625" style="149"/>
    <col min="15723" max="15724" width="1.140625" style="149" customWidth="1"/>
    <col min="15725" max="15725" width="0.5703125" style="149" customWidth="1"/>
    <col min="15726" max="15726" width="1.5703125" style="149" customWidth="1"/>
    <col min="15727" max="15806" width="13.140625" style="149"/>
    <col min="15807" max="15808" width="2.85546875" style="149" customWidth="1"/>
    <col min="15809" max="15872" width="13.140625" style="149"/>
    <col min="15873" max="15873" width="28.42578125" style="149" customWidth="1"/>
    <col min="15874" max="15874" width="11.5703125" style="149" bestFit="1" customWidth="1"/>
    <col min="15875" max="15875" width="69.42578125" style="149" bestFit="1" customWidth="1"/>
    <col min="15876" max="15876" width="30.85546875" style="149" bestFit="1" customWidth="1"/>
    <col min="15877" max="15877" width="37.5703125" style="149" bestFit="1" customWidth="1"/>
    <col min="15878" max="15878" width="74.85546875" style="149" customWidth="1"/>
    <col min="15879" max="15879" width="30.85546875" style="149" bestFit="1" customWidth="1"/>
    <col min="15880" max="15880" width="35.85546875" style="149" bestFit="1" customWidth="1"/>
    <col min="15881" max="15916" width="13.140625" style="149" customWidth="1"/>
    <col min="15917" max="15917" width="8.140625" style="149" customWidth="1"/>
    <col min="15918" max="15918" width="15.28515625" style="149" customWidth="1"/>
    <col min="15919" max="15919" width="1.7109375" style="149" customWidth="1"/>
    <col min="15920" max="15921" width="1.140625" style="149" customWidth="1"/>
    <col min="15922" max="15922" width="1" style="149" customWidth="1"/>
    <col min="15923" max="15923" width="13.140625" style="149"/>
    <col min="15924" max="15927" width="1.140625" style="149" customWidth="1"/>
    <col min="15928" max="15928" width="13.140625" style="149"/>
    <col min="15929" max="15929" width="1" style="149" customWidth="1"/>
    <col min="15930" max="15930" width="0.28515625" style="149" customWidth="1"/>
    <col min="15931" max="15931" width="1.140625" style="149" customWidth="1"/>
    <col min="15932" max="15932" width="0.7109375" style="149" customWidth="1"/>
    <col min="15933" max="15933" width="13.140625" style="149"/>
    <col min="15934" max="15936" width="1.140625" style="149" customWidth="1"/>
    <col min="15937" max="15937" width="1.28515625" style="149" customWidth="1"/>
    <col min="15938" max="15938" width="10.28515625" style="149" customWidth="1"/>
    <col min="15939" max="15939" width="1.85546875" style="149" customWidth="1"/>
    <col min="15940" max="15940" width="0.5703125" style="149" customWidth="1"/>
    <col min="15941" max="15942" width="1.5703125" style="149" customWidth="1"/>
    <col min="15943" max="15943" width="22.140625" style="149" customWidth="1"/>
    <col min="15944" max="15944" width="1.42578125" style="149" customWidth="1"/>
    <col min="15945" max="15945" width="1.5703125" style="149" customWidth="1"/>
    <col min="15946" max="15946" width="1.7109375" style="149" customWidth="1"/>
    <col min="15947" max="15947" width="1.85546875" style="149" customWidth="1"/>
    <col min="15948" max="15948" width="13.140625" style="149"/>
    <col min="15949" max="15950" width="1.42578125" style="149" customWidth="1"/>
    <col min="15951" max="15951" width="0.85546875" style="149" customWidth="1"/>
    <col min="15952" max="15952" width="1.5703125" style="149" customWidth="1"/>
    <col min="15953" max="15953" width="13.140625" style="149"/>
    <col min="15954" max="15954" width="1.42578125" style="149" customWidth="1"/>
    <col min="15955" max="15956" width="1.7109375" style="149" customWidth="1"/>
    <col min="15957" max="15957" width="1.42578125" style="149" customWidth="1"/>
    <col min="15958" max="15958" width="13.140625" style="149"/>
    <col min="15959" max="15959" width="1" style="149" customWidth="1"/>
    <col min="15960" max="15960" width="0.85546875" style="149" customWidth="1"/>
    <col min="15961" max="15961" width="1.140625" style="149" customWidth="1"/>
    <col min="15962" max="15962" width="1.42578125" style="149" customWidth="1"/>
    <col min="15963" max="15963" width="13.140625" style="149"/>
    <col min="15964" max="15964" width="1.42578125" style="149" customWidth="1"/>
    <col min="15965" max="15965" width="0.140625" style="149" customWidth="1"/>
    <col min="15966" max="15966" width="0.5703125" style="149" customWidth="1"/>
    <col min="15967" max="15967" width="1.28515625" style="149" customWidth="1"/>
    <col min="15968" max="15968" width="13.140625" style="149"/>
    <col min="15969" max="15969" width="1.140625" style="149" customWidth="1"/>
    <col min="15970" max="15970" width="1.28515625" style="149" customWidth="1"/>
    <col min="15971" max="15971" width="0.85546875" style="149" customWidth="1"/>
    <col min="15972" max="15972" width="1.140625" style="149" customWidth="1"/>
    <col min="15973" max="15973" width="13.140625" style="149"/>
    <col min="15974" max="15974" width="1.140625" style="149" customWidth="1"/>
    <col min="15975" max="15975" width="1" style="149" customWidth="1"/>
    <col min="15976" max="15976" width="1.28515625" style="149" customWidth="1"/>
    <col min="15977" max="15977" width="1" style="149" customWidth="1"/>
    <col min="15978" max="15978" width="13.140625" style="149"/>
    <col min="15979" max="15980" width="1.140625" style="149" customWidth="1"/>
    <col min="15981" max="15981" width="0.5703125" style="149" customWidth="1"/>
    <col min="15982" max="15982" width="1.5703125" style="149" customWidth="1"/>
    <col min="15983" max="16062" width="13.140625" style="149"/>
    <col min="16063" max="16064" width="2.85546875" style="149" customWidth="1"/>
    <col min="16065" max="16128" width="13.140625" style="149"/>
    <col min="16129" max="16129" width="28.42578125" style="149" customWidth="1"/>
    <col min="16130" max="16130" width="11.5703125" style="149" bestFit="1" customWidth="1"/>
    <col min="16131" max="16131" width="69.42578125" style="149" bestFit="1" customWidth="1"/>
    <col min="16132" max="16132" width="30.85546875" style="149" bestFit="1" customWidth="1"/>
    <col min="16133" max="16133" width="37.5703125" style="149" bestFit="1" customWidth="1"/>
    <col min="16134" max="16134" width="74.85546875" style="149" customWidth="1"/>
    <col min="16135" max="16135" width="30.85546875" style="149" bestFit="1" customWidth="1"/>
    <col min="16136" max="16136" width="35.85546875" style="149" bestFit="1" customWidth="1"/>
    <col min="16137" max="16172" width="13.140625" style="149" customWidth="1"/>
    <col min="16173" max="16173" width="8.140625" style="149" customWidth="1"/>
    <col min="16174" max="16174" width="15.28515625" style="149" customWidth="1"/>
    <col min="16175" max="16175" width="1.7109375" style="149" customWidth="1"/>
    <col min="16176" max="16177" width="1.140625" style="149" customWidth="1"/>
    <col min="16178" max="16178" width="1" style="149" customWidth="1"/>
    <col min="16179" max="16179" width="13.140625" style="149"/>
    <col min="16180" max="16183" width="1.140625" style="149" customWidth="1"/>
    <col min="16184" max="16184" width="13.140625" style="149"/>
    <col min="16185" max="16185" width="1" style="149" customWidth="1"/>
    <col min="16186" max="16186" width="0.28515625" style="149" customWidth="1"/>
    <col min="16187" max="16187" width="1.140625" style="149" customWidth="1"/>
    <col min="16188" max="16188" width="0.7109375" style="149" customWidth="1"/>
    <col min="16189" max="16189" width="13.140625" style="149"/>
    <col min="16190" max="16192" width="1.140625" style="149" customWidth="1"/>
    <col min="16193" max="16193" width="1.28515625" style="149" customWidth="1"/>
    <col min="16194" max="16194" width="10.28515625" style="149" customWidth="1"/>
    <col min="16195" max="16195" width="1.85546875" style="149" customWidth="1"/>
    <col min="16196" max="16196" width="0.5703125" style="149" customWidth="1"/>
    <col min="16197" max="16198" width="1.5703125" style="149" customWidth="1"/>
    <col min="16199" max="16199" width="22.140625" style="149" customWidth="1"/>
    <col min="16200" max="16200" width="1.42578125" style="149" customWidth="1"/>
    <col min="16201" max="16201" width="1.5703125" style="149" customWidth="1"/>
    <col min="16202" max="16202" width="1.7109375" style="149" customWidth="1"/>
    <col min="16203" max="16203" width="1.85546875" style="149" customWidth="1"/>
    <col min="16204" max="16204" width="13.140625" style="149"/>
    <col min="16205" max="16206" width="1.42578125" style="149" customWidth="1"/>
    <col min="16207" max="16207" width="0.85546875" style="149" customWidth="1"/>
    <col min="16208" max="16208" width="1.5703125" style="149" customWidth="1"/>
    <col min="16209" max="16209" width="13.140625" style="149"/>
    <col min="16210" max="16210" width="1.42578125" style="149" customWidth="1"/>
    <col min="16211" max="16212" width="1.7109375" style="149" customWidth="1"/>
    <col min="16213" max="16213" width="1.42578125" style="149" customWidth="1"/>
    <col min="16214" max="16214" width="13.140625" style="149"/>
    <col min="16215" max="16215" width="1" style="149" customWidth="1"/>
    <col min="16216" max="16216" width="0.85546875" style="149" customWidth="1"/>
    <col min="16217" max="16217" width="1.140625" style="149" customWidth="1"/>
    <col min="16218" max="16218" width="1.42578125" style="149" customWidth="1"/>
    <col min="16219" max="16219" width="13.140625" style="149"/>
    <col min="16220" max="16220" width="1.42578125" style="149" customWidth="1"/>
    <col min="16221" max="16221" width="0.140625" style="149" customWidth="1"/>
    <col min="16222" max="16222" width="0.5703125" style="149" customWidth="1"/>
    <col min="16223" max="16223" width="1.28515625" style="149" customWidth="1"/>
    <col min="16224" max="16224" width="13.140625" style="149"/>
    <col min="16225" max="16225" width="1.140625" style="149" customWidth="1"/>
    <col min="16226" max="16226" width="1.28515625" style="149" customWidth="1"/>
    <col min="16227" max="16227" width="0.85546875" style="149" customWidth="1"/>
    <col min="16228" max="16228" width="1.140625" style="149" customWidth="1"/>
    <col min="16229" max="16229" width="13.140625" style="149"/>
    <col min="16230" max="16230" width="1.140625" style="149" customWidth="1"/>
    <col min="16231" max="16231" width="1" style="149" customWidth="1"/>
    <col min="16232" max="16232" width="1.28515625" style="149" customWidth="1"/>
    <col min="16233" max="16233" width="1" style="149" customWidth="1"/>
    <col min="16234" max="16234" width="13.140625" style="149"/>
    <col min="16235" max="16236" width="1.140625" style="149" customWidth="1"/>
    <col min="16237" max="16237" width="0.5703125" style="149" customWidth="1"/>
    <col min="16238" max="16238" width="1.5703125" style="149" customWidth="1"/>
    <col min="16239" max="16318" width="13.140625" style="149"/>
    <col min="16319" max="16320" width="2.85546875" style="149" customWidth="1"/>
    <col min="16321" max="16384" width="13.140625" style="149"/>
  </cols>
  <sheetData>
    <row r="1" spans="1:111" s="155" customFormat="1" ht="108" customHeight="1" thickBot="1" x14ac:dyDescent="0.5">
      <c r="A1" s="115" t="s">
        <v>190</v>
      </c>
      <c r="B1" s="115"/>
      <c r="C1" s="115" t="s">
        <v>191</v>
      </c>
      <c r="D1" s="115" t="s">
        <v>192</v>
      </c>
      <c r="E1" s="115" t="s">
        <v>193</v>
      </c>
      <c r="F1" s="115" t="s">
        <v>194</v>
      </c>
      <c r="G1" s="115" t="s">
        <v>192</v>
      </c>
      <c r="H1" s="115" t="s">
        <v>193</v>
      </c>
      <c r="I1" s="115" t="s">
        <v>195</v>
      </c>
      <c r="J1" s="115" t="s">
        <v>192</v>
      </c>
      <c r="K1" s="115" t="s">
        <v>193</v>
      </c>
      <c r="L1" s="115" t="s">
        <v>196</v>
      </c>
      <c r="M1" s="115" t="s">
        <v>192</v>
      </c>
      <c r="N1" s="115" t="s">
        <v>193</v>
      </c>
      <c r="O1" s="115" t="s">
        <v>197</v>
      </c>
      <c r="P1" s="115" t="s">
        <v>192</v>
      </c>
      <c r="Q1" s="115" t="s">
        <v>193</v>
      </c>
      <c r="R1" s="115" t="s">
        <v>198</v>
      </c>
      <c r="S1" s="115" t="s">
        <v>192</v>
      </c>
      <c r="T1" s="115" t="s">
        <v>193</v>
      </c>
      <c r="U1" s="115" t="s">
        <v>199</v>
      </c>
      <c r="V1" s="115" t="s">
        <v>192</v>
      </c>
      <c r="W1" s="115" t="s">
        <v>193</v>
      </c>
      <c r="X1" s="115" t="s">
        <v>200</v>
      </c>
      <c r="Y1" s="115" t="s">
        <v>192</v>
      </c>
      <c r="Z1" s="115" t="s">
        <v>193</v>
      </c>
      <c r="AA1" s="115" t="s">
        <v>201</v>
      </c>
      <c r="AB1" s="115" t="s">
        <v>192</v>
      </c>
      <c r="AC1" s="115" t="s">
        <v>193</v>
      </c>
      <c r="AD1" s="115" t="s">
        <v>202</v>
      </c>
      <c r="AE1" s="115" t="s">
        <v>192</v>
      </c>
      <c r="AF1" s="115" t="s">
        <v>193</v>
      </c>
      <c r="AG1" s="115" t="s">
        <v>203</v>
      </c>
      <c r="AH1" s="115" t="s">
        <v>192</v>
      </c>
      <c r="AI1" s="115" t="s">
        <v>193</v>
      </c>
      <c r="AJ1" s="115" t="s">
        <v>204</v>
      </c>
      <c r="AK1" s="115" t="s">
        <v>192</v>
      </c>
      <c r="AL1" s="115" t="s">
        <v>193</v>
      </c>
      <c r="AM1" s="115" t="s">
        <v>205</v>
      </c>
      <c r="AN1" s="115" t="s">
        <v>192</v>
      </c>
      <c r="AO1" s="115" t="s">
        <v>193</v>
      </c>
      <c r="AP1" s="115" t="s">
        <v>206</v>
      </c>
      <c r="AQ1" s="115" t="s">
        <v>192</v>
      </c>
      <c r="AR1" s="115" t="s">
        <v>193</v>
      </c>
      <c r="AS1" s="153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S1" s="154"/>
      <c r="BU1" s="154"/>
      <c r="BX1" s="154"/>
      <c r="BY1" s="154"/>
      <c r="CA1" s="154"/>
      <c r="CC1" s="154"/>
      <c r="CH1" s="154"/>
      <c r="CM1" s="154"/>
      <c r="CR1" s="154"/>
      <c r="CW1" s="154"/>
      <c r="DB1" s="154"/>
      <c r="DC1" s="154"/>
      <c r="DG1" s="154"/>
    </row>
    <row r="2" spans="1:111" s="147" customFormat="1" ht="45" hidden="1" customHeight="1" x14ac:dyDescent="0.45">
      <c r="A2" s="116">
        <v>45627</v>
      </c>
      <c r="B2" s="117"/>
      <c r="C2" s="118">
        <v>36919909673224.898</v>
      </c>
      <c r="D2" s="119"/>
      <c r="E2" s="119"/>
      <c r="F2" s="118">
        <v>102979147646711</v>
      </c>
      <c r="G2" s="120"/>
      <c r="H2" s="119"/>
      <c r="I2" s="119">
        <v>92063940697171.5</v>
      </c>
      <c r="J2" s="119"/>
      <c r="K2" s="119"/>
      <c r="L2" s="119">
        <v>8113335267682.4004</v>
      </c>
      <c r="M2" s="119"/>
      <c r="N2" s="119"/>
      <c r="O2" s="119">
        <v>408529455420.90002</v>
      </c>
      <c r="P2" s="119"/>
      <c r="Q2" s="119"/>
      <c r="R2" s="119">
        <v>5347175666544.2998</v>
      </c>
      <c r="S2" s="119"/>
      <c r="T2" s="119"/>
      <c r="U2" s="119">
        <v>9693550312155.3008</v>
      </c>
      <c r="V2" s="119"/>
      <c r="W2" s="119"/>
      <c r="X2" s="119">
        <v>47305452791105.398</v>
      </c>
      <c r="Y2" s="119"/>
      <c r="Z2" s="119"/>
      <c r="AA2" s="119">
        <v>39158203633879.398</v>
      </c>
      <c r="AB2" s="119"/>
      <c r="AC2" s="119"/>
      <c r="AD2" s="119">
        <v>2252956996912.5</v>
      </c>
      <c r="AE2" s="119"/>
      <c r="AF2" s="119"/>
      <c r="AG2" s="119">
        <v>21674317993121.199</v>
      </c>
      <c r="AH2" s="119"/>
      <c r="AI2" s="119"/>
      <c r="AJ2" s="119">
        <v>47579920075512.102</v>
      </c>
      <c r="AK2" s="119"/>
      <c r="AL2" s="119"/>
      <c r="AM2" s="119">
        <v>54723414280486.602</v>
      </c>
      <c r="AN2" s="119"/>
      <c r="AO2" s="119"/>
      <c r="AP2" s="119">
        <v>36966480675041.703</v>
      </c>
      <c r="AQ2" s="117"/>
      <c r="AR2" s="121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</row>
    <row r="3" spans="1:111" s="147" customFormat="1" ht="45" customHeight="1" x14ac:dyDescent="0.5">
      <c r="A3" s="122" t="s">
        <v>207</v>
      </c>
      <c r="B3" s="117"/>
      <c r="C3" s="118"/>
      <c r="D3" s="119"/>
      <c r="E3" s="119"/>
      <c r="F3" s="123"/>
      <c r="G3" s="117"/>
      <c r="H3" s="117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7"/>
      <c r="AR3" s="121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</row>
    <row r="4" spans="1:111" s="147" customFormat="1" ht="45" customHeight="1" x14ac:dyDescent="0.45">
      <c r="A4" s="116">
        <v>45658</v>
      </c>
      <c r="B4" s="117"/>
      <c r="C4" s="118">
        <v>40521840708458.305</v>
      </c>
      <c r="D4" s="124">
        <f>C4/C2-1</f>
        <v>9.7560667594092321E-2</v>
      </c>
      <c r="E4" s="125">
        <f>D4</f>
        <v>9.7560667594092321E-2</v>
      </c>
      <c r="F4" s="118">
        <v>114123181690193</v>
      </c>
      <c r="G4" s="126">
        <f>F4/F2-1</f>
        <v>0.108216413692932</v>
      </c>
      <c r="H4" s="127">
        <f>G4</f>
        <v>0.108216413692932</v>
      </c>
      <c r="I4" s="119">
        <v>101307618146931</v>
      </c>
      <c r="J4" s="128">
        <f>I4/I2-1</f>
        <v>0.10040497267181925</v>
      </c>
      <c r="K4" s="125">
        <f>J4</f>
        <v>0.10040497267181925</v>
      </c>
      <c r="L4" s="119">
        <v>8951339059150.5</v>
      </c>
      <c r="M4" s="128">
        <f>L4/L2-1</f>
        <v>0.10328721343565017</v>
      </c>
      <c r="N4" s="125">
        <f>M4</f>
        <v>0.10328721343565017</v>
      </c>
      <c r="O4" s="119">
        <v>433004692814.09998</v>
      </c>
      <c r="P4" s="128">
        <f>O4/O2-1</f>
        <v>5.9910581889336623E-2</v>
      </c>
      <c r="Q4" s="125">
        <f>P4</f>
        <v>5.9910581889336623E-2</v>
      </c>
      <c r="R4" s="119">
        <v>5559269827129.9004</v>
      </c>
      <c r="S4" s="128">
        <f>R4/R2-1</f>
        <v>3.9664707840554314E-2</v>
      </c>
      <c r="T4" s="125">
        <f>S4</f>
        <v>3.9664707840554314E-2</v>
      </c>
      <c r="U4" s="119">
        <v>10584061620459.6</v>
      </c>
      <c r="V4" s="128">
        <f>U4/U2-1</f>
        <v>9.1866372962198906E-2</v>
      </c>
      <c r="W4" s="125">
        <f>V4</f>
        <v>9.1866372962198906E-2</v>
      </c>
      <c r="X4" s="119">
        <v>51285939159226.5</v>
      </c>
      <c r="Y4" s="128">
        <f>X4/X2-1</f>
        <v>8.4144345593697212E-2</v>
      </c>
      <c r="Z4" s="125">
        <f>Y4</f>
        <v>8.4144345593697212E-2</v>
      </c>
      <c r="AA4" s="119">
        <v>41893929762151.398</v>
      </c>
      <c r="AB4" s="128">
        <f>AA4/AA2-1</f>
        <v>6.9863422588289259E-2</v>
      </c>
      <c r="AC4" s="125">
        <f>AB4</f>
        <v>6.9863422588289259E-2</v>
      </c>
      <c r="AD4" s="119">
        <v>2309564738494.5</v>
      </c>
      <c r="AE4" s="128">
        <f>AD4/AD2-1</f>
        <v>2.5125975178210913E-2</v>
      </c>
      <c r="AF4" s="125">
        <f>AE4</f>
        <v>2.5125975178210913E-2</v>
      </c>
      <c r="AG4" s="119">
        <v>24040360097676.098</v>
      </c>
      <c r="AH4" s="128">
        <f>AG4/AG2-1</f>
        <v>0.10916339352895954</v>
      </c>
      <c r="AI4" s="125">
        <f>AH4</f>
        <v>0.10916339352895954</v>
      </c>
      <c r="AJ4" s="119">
        <v>53264929909747.305</v>
      </c>
      <c r="AK4" s="128">
        <f>AJ4/AJ2-1</f>
        <v>0.11948338343596965</v>
      </c>
      <c r="AL4" s="125">
        <f>AK4</f>
        <v>0.11948338343596965</v>
      </c>
      <c r="AM4" s="119">
        <v>60422304640433.398</v>
      </c>
      <c r="AN4" s="128">
        <f>AM4/AM2-1</f>
        <v>0.10413989029882087</v>
      </c>
      <c r="AO4" s="125">
        <f>AN4</f>
        <v>0.10413989029882087</v>
      </c>
      <c r="AP4" s="119">
        <v>40527224167010.297</v>
      </c>
      <c r="AQ4" s="128">
        <f>AP4/AP2-1</f>
        <v>9.6323572786647826E-2</v>
      </c>
      <c r="AR4" s="125">
        <f>AQ4</f>
        <v>9.6323572786647826E-2</v>
      </c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</row>
    <row r="5" spans="1:111" s="147" customFormat="1" ht="33.75" x14ac:dyDescent="0.45">
      <c r="A5" s="116">
        <v>45689</v>
      </c>
      <c r="B5" s="117"/>
      <c r="C5" s="118">
        <v>44948592993158.398</v>
      </c>
      <c r="D5" s="129">
        <f>C5/C4-1</f>
        <v>0.10924361300734486</v>
      </c>
      <c r="E5" s="125">
        <f>((D5+1)*(E4+1))-1</f>
        <v>0.21746216041682431</v>
      </c>
      <c r="F5" s="118">
        <v>125816126202822</v>
      </c>
      <c r="G5" s="130">
        <f>F5/F4-1</f>
        <v>0.10245897756663935</v>
      </c>
      <c r="H5" s="127">
        <f>((G5+1)*(H4+1))-1</f>
        <v>0.22176313436247774</v>
      </c>
      <c r="I5" s="119">
        <v>112985449314404</v>
      </c>
      <c r="J5" s="120">
        <f>I5/I4-1</f>
        <v>0.11527100706815663</v>
      </c>
      <c r="K5" s="125">
        <f>((J5+1)*(K4+1))-1</f>
        <v>0.22724976205450731</v>
      </c>
      <c r="L5" s="119">
        <v>9878258290679.7012</v>
      </c>
      <c r="M5" s="120">
        <f>L5/L4-1</f>
        <v>0.10355090175940318</v>
      </c>
      <c r="N5" s="125">
        <f>((M5+1)*(N4+1))-1</f>
        <v>0.21753359928653082</v>
      </c>
      <c r="O5" s="119">
        <v>463746133072.40002</v>
      </c>
      <c r="P5" s="120">
        <f>O5/O4-1</f>
        <v>7.0995628381095077E-2</v>
      </c>
      <c r="Q5" s="125">
        <f>((P5+1)*(Q4+1))-1</f>
        <v>0.13515959967834212</v>
      </c>
      <c r="R5" s="119">
        <v>5791548338331.2002</v>
      </c>
      <c r="S5" s="120">
        <f>R5/R4-1</f>
        <v>4.1782197738946314E-2</v>
      </c>
      <c r="T5" s="125">
        <f>((S5+1)*(T4+1))-1</f>
        <v>8.3104184245752277E-2</v>
      </c>
      <c r="U5" s="119">
        <v>11639511801432.5</v>
      </c>
      <c r="V5" s="120">
        <f>U5/U4-1</f>
        <v>9.9720713920698811E-2</v>
      </c>
      <c r="W5" s="125">
        <f>((V5+1)*(W4+1))-1</f>
        <v>0.20074806717999327</v>
      </c>
      <c r="X5" s="119">
        <v>57358429251896.594</v>
      </c>
      <c r="Y5" s="120">
        <f>X5/X4-1</f>
        <v>0.11840458012900856</v>
      </c>
      <c r="Z5" s="125">
        <f>((Y5+1)*(Z4+1))-1</f>
        <v>0.21251200163295758</v>
      </c>
      <c r="AA5" s="119">
        <v>46339858124809.695</v>
      </c>
      <c r="AB5" s="120">
        <f>AA5/AA4-1</f>
        <v>0.10612345005349488</v>
      </c>
      <c r="AC5" s="125">
        <f>((AB5+1)*(AC4+1))-1</f>
        <v>0.18340102007939874</v>
      </c>
      <c r="AD5" s="119">
        <v>2822280347697.6997</v>
      </c>
      <c r="AE5" s="120">
        <f>AD5/AD4-1</f>
        <v>0.22199663887205667</v>
      </c>
      <c r="AF5" s="125">
        <f>((AE5+1)*(AF4+1))-1</f>
        <v>0.2527004960882131</v>
      </c>
      <c r="AG5" s="119">
        <v>26912995416518</v>
      </c>
      <c r="AH5" s="120">
        <f>AG5/AG4-1</f>
        <v>0.11949219176295078</v>
      </c>
      <c r="AI5" s="125">
        <f>((AH5+1)*(AI4+1))-1</f>
        <v>0.24169975844496716</v>
      </c>
      <c r="AJ5" s="119">
        <v>60036806955636</v>
      </c>
      <c r="AK5" s="120">
        <f>AJ5/AJ4-1</f>
        <v>0.12713575437652946</v>
      </c>
      <c r="AL5" s="125">
        <f>((AK5+1)*(AL4+1))-1</f>
        <v>0.26180974790109124</v>
      </c>
      <c r="AM5" s="119">
        <v>67940248968308</v>
      </c>
      <c r="AN5" s="120">
        <f>AM5/AM4-1</f>
        <v>0.12442332963982539</v>
      </c>
      <c r="AO5" s="125">
        <f>((AN5+1)*(AO4+1))-1</f>
        <v>0.24152065183795179</v>
      </c>
      <c r="AP5" s="119">
        <v>44791495882631.195</v>
      </c>
      <c r="AQ5" s="120">
        <f>AP5/AP4-1</f>
        <v>0.10521993063349422</v>
      </c>
      <c r="AR5" s="125">
        <f>((AQ5+1)*(AR4+1))-1</f>
        <v>0.21167866306712346</v>
      </c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</row>
    <row r="6" spans="1:111" s="147" customFormat="1" ht="33.75" x14ac:dyDescent="0.45">
      <c r="A6" s="116">
        <v>45717</v>
      </c>
      <c r="B6" s="117"/>
      <c r="C6" s="118">
        <v>48695941027700.898</v>
      </c>
      <c r="D6" s="129">
        <f t="shared" ref="D6:D15" si="0">C6/C5-1</f>
        <v>8.3369640404826084E-2</v>
      </c>
      <c r="E6" s="125">
        <f t="shared" ref="E6:E15" si="1">((D6+1)*(E5+1))-1</f>
        <v>0.31896154293725765</v>
      </c>
      <c r="F6" s="118">
        <v>136840366150343</v>
      </c>
      <c r="G6" s="130">
        <f t="shared" ref="G6:G15" si="2">F6/F5-1</f>
        <v>8.7621835771269696E-2</v>
      </c>
      <c r="H6" s="127">
        <f t="shared" ref="H6:H15" si="3">((G6+1)*(H5+1))-1</f>
        <v>0.32881626307297851</v>
      </c>
      <c r="I6" s="119">
        <v>124292625402216</v>
      </c>
      <c r="J6" s="120">
        <f t="shared" ref="J6:J15" si="4">I6/I5-1</f>
        <v>0.10007639175153948</v>
      </c>
      <c r="K6" s="125">
        <f t="shared" ref="K6:K15" si="5">((J6+1)*(K5+1))-1</f>
        <v>0.35006849001885776</v>
      </c>
      <c r="L6" s="119">
        <v>10657993905775.301</v>
      </c>
      <c r="M6" s="120">
        <f t="shared" ref="M6:M15" si="6">L6/L5-1</f>
        <v>7.893452389590716E-2</v>
      </c>
      <c r="N6" s="125">
        <f t="shared" ref="N6:N15" si="7">((M6+1)*(N5+1))-1</f>
        <v>0.31363903427348339</v>
      </c>
      <c r="O6" s="119">
        <v>485777427876.59998</v>
      </c>
      <c r="P6" s="120">
        <f t="shared" ref="P6:P15" si="8">O6/O5-1</f>
        <v>4.7507231291048724E-2</v>
      </c>
      <c r="Q6" s="125">
        <f t="shared" ref="Q6:Q15" si="9">((P6+1)*(Q5+1))-1</f>
        <v>0.18908788933251541</v>
      </c>
      <c r="R6" s="119">
        <v>6244696209485</v>
      </c>
      <c r="S6" s="120">
        <f t="shared" ref="S6:S15" si="10">R6/R5-1</f>
        <v>7.8242957613709807E-2</v>
      </c>
      <c r="T6" s="125">
        <f t="shared" ref="T6:T15" si="11">((S6+1)*(T5+1))-1</f>
        <v>0.16784945902492443</v>
      </c>
      <c r="U6" s="119">
        <v>12498230127556.699</v>
      </c>
      <c r="V6" s="120">
        <f t="shared" ref="V6:V15" si="12">U6/U5-1</f>
        <v>7.3776146351646421E-2</v>
      </c>
      <c r="W6" s="125">
        <f t="shared" ref="W6:W15" si="13">((V6+1)*(W5+1))-1</f>
        <v>0.2893346323157211</v>
      </c>
      <c r="X6" s="119">
        <v>63045645177586.797</v>
      </c>
      <c r="Y6" s="120">
        <f t="shared" ref="Y6:Y15" si="14">X6/X5-1</f>
        <v>9.9152225747223488E-2</v>
      </c>
      <c r="Z6" s="125">
        <f t="shared" ref="Z6:Z15" si="15">((Y6+1)*(Z5+1))-1</f>
        <v>0.33273526534008635</v>
      </c>
      <c r="AA6" s="119">
        <v>49267668907887.398</v>
      </c>
      <c r="AB6" s="120">
        <f t="shared" ref="AB6:AB15" si="16">AA6/AA5-1</f>
        <v>6.318126342105046E-2</v>
      </c>
      <c r="AC6" s="125">
        <f t="shared" ref="AC6:AC15" si="17">((AB6+1)*(AC5+1))-1</f>
        <v>0.25816979166177512</v>
      </c>
      <c r="AD6" s="119">
        <v>3005712680920.2002</v>
      </c>
      <c r="AE6" s="120">
        <f t="shared" ref="AE6:AE15" si="18">AD6/AD5-1</f>
        <v>6.4994370021439263E-2</v>
      </c>
      <c r="AF6" s="125">
        <f t="shared" ref="AF6:AF15" si="19">((AE6+1)*(AF5+1))-1</f>
        <v>0.33411897565701087</v>
      </c>
      <c r="AG6" s="119">
        <v>28963971556040.398</v>
      </c>
      <c r="AH6" s="120">
        <f t="shared" ref="AH6:AH15" si="20">AG6/AG5-1</f>
        <v>7.6207650162330109E-2</v>
      </c>
      <c r="AI6" s="125">
        <f t="shared" ref="AI6:AI15" si="21">((AH6+1)*(AI5+1))-1</f>
        <v>0.33632677924319099</v>
      </c>
      <c r="AJ6" s="119">
        <v>64297266507013.102</v>
      </c>
      <c r="AK6" s="120">
        <f t="shared" ref="AK6:AK15" si="22">AJ6/AJ5-1</f>
        <v>7.0964126298811214E-2</v>
      </c>
      <c r="AL6" s="125">
        <f t="shared" ref="AL6:AL15" si="23">((AK6+1)*(AL5+1))-1</f>
        <v>0.35135297421621536</v>
      </c>
      <c r="AM6" s="119">
        <v>74457849996928.406</v>
      </c>
      <c r="AN6" s="120">
        <f t="shared" ref="AN6:AN15" si="24">AM6/AM5-1</f>
        <v>9.5931368041654697E-2</v>
      </c>
      <c r="AO6" s="125">
        <f t="shared" ref="AO6:AO15" si="25">((AN6+1)*(AO5+1))-1</f>
        <v>0.36062142642073347</v>
      </c>
      <c r="AP6" s="119">
        <v>49014576339191.5</v>
      </c>
      <c r="AQ6" s="120">
        <f t="shared" ref="AQ6:AQ15" si="26">AP6/AP5-1</f>
        <v>9.4283085959580237E-2</v>
      </c>
      <c r="AR6" s="125">
        <f t="shared" ref="AR6:AR15" si="27">((AQ6+1)*(AR5+1))-1</f>
        <v>0.32591946661247029</v>
      </c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</row>
    <row r="7" spans="1:111" s="147" customFormat="1" ht="33.75" x14ac:dyDescent="0.45">
      <c r="A7" s="116">
        <v>45748</v>
      </c>
      <c r="B7" s="117"/>
      <c r="C7" s="118">
        <v>56686369544411.297</v>
      </c>
      <c r="D7" s="129">
        <f t="shared" si="0"/>
        <v>0.16408818369820621</v>
      </c>
      <c r="E7" s="125">
        <f t="shared" si="1"/>
        <v>0.53538754688561596</v>
      </c>
      <c r="F7" s="118">
        <v>162048120966525</v>
      </c>
      <c r="G7" s="130">
        <f t="shared" si="2"/>
        <v>0.18421285710743329</v>
      </c>
      <c r="H7" s="127">
        <f t="shared" si="3"/>
        <v>0.57360130346447469</v>
      </c>
      <c r="I7" s="119">
        <v>142670370209916</v>
      </c>
      <c r="J7" s="120">
        <f t="shared" si="4"/>
        <v>0.14785869031431975</v>
      </c>
      <c r="K7" s="125">
        <f t="shared" si="5"/>
        <v>0.54968784878767729</v>
      </c>
      <c r="L7" s="119">
        <v>12160588500943.801</v>
      </c>
      <c r="M7" s="120">
        <f t="shared" si="6"/>
        <v>0.14098287242914265</v>
      </c>
      <c r="N7" s="125">
        <f t="shared" si="7"/>
        <v>0.49883963866040415</v>
      </c>
      <c r="O7" s="119">
        <v>545585323815.09998</v>
      </c>
      <c r="P7" s="120">
        <f t="shared" si="8"/>
        <v>0.12311789825214503</v>
      </c>
      <c r="Q7" s="125">
        <f t="shared" si="9"/>
        <v>0.33548589110421401</v>
      </c>
      <c r="R7" s="119">
        <v>6741209479769.5</v>
      </c>
      <c r="S7" s="120">
        <f t="shared" si="10"/>
        <v>7.9509595603762362E-2</v>
      </c>
      <c r="T7" s="125">
        <f t="shared" si="11"/>
        <v>0.26070469723806888</v>
      </c>
      <c r="U7" s="119">
        <v>14287492065744.299</v>
      </c>
      <c r="V7" s="120">
        <f t="shared" si="12"/>
        <v>0.14316122522360586</v>
      </c>
      <c r="W7" s="125">
        <f t="shared" si="13"/>
        <v>0.473917358001267</v>
      </c>
      <c r="X7" s="119">
        <v>71585483481672.609</v>
      </c>
      <c r="Y7" s="120">
        <f t="shared" si="14"/>
        <v>0.1354548483092024</v>
      </c>
      <c r="Z7" s="125">
        <f t="shared" si="15"/>
        <v>0.51326071854305244</v>
      </c>
      <c r="AA7" s="119">
        <v>57152659048855.602</v>
      </c>
      <c r="AB7" s="120">
        <f t="shared" si="16"/>
        <v>0.16004390537961655</v>
      </c>
      <c r="AC7" s="125">
        <f t="shared" si="17"/>
        <v>0.45953219874998408</v>
      </c>
      <c r="AD7" s="119">
        <v>3516561016416.6001</v>
      </c>
      <c r="AE7" s="120">
        <f t="shared" si="18"/>
        <v>0.16995913772436944</v>
      </c>
      <c r="AF7" s="125">
        <f t="shared" si="19"/>
        <v>0.56086468638139553</v>
      </c>
      <c r="AG7" s="119">
        <v>33337390499946.598</v>
      </c>
      <c r="AH7" s="120">
        <f t="shared" si="20"/>
        <v>0.15099514013278093</v>
      </c>
      <c r="AI7" s="125">
        <f t="shared" si="21"/>
        <v>0.53810562853820443</v>
      </c>
      <c r="AJ7" s="119">
        <v>76152574105073.094</v>
      </c>
      <c r="AK7" s="120">
        <f t="shared" si="22"/>
        <v>0.18438276216247695</v>
      </c>
      <c r="AL7" s="125">
        <f t="shared" si="23"/>
        <v>0.60051916825867968</v>
      </c>
      <c r="AM7" s="119">
        <v>86889514174600.094</v>
      </c>
      <c r="AN7" s="120">
        <f t="shared" si="24"/>
        <v>0.16696243818730361</v>
      </c>
      <c r="AO7" s="125">
        <f t="shared" si="25"/>
        <v>0.58779409722582598</v>
      </c>
      <c r="AP7" s="119">
        <v>55488586451696.602</v>
      </c>
      <c r="AQ7" s="120">
        <f t="shared" si="26"/>
        <v>0.13208336368560136</v>
      </c>
      <c r="AR7" s="125">
        <f t="shared" si="27"/>
        <v>0.50105136973886388</v>
      </c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</row>
    <row r="8" spans="1:111" s="147" customFormat="1" ht="33.75" x14ac:dyDescent="0.45">
      <c r="A8" s="116">
        <v>45778</v>
      </c>
      <c r="B8" s="117"/>
      <c r="C8" s="118">
        <v>68691300824090.398</v>
      </c>
      <c r="D8" s="129">
        <f t="shared" si="0"/>
        <v>0.21177809367865352</v>
      </c>
      <c r="E8" s="125">
        <f t="shared" si="1"/>
        <v>0.86054899462299606</v>
      </c>
      <c r="F8" s="118">
        <v>200112400418157</v>
      </c>
      <c r="G8" s="130">
        <f t="shared" si="2"/>
        <v>0.234894914082312</v>
      </c>
      <c r="H8" s="127">
        <f t="shared" si="3"/>
        <v>0.94323224644157655</v>
      </c>
      <c r="I8" s="119">
        <v>172290548784845</v>
      </c>
      <c r="J8" s="120">
        <f t="shared" si="4"/>
        <v>0.20761268461943283</v>
      </c>
      <c r="K8" s="125">
        <f t="shared" si="5"/>
        <v>0.87142270339660066</v>
      </c>
      <c r="L8" s="119">
        <v>14808539824598.6</v>
      </c>
      <c r="M8" s="120">
        <f t="shared" si="6"/>
        <v>0.21774861664378231</v>
      </c>
      <c r="N8" s="125">
        <f t="shared" si="7"/>
        <v>0.82520989654957377</v>
      </c>
      <c r="O8" s="119">
        <v>656526969086.30005</v>
      </c>
      <c r="P8" s="120">
        <f t="shared" si="8"/>
        <v>0.20334426244353754</v>
      </c>
      <c r="Q8" s="125">
        <f t="shared" si="9"/>
        <v>0.60704928463455099</v>
      </c>
      <c r="R8" s="119">
        <v>7545294470797.5996</v>
      </c>
      <c r="S8" s="120">
        <f t="shared" si="10"/>
        <v>0.11927903938324036</v>
      </c>
      <c r="T8" s="125">
        <f t="shared" si="11"/>
        <v>0.41108034247056469</v>
      </c>
      <c r="U8" s="119">
        <v>17460562615750.699</v>
      </c>
      <c r="V8" s="120">
        <f t="shared" si="12"/>
        <v>0.22208730093465157</v>
      </c>
      <c r="W8" s="125">
        <f t="shared" si="13"/>
        <v>0.80125568584050089</v>
      </c>
      <c r="X8" s="119">
        <v>86125794506104.703</v>
      </c>
      <c r="Y8" s="120">
        <f t="shared" si="14"/>
        <v>0.203118150737289</v>
      </c>
      <c r="Z8" s="125">
        <f t="shared" si="15"/>
        <v>0.82063143727689836</v>
      </c>
      <c r="AA8" s="119">
        <v>66621084931741</v>
      </c>
      <c r="AB8" s="120">
        <f t="shared" si="16"/>
        <v>0.16566903518507403</v>
      </c>
      <c r="AC8" s="125">
        <f t="shared" si="17"/>
        <v>0.70133148993844374</v>
      </c>
      <c r="AD8" s="119">
        <v>3778083314940.3999</v>
      </c>
      <c r="AE8" s="120">
        <f t="shared" si="18"/>
        <v>7.4368764626269179E-2</v>
      </c>
      <c r="AF8" s="125">
        <f t="shared" si="19"/>
        <v>0.67694426485634906</v>
      </c>
      <c r="AG8" s="119">
        <v>40013912062144.398</v>
      </c>
      <c r="AH8" s="120">
        <f t="shared" si="20"/>
        <v>0.20027127084852347</v>
      </c>
      <c r="AI8" s="125">
        <f t="shared" si="21"/>
        <v>0.8461439974648175</v>
      </c>
      <c r="AJ8" s="119">
        <v>88301637166437</v>
      </c>
      <c r="AK8" s="120">
        <f t="shared" si="22"/>
        <v>0.15953581614458612</v>
      </c>
      <c r="AL8" s="125">
        <f t="shared" si="23"/>
        <v>0.85585930002188237</v>
      </c>
      <c r="AM8" s="119">
        <v>106189947787123</v>
      </c>
      <c r="AN8" s="120">
        <f t="shared" si="24"/>
        <v>0.22212615406894387</v>
      </c>
      <c r="AO8" s="125">
        <f t="shared" si="25"/>
        <v>0.94048469349596941</v>
      </c>
      <c r="AP8" s="119">
        <v>68041221219079.492</v>
      </c>
      <c r="AQ8" s="120">
        <f t="shared" si="26"/>
        <v>0.22622012147146853</v>
      </c>
      <c r="AR8" s="125">
        <f t="shared" si="27"/>
        <v>0.84061939293610388</v>
      </c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</row>
    <row r="9" spans="1:111" s="147" customFormat="1" ht="33.75" x14ac:dyDescent="0.45">
      <c r="A9" s="116">
        <v>45809</v>
      </c>
      <c r="B9" s="117"/>
      <c r="C9" s="118">
        <v>75780386243945.109</v>
      </c>
      <c r="D9" s="129">
        <f t="shared" si="0"/>
        <v>0.10320208432227762</v>
      </c>
      <c r="E9" s="125">
        <f t="shared" si="1"/>
        <v>1.0525615288518075</v>
      </c>
      <c r="F9" s="118">
        <v>219528602121786.97</v>
      </c>
      <c r="G9" s="130">
        <f t="shared" si="2"/>
        <v>9.7026479433846458E-2</v>
      </c>
      <c r="H9" s="127">
        <f t="shared" si="3"/>
        <v>1.1317772300361275</v>
      </c>
      <c r="I9" s="119">
        <v>193702054970459</v>
      </c>
      <c r="J9" s="120">
        <f t="shared" si="4"/>
        <v>0.12427557017275803</v>
      </c>
      <c r="K9" s="125">
        <f t="shared" si="5"/>
        <v>1.1039948268954576</v>
      </c>
      <c r="L9" s="119">
        <v>16212632941654.201</v>
      </c>
      <c r="M9" s="120">
        <f t="shared" si="6"/>
        <v>9.48164460295573E-2</v>
      </c>
      <c r="N9" s="125">
        <f t="shared" si="7"/>
        <v>0.9982698121983804</v>
      </c>
      <c r="O9" s="119">
        <v>705458846554</v>
      </c>
      <c r="P9" s="120">
        <f t="shared" si="8"/>
        <v>7.4531405062916667E-2</v>
      </c>
      <c r="Q9" s="125">
        <f t="shared" si="9"/>
        <v>0.72682492582371916</v>
      </c>
      <c r="R9" s="119">
        <v>7950855366864.2998</v>
      </c>
      <c r="S9" s="120">
        <f t="shared" si="10"/>
        <v>5.3750174713039334E-2</v>
      </c>
      <c r="T9" s="125">
        <f t="shared" si="11"/>
        <v>0.48692615741249301</v>
      </c>
      <c r="U9" s="119">
        <v>19088344374017.199</v>
      </c>
      <c r="V9" s="120">
        <f t="shared" si="12"/>
        <v>9.322619173783786E-2</v>
      </c>
      <c r="W9" s="125">
        <f t="shared" si="13"/>
        <v>0.96917989377753799</v>
      </c>
      <c r="X9" s="119">
        <v>96959744241159.797</v>
      </c>
      <c r="Y9" s="120">
        <f t="shared" si="14"/>
        <v>0.12579216014416184</v>
      </c>
      <c r="Z9" s="125">
        <f t="shared" si="15"/>
        <v>1.0496525985983296</v>
      </c>
      <c r="AA9" s="119">
        <v>74407638274814.5</v>
      </c>
      <c r="AB9" s="120">
        <f t="shared" si="16"/>
        <v>0.11687821282183397</v>
      </c>
      <c r="AC9" s="125">
        <f t="shared" si="17"/>
        <v>0.90018007389995702</v>
      </c>
      <c r="AD9" s="119">
        <v>4353456950283.0005</v>
      </c>
      <c r="AE9" s="120">
        <f t="shared" si="18"/>
        <v>0.15229246879424019</v>
      </c>
      <c r="AF9" s="125">
        <f t="shared" si="19"/>
        <v>0.93233024698166456</v>
      </c>
      <c r="AG9" s="119">
        <v>43133018360315.102</v>
      </c>
      <c r="AH9" s="120">
        <f t="shared" si="20"/>
        <v>7.7950546133217724E-2</v>
      </c>
      <c r="AI9" s="125">
        <f t="shared" si="21"/>
        <v>0.99005193030776173</v>
      </c>
      <c r="AJ9" s="119">
        <v>99229552226186.609</v>
      </c>
      <c r="AK9" s="120">
        <f t="shared" si="22"/>
        <v>0.12375665288234594</v>
      </c>
      <c r="AL9" s="125">
        <f t="shared" si="23"/>
        <v>1.0855342352131641</v>
      </c>
      <c r="AM9" s="119">
        <v>116791889695377</v>
      </c>
      <c r="AN9" s="120">
        <f t="shared" si="24"/>
        <v>9.9839411631574615E-2</v>
      </c>
      <c r="AO9" s="125">
        <f t="shared" si="25"/>
        <v>1.1342215435746832</v>
      </c>
      <c r="AP9" s="119">
        <v>75250014991444.906</v>
      </c>
      <c r="AQ9" s="120">
        <f t="shared" si="26"/>
        <v>0.10594744837331027</v>
      </c>
      <c r="AR9" s="125">
        <f t="shared" si="27"/>
        <v>1.0356283210441153</v>
      </c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</row>
    <row r="10" spans="1:111" s="147" customFormat="1" ht="33.75" x14ac:dyDescent="0.45">
      <c r="A10" s="116">
        <v>45839</v>
      </c>
      <c r="B10" s="117"/>
      <c r="C10" s="118">
        <v>86578516564082.406</v>
      </c>
      <c r="D10" s="129">
        <f t="shared" si="0"/>
        <v>0.1424924159844867</v>
      </c>
      <c r="E10" s="125">
        <f t="shared" si="1"/>
        <v>1.3450359800547131</v>
      </c>
      <c r="F10" s="118">
        <v>252785034215028</v>
      </c>
      <c r="G10" s="130">
        <f t="shared" si="2"/>
        <v>0.15149020114832923</v>
      </c>
      <c r="H10" s="127">
        <f t="shared" si="3"/>
        <v>1.4547205914177286</v>
      </c>
      <c r="I10" s="119">
        <v>219684374099343</v>
      </c>
      <c r="J10" s="120">
        <f t="shared" si="4"/>
        <v>0.13413548520611451</v>
      </c>
      <c r="K10" s="125">
        <f t="shared" si="5"/>
        <v>1.3862151938722347</v>
      </c>
      <c r="L10" s="119">
        <v>18577510858711</v>
      </c>
      <c r="M10" s="120">
        <f t="shared" si="6"/>
        <v>0.14586637010579895</v>
      </c>
      <c r="N10" s="125">
        <f t="shared" si="7"/>
        <v>1.2897501761957546</v>
      </c>
      <c r="O10" s="119">
        <v>783768895024.5</v>
      </c>
      <c r="P10" s="120">
        <f t="shared" si="8"/>
        <v>0.11100583521352969</v>
      </c>
      <c r="Q10" s="125">
        <f t="shared" si="9"/>
        <v>0.91851256898232259</v>
      </c>
      <c r="R10" s="119">
        <v>9413572041774.9004</v>
      </c>
      <c r="S10" s="120">
        <f t="shared" si="10"/>
        <v>0.18396972494388031</v>
      </c>
      <c r="T10" s="125">
        <f t="shared" si="11"/>
        <v>0.76047555360353014</v>
      </c>
      <c r="U10" s="119">
        <v>21594826397488.699</v>
      </c>
      <c r="V10" s="120">
        <f t="shared" si="12"/>
        <v>0.13130955594468885</v>
      </c>
      <c r="W10" s="125">
        <f t="shared" si="13"/>
        <v>1.2277520312046759</v>
      </c>
      <c r="X10" s="119">
        <v>110130007600537</v>
      </c>
      <c r="Y10" s="120">
        <f t="shared" si="14"/>
        <v>0.13583228238123146</v>
      </c>
      <c r="Z10" s="125">
        <f t="shared" si="15"/>
        <v>1.3280615891545628</v>
      </c>
      <c r="AA10" s="119">
        <v>80777986392071.797</v>
      </c>
      <c r="AB10" s="120">
        <f t="shared" si="16"/>
        <v>8.5614168987991235E-2</v>
      </c>
      <c r="AC10" s="125">
        <f t="shared" si="17"/>
        <v>1.0628624118544416</v>
      </c>
      <c r="AD10" s="119">
        <v>4885512610131.2002</v>
      </c>
      <c r="AE10" s="120">
        <f t="shared" si="18"/>
        <v>0.12221452191312299</v>
      </c>
      <c r="AF10" s="125">
        <f t="shared" si="19"/>
        <v>1.1684890642947954</v>
      </c>
      <c r="AG10" s="119">
        <v>49390310490112.102</v>
      </c>
      <c r="AH10" s="120">
        <f t="shared" si="20"/>
        <v>0.14506965586146126</v>
      </c>
      <c r="AI10" s="125">
        <f t="shared" si="21"/>
        <v>1.2787480789839454</v>
      </c>
      <c r="AJ10" s="119">
        <v>118668778007227</v>
      </c>
      <c r="AK10" s="120">
        <f t="shared" si="22"/>
        <v>0.19590157715042467</v>
      </c>
      <c r="AL10" s="125">
        <f t="shared" si="23"/>
        <v>1.4940936810926275</v>
      </c>
      <c r="AM10" s="119">
        <v>135801699111176</v>
      </c>
      <c r="AN10" s="120">
        <f t="shared" si="24"/>
        <v>0.16276651970767331</v>
      </c>
      <c r="AO10" s="125">
        <f t="shared" si="25"/>
        <v>1.4816013565074728</v>
      </c>
      <c r="AP10" s="119">
        <v>85899203290413.297</v>
      </c>
      <c r="AQ10" s="120">
        <f t="shared" si="26"/>
        <v>0.14151742428462089</v>
      </c>
      <c r="AR10" s="125">
        <f t="shared" si="27"/>
        <v>1.3237051978391059</v>
      </c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</row>
    <row r="11" spans="1:111" s="147" customFormat="1" ht="33.75" x14ac:dyDescent="0.45">
      <c r="A11" s="116">
        <v>45870</v>
      </c>
      <c r="B11" s="117"/>
      <c r="C11" s="118">
        <v>100503985890335.98</v>
      </c>
      <c r="D11" s="129">
        <f t="shared" si="0"/>
        <v>0.16084208737795169</v>
      </c>
      <c r="E11" s="125">
        <f t="shared" si="1"/>
        <v>1.722216462063114</v>
      </c>
      <c r="F11" s="118">
        <v>296562474174894</v>
      </c>
      <c r="G11" s="130">
        <f t="shared" si="2"/>
        <v>0.17318050530882045</v>
      </c>
      <c r="H11" s="127">
        <f t="shared" si="3"/>
        <v>1.8798303438314172</v>
      </c>
      <c r="I11" s="119">
        <v>253632521581773</v>
      </c>
      <c r="J11" s="120">
        <f t="shared" si="4"/>
        <v>0.15453146188303024</v>
      </c>
      <c r="K11" s="125">
        <f t="shared" si="5"/>
        <v>1.7549605161488095</v>
      </c>
      <c r="L11" s="119">
        <v>21186958399248.902</v>
      </c>
      <c r="M11" s="120">
        <f t="shared" si="6"/>
        <v>0.14046271109104658</v>
      </c>
      <c r="N11" s="125">
        <f t="shared" si="7"/>
        <v>1.6113746936654119</v>
      </c>
      <c r="O11" s="119">
        <v>907563594746.40002</v>
      </c>
      <c r="P11" s="120">
        <f t="shared" si="8"/>
        <v>0.15794796209414552</v>
      </c>
      <c r="Q11" s="125">
        <f t="shared" si="9"/>
        <v>1.2215377195050841</v>
      </c>
      <c r="R11" s="119">
        <v>10272390530645.799</v>
      </c>
      <c r="S11" s="120">
        <f t="shared" si="10"/>
        <v>9.1231945223310795E-2</v>
      </c>
      <c r="T11" s="125">
        <f t="shared" si="11"/>
        <v>0.9210871628768651</v>
      </c>
      <c r="U11" s="119">
        <v>24995288809742.898</v>
      </c>
      <c r="V11" s="120">
        <f t="shared" si="12"/>
        <v>0.15746653155079993</v>
      </c>
      <c r="W11" s="125">
        <f t="shared" si="13"/>
        <v>1.5785484167137258</v>
      </c>
      <c r="X11" s="119">
        <v>128115497868874</v>
      </c>
      <c r="Y11" s="120">
        <f t="shared" si="14"/>
        <v>0.16331144127015662</v>
      </c>
      <c r="Z11" s="125">
        <f t="shared" si="15"/>
        <v>1.7082606826450859</v>
      </c>
      <c r="AA11" s="119">
        <v>92230135289765.391</v>
      </c>
      <c r="AB11" s="120">
        <f t="shared" si="16"/>
        <v>0.14177314153522391</v>
      </c>
      <c r="AC11" s="125">
        <f t="shared" si="17"/>
        <v>1.3553208965379748</v>
      </c>
      <c r="AD11" s="119">
        <v>5733230705145.9004</v>
      </c>
      <c r="AE11" s="120">
        <f t="shared" si="18"/>
        <v>0.17351671414311109</v>
      </c>
      <c r="AF11" s="125">
        <f t="shared" si="19"/>
        <v>1.5447581613864978</v>
      </c>
      <c r="AG11" s="119">
        <v>56072628761347</v>
      </c>
      <c r="AH11" s="120">
        <f t="shared" si="20"/>
        <v>0.1352961381478397</v>
      </c>
      <c r="AI11" s="125">
        <f t="shared" si="21"/>
        <v>1.5870538938822816</v>
      </c>
      <c r="AJ11" s="119">
        <v>138684852800552</v>
      </c>
      <c r="AK11" s="120">
        <f t="shared" si="22"/>
        <v>0.16867178654275872</v>
      </c>
      <c r="AL11" s="125">
        <f t="shared" si="23"/>
        <v>1.9147769180875267</v>
      </c>
      <c r="AM11" s="119">
        <v>155260357951461</v>
      </c>
      <c r="AN11" s="120">
        <f t="shared" si="24"/>
        <v>0.14328730028889325</v>
      </c>
      <c r="AO11" s="125">
        <f t="shared" si="25"/>
        <v>1.8371833152746837</v>
      </c>
      <c r="AP11" s="119">
        <v>100148563709966.98</v>
      </c>
      <c r="AQ11" s="120">
        <f t="shared" si="26"/>
        <v>0.16588466334639418</v>
      </c>
      <c r="AR11" s="125">
        <f t="shared" si="27"/>
        <v>1.7091722522989121</v>
      </c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</row>
    <row r="12" spans="1:111" s="147" customFormat="1" ht="33.75" x14ac:dyDescent="0.45">
      <c r="A12" s="116">
        <v>45901</v>
      </c>
      <c r="B12" s="117"/>
      <c r="C12" s="118">
        <v>122169616603138.98</v>
      </c>
      <c r="D12" s="129">
        <f t="shared" si="0"/>
        <v>0.21556986542248446</v>
      </c>
      <c r="E12" s="125">
        <f t="shared" si="1"/>
        <v>2.3090442984409312</v>
      </c>
      <c r="F12" s="118">
        <v>365697619798001</v>
      </c>
      <c r="G12" s="130">
        <f t="shared" si="2"/>
        <v>0.23312169152707907</v>
      </c>
      <c r="H12" s="127">
        <f t="shared" si="3"/>
        <v>2.5511812648964067</v>
      </c>
      <c r="I12" s="119">
        <v>311346269474644</v>
      </c>
      <c r="J12" s="120">
        <f t="shared" si="4"/>
        <v>0.22754868946987017</v>
      </c>
      <c r="K12" s="125">
        <f t="shared" si="5"/>
        <v>2.3818481711397084</v>
      </c>
      <c r="L12" s="119">
        <v>25414207083855.402</v>
      </c>
      <c r="M12" s="120">
        <f t="shared" si="6"/>
        <v>0.19952126232316392</v>
      </c>
      <c r="N12" s="125">
        <f t="shared" si="7"/>
        <v>2.1323994689443002</v>
      </c>
      <c r="O12" s="119">
        <v>1073798850823.7</v>
      </c>
      <c r="P12" s="120">
        <f t="shared" si="8"/>
        <v>0.18316650980667748</v>
      </c>
      <c r="Q12" s="125">
        <f t="shared" si="9"/>
        <v>1.6284490299907159</v>
      </c>
      <c r="R12" s="119">
        <v>11344170132177.1</v>
      </c>
      <c r="S12" s="120">
        <f t="shared" si="10"/>
        <v>0.10433594773620047</v>
      </c>
      <c r="T12" s="125">
        <f t="shared" si="11"/>
        <v>1.1215256126994713</v>
      </c>
      <c r="U12" s="119">
        <v>29713588817228.602</v>
      </c>
      <c r="V12" s="120">
        <f t="shared" si="12"/>
        <v>0.18876757309747738</v>
      </c>
      <c r="W12" s="125">
        <f t="shared" si="13"/>
        <v>2.0652947434511186</v>
      </c>
      <c r="X12" s="119">
        <v>153701503761633</v>
      </c>
      <c r="Y12" s="120">
        <f t="shared" si="14"/>
        <v>0.19971046687065308</v>
      </c>
      <c r="Z12" s="125">
        <f t="shared" si="15"/>
        <v>2.2491286879835695</v>
      </c>
      <c r="AA12" s="119">
        <v>106719587784124</v>
      </c>
      <c r="AB12" s="120">
        <f t="shared" si="16"/>
        <v>0.15710106516526468</v>
      </c>
      <c r="AC12" s="125">
        <f t="shared" si="17"/>
        <v>1.7253443181900967</v>
      </c>
      <c r="AD12" s="119">
        <v>6968467255914.5996</v>
      </c>
      <c r="AE12" s="120">
        <f t="shared" si="18"/>
        <v>0.21545209224879169</v>
      </c>
      <c r="AF12" s="125">
        <f t="shared" si="19"/>
        <v>2.0930316315244069</v>
      </c>
      <c r="AG12" s="119">
        <v>68071648769847.398</v>
      </c>
      <c r="AH12" s="120">
        <f t="shared" si="20"/>
        <v>0.21399068090012174</v>
      </c>
      <c r="AI12" s="125">
        <f t="shared" si="21"/>
        <v>2.1406593181594622</v>
      </c>
      <c r="AJ12" s="119">
        <v>186118724477686</v>
      </c>
      <c r="AK12" s="120">
        <f t="shared" si="22"/>
        <v>0.34202633322436782</v>
      </c>
      <c r="AL12" s="125">
        <f t="shared" si="23"/>
        <v>2.9117073795480271</v>
      </c>
      <c r="AM12" s="119">
        <v>185840809150807.97</v>
      </c>
      <c r="AN12" s="120">
        <f t="shared" si="24"/>
        <v>0.19696239016083772</v>
      </c>
      <c r="AO12" s="125">
        <f t="shared" si="25"/>
        <v>2.3960017223756349</v>
      </c>
      <c r="AP12" s="119">
        <v>118748136183372</v>
      </c>
      <c r="AQ12" s="120">
        <f t="shared" si="26"/>
        <v>0.18571981249047065</v>
      </c>
      <c r="AR12" s="125">
        <f t="shared" si="27"/>
        <v>2.2123192150002522</v>
      </c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</row>
    <row r="13" spans="1:111" s="147" customFormat="1" ht="33.75" x14ac:dyDescent="0.45">
      <c r="A13" s="116">
        <v>45931</v>
      </c>
      <c r="B13" s="117"/>
      <c r="C13" s="118">
        <v>153849788402697</v>
      </c>
      <c r="D13" s="129">
        <f t="shared" si="0"/>
        <v>0.25931301644720106</v>
      </c>
      <c r="E13" s="125">
        <f t="shared" si="1"/>
        <v>3.1671225570270609</v>
      </c>
      <c r="F13" s="118">
        <v>467703726376235</v>
      </c>
      <c r="G13" s="130">
        <f t="shared" si="2"/>
        <v>0.2789356590140748</v>
      </c>
      <c r="H13" s="127">
        <f t="shared" si="3"/>
        <v>3.5417323512987213</v>
      </c>
      <c r="I13" s="119">
        <v>384148315857284</v>
      </c>
      <c r="J13" s="120">
        <f t="shared" si="4"/>
        <v>0.23382983359808329</v>
      </c>
      <c r="K13" s="125">
        <f t="shared" si="5"/>
        <v>3.1726251662512883</v>
      </c>
      <c r="L13" s="119">
        <v>30678883896239.699</v>
      </c>
      <c r="M13" s="120">
        <f t="shared" si="6"/>
        <v>0.20715487187985993</v>
      </c>
      <c r="N13" s="125">
        <f t="shared" si="7"/>
        <v>2.7812912796099978</v>
      </c>
      <c r="O13" s="119">
        <v>1319589099108</v>
      </c>
      <c r="P13" s="120">
        <f t="shared" si="8"/>
        <v>0.22889784999840224</v>
      </c>
      <c r="Q13" s="125">
        <f t="shared" si="9"/>
        <v>2.2300953617859767</v>
      </c>
      <c r="R13" s="119">
        <v>12801044106768.1</v>
      </c>
      <c r="S13" s="120">
        <f t="shared" si="10"/>
        <v>0.12842490526994643</v>
      </c>
      <c r="T13" s="125">
        <f t="shared" si="11"/>
        <v>1.3939823385381658</v>
      </c>
      <c r="U13" s="119">
        <v>37131297598636.398</v>
      </c>
      <c r="V13" s="120">
        <f t="shared" si="12"/>
        <v>0.24964028502362678</v>
      </c>
      <c r="W13" s="125">
        <f t="shared" si="13"/>
        <v>2.8305157968876808</v>
      </c>
      <c r="X13" s="119">
        <v>191306643789111</v>
      </c>
      <c r="Y13" s="120">
        <f t="shared" si="14"/>
        <v>0.24466344900436177</v>
      </c>
      <c r="Z13" s="125">
        <f t="shared" si="15"/>
        <v>3.0440717190446467</v>
      </c>
      <c r="AA13" s="119">
        <v>135367760515647</v>
      </c>
      <c r="AB13" s="120">
        <f t="shared" si="16"/>
        <v>0.26844343504655854</v>
      </c>
      <c r="AC13" s="125">
        <f t="shared" si="17"/>
        <v>2.4569451086496672</v>
      </c>
      <c r="AD13" s="119">
        <v>8406627782705.5996</v>
      </c>
      <c r="AE13" s="120">
        <f t="shared" si="18"/>
        <v>0.2063811845525052</v>
      </c>
      <c r="AF13" s="125">
        <f t="shared" si="19"/>
        <v>2.7313751634967818</v>
      </c>
      <c r="AG13" s="119">
        <v>84106398600852.5</v>
      </c>
      <c r="AH13" s="120">
        <f t="shared" si="20"/>
        <v>0.23555694802132887</v>
      </c>
      <c r="AI13" s="125">
        <f t="shared" si="21"/>
        <v>2.8804634419198529</v>
      </c>
      <c r="AJ13" s="119">
        <v>237676215572994</v>
      </c>
      <c r="AK13" s="120">
        <f t="shared" si="22"/>
        <v>0.27701399329914977</v>
      </c>
      <c r="AL13" s="125">
        <f t="shared" si="23"/>
        <v>3.9953050613743786</v>
      </c>
      <c r="AM13" s="119">
        <v>232074404074126</v>
      </c>
      <c r="AN13" s="120">
        <f t="shared" si="24"/>
        <v>0.24878063722699317</v>
      </c>
      <c r="AO13" s="125">
        <f t="shared" si="25"/>
        <v>3.2408611948922115</v>
      </c>
      <c r="AP13" s="119">
        <v>149146732666905</v>
      </c>
      <c r="AQ13" s="120">
        <f t="shared" si="26"/>
        <v>0.25599219878778734</v>
      </c>
      <c r="AR13" s="125">
        <f t="shared" si="27"/>
        <v>3.034647874056426</v>
      </c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</row>
    <row r="14" spans="1:111" s="147" customFormat="1" ht="33.75" x14ac:dyDescent="0.45">
      <c r="A14" s="116">
        <v>45962</v>
      </c>
      <c r="B14" s="117"/>
      <c r="C14" s="118">
        <v>187021825372618</v>
      </c>
      <c r="D14" s="129">
        <f t="shared" si="0"/>
        <v>0.21561314652636532</v>
      </c>
      <c r="E14" s="125">
        <f t="shared" si="1"/>
        <v>4.0656089635086587</v>
      </c>
      <c r="F14" s="118">
        <v>573854151903320</v>
      </c>
      <c r="G14" s="130">
        <f t="shared" si="2"/>
        <v>0.2269608291333014</v>
      </c>
      <c r="H14" s="127">
        <f t="shared" si="3"/>
        <v>4.5725276914510173</v>
      </c>
      <c r="I14" s="119">
        <v>476661755351049</v>
      </c>
      <c r="J14" s="120">
        <f t="shared" si="4"/>
        <v>0.24082739836385203</v>
      </c>
      <c r="K14" s="125">
        <f t="shared" si="5"/>
        <v>4.1775076293871214</v>
      </c>
      <c r="L14" s="119">
        <v>37350425669937.805</v>
      </c>
      <c r="M14" s="120">
        <f t="shared" si="6"/>
        <v>0.21746364034174781</v>
      </c>
      <c r="N14" s="125">
        <f t="shared" si="7"/>
        <v>3.6035846464664933</v>
      </c>
      <c r="O14" s="119">
        <v>1596004132790.0999</v>
      </c>
      <c r="P14" s="120">
        <f t="shared" si="8"/>
        <v>0.20947053432689589</v>
      </c>
      <c r="Q14" s="125">
        <f t="shared" si="9"/>
        <v>2.9067051631461132</v>
      </c>
      <c r="R14" s="119">
        <v>15051052062473.4</v>
      </c>
      <c r="S14" s="120">
        <f t="shared" si="10"/>
        <v>0.17576753403385958</v>
      </c>
      <c r="T14" s="125">
        <f t="shared" si="11"/>
        <v>1.8147667107036316</v>
      </c>
      <c r="U14" s="119">
        <v>45611113136639.203</v>
      </c>
      <c r="V14" s="120">
        <f t="shared" si="12"/>
        <v>0.22837380017428255</v>
      </c>
      <c r="W14" s="125">
        <f t="shared" si="13"/>
        <v>3.7053052460505409</v>
      </c>
      <c r="X14" s="119">
        <v>226236389703675</v>
      </c>
      <c r="Y14" s="120">
        <f t="shared" si="14"/>
        <v>0.18258511687168166</v>
      </c>
      <c r="Z14" s="125">
        <f t="shared" si="15"/>
        <v>3.7824590265038758</v>
      </c>
      <c r="AA14" s="119">
        <v>162196753219958</v>
      </c>
      <c r="AB14" s="120">
        <f t="shared" si="16"/>
        <v>0.1981933704311365</v>
      </c>
      <c r="AC14" s="125">
        <f t="shared" si="17"/>
        <v>3.142088711128376</v>
      </c>
      <c r="AD14" s="119">
        <v>10005256964228.801</v>
      </c>
      <c r="AE14" s="120">
        <f t="shared" si="18"/>
        <v>0.19016295509264203</v>
      </c>
      <c r="AF14" s="125">
        <f t="shared" si="19"/>
        <v>3.4409444911466203</v>
      </c>
      <c r="AG14" s="119">
        <v>100487010415302</v>
      </c>
      <c r="AH14" s="120">
        <f t="shared" si="20"/>
        <v>0.19476059000204859</v>
      </c>
      <c r="AI14" s="125">
        <f t="shared" si="21"/>
        <v>3.6362247913495436</v>
      </c>
      <c r="AJ14" s="119">
        <v>281551673660744</v>
      </c>
      <c r="AK14" s="120">
        <f t="shared" si="22"/>
        <v>0.1846018036847914</v>
      </c>
      <c r="AL14" s="125">
        <f t="shared" si="23"/>
        <v>4.9174473856598562</v>
      </c>
      <c r="AM14" s="119">
        <v>277321129596833</v>
      </c>
      <c r="AN14" s="120">
        <f t="shared" si="24"/>
        <v>0.19496646217070501</v>
      </c>
      <c r="AO14" s="125">
        <f t="shared" si="25"/>
        <v>4.0676868986173744</v>
      </c>
      <c r="AP14" s="119">
        <v>183896361686352</v>
      </c>
      <c r="AQ14" s="120">
        <f t="shared" si="26"/>
        <v>0.23298954256714866</v>
      </c>
      <c r="AR14" s="125">
        <f t="shared" si="27"/>
        <v>3.9746786366523512</v>
      </c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</row>
    <row r="15" spans="1:111" s="147" customFormat="1" ht="33.75" x14ac:dyDescent="0.45">
      <c r="A15" s="116">
        <v>45992</v>
      </c>
      <c r="B15" s="117"/>
      <c r="C15" s="118">
        <v>212393273459827.03</v>
      </c>
      <c r="D15" s="129">
        <f t="shared" si="0"/>
        <v>0.13566035962198275</v>
      </c>
      <c r="E15" s="125">
        <f t="shared" si="1"/>
        <v>4.7528112972025829</v>
      </c>
      <c r="F15" s="118">
        <v>650744445245639</v>
      </c>
      <c r="G15" s="130">
        <f t="shared" si="2"/>
        <v>0.13398926031517688</v>
      </c>
      <c r="H15" s="127">
        <f t="shared" si="3"/>
        <v>5.3191865549143795</v>
      </c>
      <c r="I15" s="119">
        <v>534667614662092.94</v>
      </c>
      <c r="J15" s="120">
        <f t="shared" si="4"/>
        <v>0.12169186778646446</v>
      </c>
      <c r="K15" s="125">
        <f t="shared" si="5"/>
        <v>4.8075682032859097</v>
      </c>
      <c r="L15" s="119">
        <v>42453659818934.5</v>
      </c>
      <c r="M15" s="120">
        <f t="shared" si="6"/>
        <v>0.13663121791685851</v>
      </c>
      <c r="N15" s="125">
        <f t="shared" si="7"/>
        <v>4.2325780234965604</v>
      </c>
      <c r="O15" s="119">
        <v>1804139017988.3</v>
      </c>
      <c r="P15" s="120">
        <f t="shared" si="8"/>
        <v>0.13040999137912213</v>
      </c>
      <c r="Q15" s="125">
        <f t="shared" si="9"/>
        <v>3.4161785497927699</v>
      </c>
      <c r="R15" s="119">
        <v>16308949701239.801</v>
      </c>
      <c r="S15" s="120">
        <f t="shared" si="10"/>
        <v>8.3575396161355453E-2</v>
      </c>
      <c r="T15" s="125">
        <f t="shared" si="11"/>
        <v>2.0500119536524832</v>
      </c>
      <c r="U15" s="119">
        <v>51695363997903</v>
      </c>
      <c r="V15" s="120">
        <f t="shared" si="12"/>
        <v>0.13339404462760962</v>
      </c>
      <c r="W15" s="125">
        <f t="shared" si="13"/>
        <v>4.3329649440287321</v>
      </c>
      <c r="X15" s="119">
        <v>258025078665926</v>
      </c>
      <c r="Y15" s="120">
        <f t="shared" si="14"/>
        <v>0.14051094522807728</v>
      </c>
      <c r="Z15" s="125">
        <f t="shared" si="15"/>
        <v>4.4544468648324855</v>
      </c>
      <c r="AA15" s="119">
        <v>184219488730383</v>
      </c>
      <c r="AB15" s="120">
        <f t="shared" si="16"/>
        <v>0.13577790598902784</v>
      </c>
      <c r="AC15" s="125">
        <f t="shared" si="17"/>
        <v>3.7044928427461778</v>
      </c>
      <c r="AD15" s="119">
        <v>11554765024134.699</v>
      </c>
      <c r="AE15" s="120">
        <f t="shared" si="18"/>
        <v>0.15486939170535674</v>
      </c>
      <c r="AF15" s="125">
        <f t="shared" si="19"/>
        <v>4.1287108630877523</v>
      </c>
      <c r="AG15" s="119">
        <v>116598786748703.98</v>
      </c>
      <c r="AH15" s="120">
        <f t="shared" si="20"/>
        <v>0.16033690590270067</v>
      </c>
      <c r="AI15" s="125">
        <f t="shared" si="21"/>
        <v>4.3795827294639231</v>
      </c>
      <c r="AJ15" s="119">
        <v>319056810093878</v>
      </c>
      <c r="AK15" s="120">
        <f t="shared" si="22"/>
        <v>0.1332087142139522</v>
      </c>
      <c r="AL15" s="125">
        <f t="shared" si="23"/>
        <v>5.7057029433323185</v>
      </c>
      <c r="AM15" s="119">
        <v>316610139553507</v>
      </c>
      <c r="AN15" s="120">
        <f t="shared" si="24"/>
        <v>0.14167333738252119</v>
      </c>
      <c r="AO15" s="125">
        <f t="shared" si="25"/>
        <v>4.7856430143541759</v>
      </c>
      <c r="AP15" s="119">
        <v>207871362964548</v>
      </c>
      <c r="AQ15" s="120">
        <f t="shared" si="26"/>
        <v>0.13037235243994139</v>
      </c>
      <c r="AR15" s="125">
        <f t="shared" si="27"/>
        <v>4.6232391931454391</v>
      </c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</row>
    <row r="16" spans="1:111" s="147" customFormat="1" ht="34.5" x14ac:dyDescent="0.5">
      <c r="A16" s="122" t="s">
        <v>208</v>
      </c>
      <c r="B16" s="117"/>
      <c r="C16" s="118"/>
      <c r="D16" s="119"/>
      <c r="E16" s="125"/>
      <c r="F16" s="118"/>
      <c r="G16" s="131"/>
      <c r="H16" s="127"/>
      <c r="I16" s="119"/>
      <c r="J16" s="119"/>
      <c r="K16" s="125"/>
      <c r="L16" s="119"/>
      <c r="M16" s="119"/>
      <c r="N16" s="125"/>
      <c r="O16" s="119"/>
      <c r="P16" s="119"/>
      <c r="Q16" s="125"/>
      <c r="R16" s="119"/>
      <c r="S16" s="119"/>
      <c r="T16" s="125"/>
      <c r="U16" s="119"/>
      <c r="V16" s="119"/>
      <c r="W16" s="125"/>
      <c r="X16" s="119"/>
      <c r="Y16" s="119"/>
      <c r="Z16" s="125"/>
      <c r="AA16" s="119"/>
      <c r="AB16" s="119"/>
      <c r="AC16" s="125"/>
      <c r="AD16" s="119"/>
      <c r="AE16" s="119"/>
      <c r="AF16" s="125"/>
      <c r="AG16" s="119"/>
      <c r="AH16" s="119"/>
      <c r="AI16" s="125"/>
      <c r="AJ16" s="119"/>
      <c r="AK16" s="119"/>
      <c r="AL16" s="125"/>
      <c r="AM16" s="119"/>
      <c r="AN16" s="119"/>
      <c r="AO16" s="125"/>
      <c r="AP16" s="119"/>
      <c r="AQ16" s="119"/>
      <c r="AR16" s="125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</row>
    <row r="17" spans="1:58" s="147" customFormat="1" ht="33.75" x14ac:dyDescent="0.45">
      <c r="A17" s="116">
        <v>46023</v>
      </c>
      <c r="B17" s="117"/>
      <c r="C17" s="118">
        <v>281565112063483</v>
      </c>
      <c r="D17" s="124">
        <f>C17/C15-1</f>
        <v>0.32567810400426556</v>
      </c>
      <c r="E17" s="125">
        <f>D17</f>
        <v>0.32567810400426556</v>
      </c>
      <c r="F17" s="118">
        <v>889140496837317.88</v>
      </c>
      <c r="G17" s="126">
        <f>F17/F15-1</f>
        <v>0.36634358285100777</v>
      </c>
      <c r="H17" s="127">
        <f>G17</f>
        <v>0.36634358285100777</v>
      </c>
      <c r="I17" s="119">
        <v>695076573735842</v>
      </c>
      <c r="J17" s="128">
        <f>I17/I15-1</f>
        <v>0.30001622442594855</v>
      </c>
      <c r="K17" s="125">
        <f>J17</f>
        <v>0.30001622442594855</v>
      </c>
      <c r="L17" s="119">
        <v>55762451655417.898</v>
      </c>
      <c r="M17" s="128">
        <f>L17/L15-1</f>
        <v>0.3134898591368942</v>
      </c>
      <c r="N17" s="125">
        <f>M17</f>
        <v>0.3134898591368942</v>
      </c>
      <c r="O17" s="119">
        <v>2187949630218.8</v>
      </c>
      <c r="P17" s="128">
        <f>O17/O15-1</f>
        <v>0.21273893441896008</v>
      </c>
      <c r="Q17" s="125">
        <f>P17</f>
        <v>0.21273893441896008</v>
      </c>
      <c r="R17" s="119">
        <v>18830860060269.301</v>
      </c>
      <c r="S17" s="128">
        <f>R17/R15-1</f>
        <v>0.15463352363137073</v>
      </c>
      <c r="T17" s="125">
        <f>S17</f>
        <v>0.15463352363137073</v>
      </c>
      <c r="U17" s="119">
        <v>64660963580384</v>
      </c>
      <c r="V17" s="128">
        <f>U17/U15-1</f>
        <v>0.25080778197067999</v>
      </c>
      <c r="W17" s="125">
        <f>V17</f>
        <v>0.25080778197067999</v>
      </c>
      <c r="X17" s="119">
        <v>334437307393828</v>
      </c>
      <c r="Y17" s="128">
        <f>X17/X15-1</f>
        <v>0.29614264288951375</v>
      </c>
      <c r="Z17" s="125">
        <f>Y17</f>
        <v>0.29614264288951375</v>
      </c>
      <c r="AA17" s="119">
        <v>229428026928241</v>
      </c>
      <c r="AB17" s="128">
        <f>AA17/AA15-1</f>
        <v>0.24540583903163249</v>
      </c>
      <c r="AC17" s="125">
        <f>AB17</f>
        <v>0.24540583903163249</v>
      </c>
      <c r="AD17" s="119">
        <v>14361013328931.5</v>
      </c>
      <c r="AE17" s="128">
        <f>AD17/AD15-1</f>
        <v>0.24286502572188406</v>
      </c>
      <c r="AF17" s="125">
        <f>AE17</f>
        <v>0.24286502572188406</v>
      </c>
      <c r="AG17" s="119">
        <v>157754998707809</v>
      </c>
      <c r="AH17" s="128">
        <f>AG17/AG15-1</f>
        <v>0.35297290054831953</v>
      </c>
      <c r="AI17" s="125">
        <f>AH17</f>
        <v>0.35297290054831953</v>
      </c>
      <c r="AJ17" s="119">
        <v>408913672877936</v>
      </c>
      <c r="AK17" s="128">
        <f>AJ17/AJ15-1</f>
        <v>0.28163279999451785</v>
      </c>
      <c r="AL17" s="125">
        <f>AK17</f>
        <v>0.28163279999451785</v>
      </c>
      <c r="AM17" s="119">
        <v>424549699403845.94</v>
      </c>
      <c r="AN17" s="128">
        <f>AM17/AM15-1</f>
        <v>0.34092262491200853</v>
      </c>
      <c r="AO17" s="125">
        <f>AN17</f>
        <v>0.34092262491200853</v>
      </c>
      <c r="AP17" s="119">
        <v>271076228612328.97</v>
      </c>
      <c r="AQ17" s="128">
        <f>AP17/AP15-1</f>
        <v>0.30405758997481724</v>
      </c>
      <c r="AR17" s="125">
        <f>AQ17</f>
        <v>0.30405758997481724</v>
      </c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</row>
    <row r="18" spans="1:58" s="147" customFormat="1" ht="33.75" x14ac:dyDescent="0.45">
      <c r="A18" s="116">
        <v>46054</v>
      </c>
      <c r="B18" s="117"/>
      <c r="C18" s="118">
        <v>322703709401564</v>
      </c>
      <c r="D18" s="129">
        <f>C18/C17-1</f>
        <v>0.14610687040234471</v>
      </c>
      <c r="E18" s="125">
        <f>((D18+1)*(E17+1))-1</f>
        <v>0.51936878294124278</v>
      </c>
      <c r="F18" s="118">
        <v>996188414654176</v>
      </c>
      <c r="G18" s="130">
        <f>F18/F17-1</f>
        <v>0.12039482871113028</v>
      </c>
      <c r="H18" s="127">
        <f>((G18+1)*(H17+1))-1</f>
        <v>0.53084428446890697</v>
      </c>
      <c r="I18" s="119">
        <v>801263149334842.13</v>
      </c>
      <c r="J18" s="120">
        <f>I18/I17-1</f>
        <v>0.15276960785525695</v>
      </c>
      <c r="K18" s="125">
        <f>((J18+1)*(K17+1))-1</f>
        <v>0.49861919323697235</v>
      </c>
      <c r="L18" s="119">
        <v>64770381651010</v>
      </c>
      <c r="M18" s="120">
        <f>L18/L17-1</f>
        <v>0.16154113974859441</v>
      </c>
      <c r="N18" s="125">
        <f>((M18+1)*(N17+1))-1</f>
        <v>0.5256725080300888</v>
      </c>
      <c r="O18" s="119">
        <v>2449544325819</v>
      </c>
      <c r="P18" s="120">
        <f>O18/O17-1</f>
        <v>0.11956157124789013</v>
      </c>
      <c r="Q18" s="125">
        <f>((P18+1)*(Q17+1))-1</f>
        <v>0.35773590693158286</v>
      </c>
      <c r="R18" s="119">
        <v>20028725761832.199</v>
      </c>
      <c r="S18" s="120">
        <f>R18/R17-1</f>
        <v>6.3611842354998949E-2</v>
      </c>
      <c r="T18" s="125">
        <f>((S18+1)*(T17+1))-1</f>
        <v>0.22808188931440654</v>
      </c>
      <c r="U18" s="119">
        <v>74553748774161.094</v>
      </c>
      <c r="V18" s="120">
        <f>U18/U17-1</f>
        <v>0.15299470725453657</v>
      </c>
      <c r="W18" s="125">
        <f>((V18+1)*(W17+1))-1</f>
        <v>0.44217475240498039</v>
      </c>
      <c r="X18" s="119">
        <v>407914277340530.06</v>
      </c>
      <c r="Y18" s="120">
        <f>X18/X17-1</f>
        <v>0.21970326970781628</v>
      </c>
      <c r="Z18" s="125">
        <f>((Y18+1)*(Z17+1))-1</f>
        <v>0.58090941954007036</v>
      </c>
      <c r="AA18" s="119">
        <v>260215622569236</v>
      </c>
      <c r="AB18" s="120">
        <f>AA18/AA17-1</f>
        <v>0.1341928274989026</v>
      </c>
      <c r="AC18" s="125">
        <f>((AB18+1)*(AC17+1))-1</f>
        <v>0.41253036995493031</v>
      </c>
      <c r="AD18" s="119">
        <v>17567747469439.701</v>
      </c>
      <c r="AE18" s="120">
        <f>AD18/AD17-1</f>
        <v>0.22329441990336152</v>
      </c>
      <c r="AF18" s="125">
        <f>((AE18+1)*(AF17+1))-1</f>
        <v>0.52038985065862864</v>
      </c>
      <c r="AG18" s="119">
        <v>179215011864817</v>
      </c>
      <c r="AH18" s="120">
        <f>AG18/AG17-1</f>
        <v>0.13603380769414386</v>
      </c>
      <c r="AI18" s="125">
        <f>((AH18+1)*(AI17+1))-1</f>
        <v>0.53702295591689775</v>
      </c>
      <c r="AJ18" s="119">
        <v>474840554060040</v>
      </c>
      <c r="AK18" s="120">
        <f>AJ18/AJ17-1</f>
        <v>0.16122444798216296</v>
      </c>
      <c r="AL18" s="125">
        <f>((AK18+1)*(AL17+1))-1</f>
        <v>0.48826334068946786</v>
      </c>
      <c r="AM18" s="119">
        <v>505487119886554</v>
      </c>
      <c r="AN18" s="120">
        <f>AM18/AM17-1</f>
        <v>0.19064298148452496</v>
      </c>
      <c r="AO18" s="125">
        <f>((AN18+1)*(AO17+1))-1</f>
        <v>0.59656011206528925</v>
      </c>
      <c r="AP18" s="119">
        <v>322620450965756</v>
      </c>
      <c r="AQ18" s="120">
        <f>AP18/AP17-1</f>
        <v>0.19014659683472779</v>
      </c>
      <c r="AR18" s="125">
        <f>((AQ18+1)*(AR17+1))-1</f>
        <v>0.55201970278502555</v>
      </c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</row>
    <row r="19" spans="1:58" s="147" customFormat="1" ht="33.75" x14ac:dyDescent="0.45">
      <c r="A19" s="152">
        <v>46082</v>
      </c>
      <c r="C19" s="145">
        <v>364960489482614</v>
      </c>
      <c r="D19" s="129">
        <f>C19/C18-1</f>
        <v>0.13094606244041262</v>
      </c>
      <c r="E19" s="125">
        <f>((D19+1)*(E18+1))-1</f>
        <v>0.7183241424622806</v>
      </c>
      <c r="F19" s="145">
        <v>1121952443407350</v>
      </c>
      <c r="G19" s="130">
        <f>F19/F18-1</f>
        <v>0.12624522319588771</v>
      </c>
      <c r="H19" s="127">
        <f>((G19+1)*(H18+1))-1</f>
        <v>0.72410606283983325</v>
      </c>
      <c r="I19" s="150">
        <v>905260470648551</v>
      </c>
      <c r="J19" s="120">
        <f>I19/I18-1</f>
        <v>0.12979171873814588</v>
      </c>
      <c r="K19" s="125">
        <f>((J19+1)*(K18+1))-1</f>
        <v>0.69312755406117255</v>
      </c>
      <c r="L19" s="150">
        <v>73266680543543.703</v>
      </c>
      <c r="M19" s="120">
        <f>L19/L18-1</f>
        <v>0.13117568054967932</v>
      </c>
      <c r="N19" s="125">
        <f>((M19+1)*(N18+1))-1</f>
        <v>0.72580363756687172</v>
      </c>
      <c r="O19" s="150">
        <v>2712111738421.7998</v>
      </c>
      <c r="P19" s="120">
        <f>O19/O18-1</f>
        <v>0.1071903087587569</v>
      </c>
      <c r="Q19" s="125">
        <f>((P19+1)*(Q18+1))-1</f>
        <v>0.50327203800843012</v>
      </c>
      <c r="R19" s="150">
        <v>23036227480611</v>
      </c>
      <c r="S19" s="120">
        <f>R19/R18-1</f>
        <v>0.15015941376111175</v>
      </c>
      <c r="T19" s="125">
        <f>((S19+1)*(T18+1))-1</f>
        <v>0.41248994586449639</v>
      </c>
      <c r="U19" s="150">
        <v>84459233982795.797</v>
      </c>
      <c r="V19" s="120">
        <f>U19/U18-1</f>
        <v>0.13286367716585912</v>
      </c>
      <c r="W19" s="125">
        <f>((V19+1)*(W18+1))-1</f>
        <v>0.63378739312526844</v>
      </c>
      <c r="X19" s="150">
        <v>461855930704899</v>
      </c>
      <c r="Y19" s="120">
        <f>X19/X18-1</f>
        <v>0.13223771846391652</v>
      </c>
      <c r="Z19" s="125">
        <f>((Y19+1)*(Z18+1))-1</f>
        <v>0.78996527427816376</v>
      </c>
      <c r="AA19" s="150">
        <v>300906515735349</v>
      </c>
      <c r="AB19" s="120">
        <f>AA19/AA18-1</f>
        <v>0.15637375175384149</v>
      </c>
      <c r="AC19" s="125">
        <f>((AB19+1)*(AC18+1))-1</f>
        <v>0.63341304337102455</v>
      </c>
      <c r="AD19" s="150">
        <v>19826687252987.398</v>
      </c>
      <c r="AE19" s="120">
        <f>AD19/AD18-1</f>
        <v>0.12858448628529517</v>
      </c>
      <c r="AF19" s="125">
        <f>((AE19+1)*(AF18+1))-1</f>
        <v>0.71588839855894504</v>
      </c>
      <c r="AG19" s="150">
        <v>205163011731989</v>
      </c>
      <c r="AH19" s="120">
        <f>AG19/AG18-1</f>
        <v>0.14478697736964552</v>
      </c>
      <c r="AI19" s="125">
        <f>((AH19+1)*(AI18+1))-1</f>
        <v>0.75956386385186336</v>
      </c>
      <c r="AJ19" s="150">
        <v>535366109618713</v>
      </c>
      <c r="AK19" s="120">
        <f>AJ19/AJ18-1</f>
        <v>0.12746500913024383</v>
      </c>
      <c r="AL19" s="125">
        <f>((AK19+1)*(AL18+1))-1</f>
        <v>0.67796484099865806</v>
      </c>
      <c r="AM19" s="150">
        <v>572654227393612</v>
      </c>
      <c r="AN19" s="120">
        <f>AM19/AM18-1</f>
        <v>0.13287600190907378</v>
      </c>
      <c r="AO19" s="125">
        <f>((AN19+1)*(AO18+1))-1</f>
        <v>0.80870463656402758</v>
      </c>
      <c r="AP19" s="150">
        <v>362620542671082</v>
      </c>
      <c r="AQ19" s="120">
        <f>AP19/AP18-1</f>
        <v>0.12398498478812092</v>
      </c>
      <c r="AR19" s="125">
        <f>((AQ19+1)*(AR18+1))-1</f>
        <v>0.74444684202569089</v>
      </c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</row>
    <row r="20" spans="1:58" s="147" customFormat="1" ht="34.5" thickBot="1" x14ac:dyDescent="0.5">
      <c r="A20" s="146">
        <v>46113</v>
      </c>
      <c r="B20" s="151"/>
      <c r="C20" s="136">
        <v>403528566746262</v>
      </c>
      <c r="D20" s="132">
        <f>C20/C19-1</f>
        <v>0.10567740447280749</v>
      </c>
      <c r="E20" s="133">
        <f>((D20+1)*(E19+1))-1</f>
        <v>0.89991217788065714</v>
      </c>
      <c r="F20" s="136">
        <v>1250624865283880</v>
      </c>
      <c r="G20" s="134">
        <f>F20/F19-1</f>
        <v>0.11468616395696252</v>
      </c>
      <c r="H20" s="135">
        <f>((G20+1)*(H19+1))-1</f>
        <v>0.92183717344187555</v>
      </c>
      <c r="I20" s="136">
        <v>987527715096163</v>
      </c>
      <c r="J20" s="137">
        <f>I20/I19-1</f>
        <v>9.0876877003890133E-2</v>
      </c>
      <c r="K20" s="133">
        <f>((J20+1)*(K19+1))-1</f>
        <v>0.84699369854348716</v>
      </c>
      <c r="L20" s="136">
        <v>80377150229842.594</v>
      </c>
      <c r="M20" s="137">
        <f>L20/L19-1</f>
        <v>9.704915841073225E-2</v>
      </c>
      <c r="N20" s="133">
        <f>((M20+1)*(N19+1))-1</f>
        <v>0.89329142817491691</v>
      </c>
      <c r="O20" s="136">
        <v>2931178472154.5996</v>
      </c>
      <c r="P20" s="137">
        <f>O20/O19-1</f>
        <v>8.0773491235385686E-2</v>
      </c>
      <c r="Q20" s="133">
        <f>((P20+1)*(Q19+1))-1</f>
        <v>0.62469656879490443</v>
      </c>
      <c r="R20" s="136">
        <v>24446314157672.898</v>
      </c>
      <c r="S20" s="137">
        <f>R20/R19-1</f>
        <v>6.1211701362505311E-2</v>
      </c>
      <c r="T20" s="133">
        <f>((S20+1)*(T19+1))-1</f>
        <v>0.49895085860829513</v>
      </c>
      <c r="U20" s="136">
        <v>92138484294764.297</v>
      </c>
      <c r="V20" s="137">
        <f>U20/U19-1</f>
        <v>9.0922566424563422E-2</v>
      </c>
      <c r="W20" s="133">
        <f>((V20+1)*(W19+1))-1</f>
        <v>0.78233553590031502</v>
      </c>
      <c r="X20" s="136">
        <v>501116456060797</v>
      </c>
      <c r="Y20" s="137">
        <f>X20/X19-1</f>
        <v>8.5006000239029822E-2</v>
      </c>
      <c r="Z20" s="133">
        <f>((Y20+1)*(Z19+1))-1</f>
        <v>0.94212306281130842</v>
      </c>
      <c r="AA20" s="136">
        <v>335482196222325</v>
      </c>
      <c r="AB20" s="137">
        <f>AA20/AA19-1</f>
        <v>0.11490505748099422</v>
      </c>
      <c r="AC20" s="133">
        <f>((AB20+1)*(AC19+1))-1</f>
        <v>0.82110046300977779</v>
      </c>
      <c r="AD20" s="136">
        <v>21720519719519.801</v>
      </c>
      <c r="AE20" s="137">
        <f>AD20/AD19-1</f>
        <v>9.5519359455626951E-2</v>
      </c>
      <c r="AF20" s="133">
        <f>((AE20+1)*(AF19+1))-1</f>
        <v>0.87978895928663703</v>
      </c>
      <c r="AG20" s="136">
        <v>223055038442043</v>
      </c>
      <c r="AH20" s="137">
        <f>AG20/AG19-1</f>
        <v>8.720883242553934E-2</v>
      </c>
      <c r="AI20" s="133">
        <f>((AH20+1)*(AI19+1))-1</f>
        <v>0.91301337399655513</v>
      </c>
      <c r="AJ20" s="136">
        <v>582854769296485</v>
      </c>
      <c r="AK20" s="137">
        <f>AJ20/AJ19-1</f>
        <v>8.870314878839336E-2</v>
      </c>
      <c r="AL20" s="133">
        <f>((AK20+1)*(AL19+1))-1</f>
        <v>0.8268056059514548</v>
      </c>
      <c r="AM20" s="136">
        <v>627838565135603</v>
      </c>
      <c r="AN20" s="137">
        <f>AM20/AM19-1</f>
        <v>9.6365896036702425E-2</v>
      </c>
      <c r="AO20" s="133">
        <f>((AN20+1)*(AO19+1))-1</f>
        <v>0.98300207953225827</v>
      </c>
      <c r="AP20" s="136">
        <v>401753467964039</v>
      </c>
      <c r="AQ20" s="137">
        <f>AP20/AP19-1</f>
        <v>0.10791701155345979</v>
      </c>
      <c r="AR20" s="133">
        <f>((AQ20+1)*(AR19+1))-1</f>
        <v>0.93270233203097375</v>
      </c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</row>
    <row r="21" spans="1:58" ht="45" customHeight="1" x14ac:dyDescent="0.45">
      <c r="A21" s="138" t="s">
        <v>209</v>
      </c>
      <c r="B21" s="139"/>
      <c r="C21" s="140"/>
      <c r="D21" s="129"/>
      <c r="E21" s="140"/>
      <c r="F21" s="140"/>
      <c r="I21" s="140"/>
      <c r="J21" s="140"/>
      <c r="L21" s="140"/>
      <c r="M21" s="140"/>
      <c r="N21" s="142"/>
      <c r="O21" s="140"/>
      <c r="P21" s="142"/>
      <c r="Q21" s="142"/>
      <c r="R21" s="140"/>
      <c r="U21" s="140"/>
      <c r="V21" s="142"/>
      <c r="W21" s="142"/>
      <c r="X21" s="140"/>
      <c r="Y21" s="143"/>
      <c r="Z21" s="143"/>
      <c r="AA21" s="140"/>
      <c r="AD21" s="140"/>
      <c r="AG21" s="140"/>
      <c r="AH21" s="142"/>
      <c r="AI21" s="142"/>
      <c r="AJ21" s="140"/>
      <c r="AK21" s="142"/>
      <c r="AL21" s="142"/>
      <c r="AM21" s="140"/>
      <c r="AN21" s="142"/>
      <c r="AO21" s="142"/>
      <c r="AP21" s="140"/>
      <c r="AQ21" s="139"/>
      <c r="AR21" s="139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</row>
  </sheetData>
  <printOptions horizontalCentered="1" verticalCentered="1" gridLinesSet="0"/>
  <pageMargins left="0" right="0" top="0.19685039370078741" bottom="0.19685039370078741" header="0" footer="0"/>
  <pageSetup scale="13" fitToHeight="0" pageOrder="overThenDown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B9D1-A9B3-4907-86CA-51926C5C8D51}">
  <dimension ref="B2:F4"/>
  <sheetViews>
    <sheetView workbookViewId="0">
      <selection activeCell="F12" sqref="F12"/>
    </sheetView>
  </sheetViews>
  <sheetFormatPr baseColWidth="10" defaultRowHeight="15" x14ac:dyDescent="0.25"/>
  <sheetData>
    <row r="2" spans="2:6" x14ac:dyDescent="0.25">
      <c r="C2" s="65">
        <v>42005</v>
      </c>
      <c r="D2" s="65">
        <v>11324</v>
      </c>
      <c r="E2" s="65">
        <v>42036</v>
      </c>
      <c r="F2" s="65">
        <v>46784</v>
      </c>
    </row>
    <row r="3" spans="2:6" x14ac:dyDescent="0.25">
      <c r="B3" s="67" t="s">
        <v>110</v>
      </c>
      <c r="C3" s="66">
        <v>0.04</v>
      </c>
      <c r="D3" s="66">
        <v>7.0000000000000007E-2</v>
      </c>
      <c r="E3" s="66">
        <v>7.0000000000000007E-2</v>
      </c>
      <c r="F3" s="66">
        <v>0.04</v>
      </c>
    </row>
    <row r="4" spans="2:6" x14ac:dyDescent="0.25">
      <c r="B4" s="68" t="s">
        <v>145</v>
      </c>
      <c r="C4" s="66">
        <v>-0.02</v>
      </c>
      <c r="D4" s="66">
        <v>0.05</v>
      </c>
      <c r="E4" s="66">
        <v>0.11</v>
      </c>
      <c r="F4" s="6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INDICADORES</vt:lpstr>
      <vt:lpstr>IND. PUNTUAL</vt:lpstr>
      <vt:lpstr>IND. YTD</vt:lpstr>
      <vt:lpstr>Data</vt:lpstr>
      <vt:lpstr>Tasas Diarias</vt:lpstr>
      <vt:lpstr>Grafica de Contexto</vt:lpstr>
      <vt:lpstr>Diario</vt:lpstr>
      <vt:lpstr>DATA DE TABLAS</vt:lpstr>
      <vt:lpstr>TASA BCV-MONITOR</vt:lpstr>
      <vt:lpstr>Tasa_BCVUSDT Grafico1</vt:lpstr>
      <vt:lpstr>Inflación por categoria</vt:lpstr>
      <vt:lpstr>Hoja1</vt:lpstr>
      <vt:lpstr>'Inflación por categoria'!_</vt:lpstr>
      <vt:lpstr>'Inflación por categoria'!_F</vt:lpstr>
      <vt:lpstr>'Inflación por categoria'!Área_de_impresión</vt:lpstr>
      <vt:lpstr>'Inflación por categoria'!G</vt:lpstr>
      <vt:lpstr>'Inflación por categoria'!H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Labrador</dc:creator>
  <cp:lastModifiedBy>DELL LATITUDE 3380</cp:lastModifiedBy>
  <dcterms:created xsi:type="dcterms:W3CDTF">2021-07-26T14:25:14Z</dcterms:created>
  <dcterms:modified xsi:type="dcterms:W3CDTF">2026-05-06T17:37:34Z</dcterms:modified>
</cp:coreProperties>
</file>